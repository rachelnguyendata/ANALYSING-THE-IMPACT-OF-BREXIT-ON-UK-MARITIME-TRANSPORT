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727"/>
  <workbookPr dateCompatibility="0" defaultThemeVersion="202300"/>
  <mc:AlternateContent xmlns:mc="http://schemas.openxmlformats.org/markup-compatibility/2006">
    <mc:Choice Requires="x15">
      <x15ac:absPath xmlns:x15ac="http://schemas.microsoft.com/office/spreadsheetml/2010/11/ac" url="/Users/rachelnguyen/Downloads/"/>
    </mc:Choice>
  </mc:AlternateContent>
  <xr:revisionPtr revIDLastSave="0" documentId="8_{AAED356C-88DE-D043-9660-CC38C3A9CB12}" xr6:coauthVersionLast="47" xr6:coauthVersionMax="47" xr10:uidLastSave="{00000000-0000-0000-0000-000000000000}"/>
  <bookViews>
    <workbookView xWindow="0" yWindow="760" windowWidth="29400" windowHeight="17620" xr2:uid="{7B69C1BF-F5E1-DC4B-AF8A-E4B76CD2A5C5}"/>
  </bookViews>
  <sheets>
    <sheet name="Cover" sheetId="1" r:id="rId1"/>
    <sheet name="Contents" sheetId="2" r:id="rId2"/>
    <sheet name="port0201" sheetId="3" r:id="rId3"/>
    <sheet name="Notes" sheetId="4" r:id="rId4"/>
    <sheet name="Data" sheetId="5" state="hidden" r:id="rId5"/>
    <sheet name="Working" sheetId="6" state="hidden" r:id="rId6"/>
    <sheet name="Lookup" sheetId="7" state="hidden" r:id="rId7"/>
  </sheets>
  <definedNames>
    <definedName name="_xlnm.Print_Area" localSheetId="1">Contents!$A$1:$B$5</definedName>
    <definedName name="_xlnm.Print_Area" localSheetId="0">Cover!$A$1:$A$15</definedName>
    <definedName name="_xlnm.Print_Area" localSheetId="3">Notes!$A$1:$B$11</definedName>
    <definedName name="_xlnm.Print_Area" localSheetId="2">port0201!$A$1:$AB$47</definedName>
    <definedName name="_xlnm.Print_Titles" localSheetId="2">port0201!$1:$10</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AC24" i="6" l="1"/>
  <c r="AB24" i="6"/>
  <c r="AA24" i="6"/>
  <c r="Z24" i="6"/>
  <c r="Y24" i="6"/>
  <c r="X24" i="6"/>
  <c r="W24" i="6"/>
  <c r="V24" i="6"/>
  <c r="U24" i="6"/>
  <c r="T29" i="3" s="1"/>
  <c r="T24" i="6"/>
  <c r="S29" i="3" s="1"/>
  <c r="S24" i="6"/>
  <c r="R24" i="6"/>
  <c r="Q24" i="6"/>
  <c r="P24" i="6"/>
  <c r="O24" i="6"/>
  <c r="N24" i="6"/>
  <c r="M24" i="6"/>
  <c r="L24" i="6"/>
  <c r="K24" i="6"/>
  <c r="J29" i="3" s="1"/>
  <c r="J24" i="6"/>
  <c r="I29" i="3" s="1"/>
  <c r="I24" i="6"/>
  <c r="H24" i="6"/>
  <c r="G24" i="6"/>
  <c r="F24" i="6"/>
  <c r="E24" i="6"/>
  <c r="D24" i="6"/>
  <c r="AB23" i="6"/>
  <c r="AA28" i="3" s="1"/>
  <c r="X7" i="6"/>
  <c r="W12" i="3" s="1"/>
  <c r="Z6" i="6"/>
  <c r="X6" i="6"/>
  <c r="W11" i="3" s="1"/>
  <c r="E6" i="6"/>
  <c r="D11" i="3" s="1"/>
  <c r="AC4" i="6"/>
  <c r="AC34" i="6" s="1"/>
  <c r="AB39" i="3" s="1"/>
  <c r="AB4" i="6"/>
  <c r="AB34" i="6" s="1"/>
  <c r="AA39" i="3" s="1"/>
  <c r="AA4" i="6"/>
  <c r="AA11" i="6" s="1"/>
  <c r="Z16" i="3" s="1"/>
  <c r="Z4" i="6"/>
  <c r="Y4" i="6"/>
  <c r="X4" i="6"/>
  <c r="X22" i="6" s="1"/>
  <c r="W4" i="6"/>
  <c r="V4" i="6"/>
  <c r="V8" i="6" s="1"/>
  <c r="U13" i="3" s="1"/>
  <c r="U4" i="6"/>
  <c r="T4" i="6"/>
  <c r="S4" i="6"/>
  <c r="S34" i="6" s="1"/>
  <c r="R39" i="3" s="1"/>
  <c r="R4" i="6"/>
  <c r="R34" i="6" s="1"/>
  <c r="Q39" i="3" s="1"/>
  <c r="Q4" i="6"/>
  <c r="Q22" i="6" s="1"/>
  <c r="P4" i="6"/>
  <c r="O4" i="6"/>
  <c r="O7" i="6" s="1"/>
  <c r="N12" i="3" s="1"/>
  <c r="N4" i="6"/>
  <c r="N22" i="6" s="1"/>
  <c r="M4" i="6"/>
  <c r="L4" i="6"/>
  <c r="L7" i="6" s="1"/>
  <c r="K12" i="3" s="1"/>
  <c r="K4" i="6"/>
  <c r="J4" i="6"/>
  <c r="J6" i="6" s="1"/>
  <c r="I4" i="6"/>
  <c r="I34" i="6" s="1"/>
  <c r="H39" i="3" s="1"/>
  <c r="H4" i="6"/>
  <c r="H34" i="6" s="1"/>
  <c r="G39" i="3" s="1"/>
  <c r="G4" i="6"/>
  <c r="G11" i="6" s="1"/>
  <c r="F4" i="6"/>
  <c r="E4" i="6"/>
  <c r="D4" i="6"/>
  <c r="D11" i="6" s="1"/>
  <c r="AC3" i="6"/>
  <c r="AB3" i="6"/>
  <c r="AA3" i="6"/>
  <c r="Z3" i="6"/>
  <c r="Y3" i="6"/>
  <c r="X3" i="6"/>
  <c r="W3" i="6"/>
  <c r="W20" i="6" s="1"/>
  <c r="V25" i="3" s="1"/>
  <c r="V3" i="6"/>
  <c r="U3" i="6"/>
  <c r="T3" i="6"/>
  <c r="S3" i="6"/>
  <c r="R3" i="6"/>
  <c r="Q3" i="6"/>
  <c r="P3" i="6"/>
  <c r="O3" i="6"/>
  <c r="N3" i="6"/>
  <c r="M3" i="6"/>
  <c r="M20" i="6" s="1"/>
  <c r="L25" i="3" s="1"/>
  <c r="L3" i="6"/>
  <c r="K3" i="6"/>
  <c r="J3" i="6"/>
  <c r="I3" i="6"/>
  <c r="H3" i="6"/>
  <c r="G3" i="6"/>
  <c r="F3" i="6"/>
  <c r="E3" i="6"/>
  <c r="D3" i="6"/>
  <c r="H2" i="6"/>
  <c r="G2" i="6"/>
  <c r="AB29" i="3"/>
  <c r="AA29" i="3"/>
  <c r="Z29" i="3"/>
  <c r="Y29" i="3"/>
  <c r="X29" i="3"/>
  <c r="W29" i="3"/>
  <c r="V29" i="3"/>
  <c r="U29" i="3"/>
  <c r="R29" i="3"/>
  <c r="Q29" i="3"/>
  <c r="P29" i="3"/>
  <c r="O29" i="3"/>
  <c r="N29" i="3"/>
  <c r="M29" i="3"/>
  <c r="L29" i="3"/>
  <c r="K29" i="3"/>
  <c r="H29" i="3"/>
  <c r="G29" i="3"/>
  <c r="F29" i="3"/>
  <c r="E29" i="3"/>
  <c r="D29" i="3"/>
  <c r="C29" i="3"/>
  <c r="AJ24" i="6"/>
  <c r="AK24" i="6" s="1"/>
  <c r="AF24" i="6"/>
  <c r="AE24" i="6"/>
  <c r="AH10" i="6"/>
  <c r="R7" i="6" l="1"/>
  <c r="Q12" i="3" s="1"/>
  <c r="AB11" i="6"/>
  <c r="R12" i="6"/>
  <c r="Q17" i="3" s="1"/>
  <c r="D6" i="6"/>
  <c r="C11" i="3" s="1"/>
  <c r="AB7" i="6"/>
  <c r="AA12" i="3" s="1"/>
  <c r="AB12" i="6"/>
  <c r="AA17" i="3" s="1"/>
  <c r="H6" i="6"/>
  <c r="G11" i="3" s="1"/>
  <c r="R8" i="6"/>
  <c r="Q13" i="3" s="1"/>
  <c r="H8" i="6"/>
  <c r="G13" i="3" s="1"/>
  <c r="AB8" i="6"/>
  <c r="AA13" i="3" s="1"/>
  <c r="AB6" i="6"/>
  <c r="AA11" i="3" s="1"/>
  <c r="R9" i="6"/>
  <c r="Q14" i="3" s="1"/>
  <c r="N7" i="6"/>
  <c r="M12" i="3" s="1"/>
  <c r="AB9" i="6"/>
  <c r="AA14" i="3" s="1"/>
  <c r="N11" i="6"/>
  <c r="M16" i="3" s="1"/>
  <c r="S8" i="6"/>
  <c r="R13" i="3" s="1"/>
  <c r="AC9" i="6"/>
  <c r="AC14" i="6"/>
  <c r="H11" i="6"/>
  <c r="G16" i="3" s="1"/>
  <c r="H23" i="6"/>
  <c r="G28" i="3" s="1"/>
  <c r="G6" i="6"/>
  <c r="F11" i="3" s="1"/>
  <c r="AA6" i="6"/>
  <c r="Z11" i="3" s="1"/>
  <c r="S7" i="6"/>
  <c r="R12" i="3" s="1"/>
  <c r="AA8" i="6"/>
  <c r="I11" i="6"/>
  <c r="H16" i="3" s="1"/>
  <c r="H13" i="6"/>
  <c r="G18" i="3" s="1"/>
  <c r="R23" i="6"/>
  <c r="Q28" i="3" s="1"/>
  <c r="Q13" i="6"/>
  <c r="P18" i="3" s="1"/>
  <c r="AC8" i="6"/>
  <c r="Q11" i="6"/>
  <c r="P16" i="3" s="1"/>
  <c r="R13" i="6"/>
  <c r="Q18" i="3" s="1"/>
  <c r="AF34" i="6"/>
  <c r="AC6" i="6"/>
  <c r="D7" i="6"/>
  <c r="C12" i="3" s="1"/>
  <c r="AC7" i="6"/>
  <c r="H9" i="6"/>
  <c r="G14" i="3" s="1"/>
  <c r="R11" i="6"/>
  <c r="Q16" i="3" s="1"/>
  <c r="H14" i="6"/>
  <c r="G19" i="3" s="1"/>
  <c r="J20" i="6"/>
  <c r="I25" i="3" s="1"/>
  <c r="T17" i="6"/>
  <c r="S22" i="3" s="1"/>
  <c r="I6" i="6"/>
  <c r="H11" i="3" s="1"/>
  <c r="N6" i="6"/>
  <c r="M11" i="3" s="1"/>
  <c r="H7" i="6"/>
  <c r="G12" i="3" s="1"/>
  <c r="G8" i="6"/>
  <c r="F13" i="3" s="1"/>
  <c r="I9" i="6"/>
  <c r="H14" i="3" s="1"/>
  <c r="S11" i="6"/>
  <c r="R16" i="3" s="1"/>
  <c r="I14" i="6"/>
  <c r="H19" i="3" s="1"/>
  <c r="R14" i="6"/>
  <c r="Q19" i="3" s="1"/>
  <c r="Q6" i="6"/>
  <c r="P11" i="3" s="1"/>
  <c r="I7" i="6"/>
  <c r="H12" i="3" s="1"/>
  <c r="AE34" i="6"/>
  <c r="R6" i="6"/>
  <c r="Q11" i="3" s="1"/>
  <c r="I8" i="6"/>
  <c r="H13" i="3" s="1"/>
  <c r="S9" i="6"/>
  <c r="R14" i="3" s="1"/>
  <c r="AC11" i="6"/>
  <c r="S14" i="6"/>
  <c r="R19" i="3" s="1"/>
  <c r="S6" i="6"/>
  <c r="R11" i="3" s="1"/>
  <c r="H12" i="6"/>
  <c r="G17" i="3" s="1"/>
  <c r="AB14" i="6"/>
  <c r="AA19" i="3" s="1"/>
  <c r="AA20" i="6"/>
  <c r="Z25" i="3" s="1"/>
  <c r="AA18" i="6"/>
  <c r="Z23" i="3" s="1"/>
  <c r="AA19" i="6"/>
  <c r="Z24" i="3" s="1"/>
  <c r="AA17" i="6"/>
  <c r="U32" i="6"/>
  <c r="T37" i="3" s="1"/>
  <c r="U27" i="6"/>
  <c r="T32" i="3" s="1"/>
  <c r="U22" i="6"/>
  <c r="U11" i="6"/>
  <c r="U25" i="6"/>
  <c r="T30" i="3" s="1"/>
  <c r="U14" i="6"/>
  <c r="T19" i="3" s="1"/>
  <c r="U33" i="6"/>
  <c r="T38" i="3" s="1"/>
  <c r="U28" i="6"/>
  <c r="T33" i="3" s="1"/>
  <c r="U23" i="6"/>
  <c r="T28" i="3" s="1"/>
  <c r="U31" i="6"/>
  <c r="U26" i="6"/>
  <c r="T31" i="3" s="1"/>
  <c r="U15" i="6"/>
  <c r="T20" i="3" s="1"/>
  <c r="U34" i="6"/>
  <c r="T39" i="3" s="1"/>
  <c r="U29" i="6"/>
  <c r="T34" i="3" s="1"/>
  <c r="U13" i="6"/>
  <c r="T18" i="3" s="1"/>
  <c r="U8" i="6"/>
  <c r="T13" i="3" s="1"/>
  <c r="U12" i="6"/>
  <c r="T17" i="3" s="1"/>
  <c r="U9" i="6"/>
  <c r="U7" i="6"/>
  <c r="T12" i="3" s="1"/>
  <c r="U6" i="6"/>
  <c r="Y11" i="3"/>
  <c r="C16" i="3"/>
  <c r="G20" i="6"/>
  <c r="F25" i="3" s="1"/>
  <c r="G18" i="6"/>
  <c r="F23" i="3" s="1"/>
  <c r="G19" i="6"/>
  <c r="F24" i="3" s="1"/>
  <c r="G17" i="6"/>
  <c r="Q20" i="6"/>
  <c r="P25" i="3" s="1"/>
  <c r="Q18" i="6"/>
  <c r="P23" i="3" s="1"/>
  <c r="Q19" i="6"/>
  <c r="P24" i="3" s="1"/>
  <c r="Q17" i="6"/>
  <c r="K32" i="6"/>
  <c r="J37" i="3" s="1"/>
  <c r="K27" i="6"/>
  <c r="J32" i="3" s="1"/>
  <c r="K22" i="6"/>
  <c r="K11" i="6"/>
  <c r="K25" i="6"/>
  <c r="J30" i="3" s="1"/>
  <c r="K14" i="6"/>
  <c r="J19" i="3" s="1"/>
  <c r="K33" i="6"/>
  <c r="J38" i="3" s="1"/>
  <c r="K28" i="6"/>
  <c r="J33" i="3" s="1"/>
  <c r="K31" i="6"/>
  <c r="K26" i="6"/>
  <c r="J31" i="3" s="1"/>
  <c r="K15" i="6"/>
  <c r="J20" i="3" s="1"/>
  <c r="K34" i="6"/>
  <c r="J39" i="3" s="1"/>
  <c r="K29" i="6"/>
  <c r="J34" i="3" s="1"/>
  <c r="K13" i="6"/>
  <c r="J18" i="3" s="1"/>
  <c r="K8" i="6"/>
  <c r="J13" i="3" s="1"/>
  <c r="K7" i="6"/>
  <c r="J12" i="3" s="1"/>
  <c r="K6" i="6"/>
  <c r="K9" i="6"/>
  <c r="K12" i="6"/>
  <c r="J17" i="3" s="1"/>
  <c r="K23" i="6"/>
  <c r="J28" i="3" s="1"/>
  <c r="M27" i="3"/>
  <c r="W27" i="3"/>
  <c r="I11" i="3"/>
  <c r="N18" i="6"/>
  <c r="M23" i="3" s="1"/>
  <c r="E18" i="6"/>
  <c r="D23" i="3" s="1"/>
  <c r="D18" i="6"/>
  <c r="C23" i="3" s="1"/>
  <c r="Y18" i="6"/>
  <c r="X23" i="3" s="1"/>
  <c r="X18" i="6"/>
  <c r="W23" i="3" s="1"/>
  <c r="O18" i="6"/>
  <c r="N23" i="3" s="1"/>
  <c r="L19" i="6"/>
  <c r="K24" i="3" s="1"/>
  <c r="L17" i="6"/>
  <c r="L18" i="6"/>
  <c r="K23" i="3" s="1"/>
  <c r="L20" i="6"/>
  <c r="K25" i="3" s="1"/>
  <c r="V19" i="6"/>
  <c r="U24" i="3" s="1"/>
  <c r="V17" i="6"/>
  <c r="V20" i="6"/>
  <c r="U25" i="3" s="1"/>
  <c r="V18" i="6"/>
  <c r="U23" i="3" s="1"/>
  <c r="F31" i="6"/>
  <c r="F26" i="6"/>
  <c r="E31" i="3" s="1"/>
  <c r="F15" i="6"/>
  <c r="E20" i="3" s="1"/>
  <c r="F34" i="6"/>
  <c r="E39" i="3" s="1"/>
  <c r="F29" i="6"/>
  <c r="E34" i="3" s="1"/>
  <c r="F13" i="6"/>
  <c r="E18" i="3" s="1"/>
  <c r="F32" i="6"/>
  <c r="E37" i="3" s="1"/>
  <c r="F27" i="6"/>
  <c r="E32" i="3" s="1"/>
  <c r="F25" i="6"/>
  <c r="E30" i="3" s="1"/>
  <c r="F33" i="6"/>
  <c r="E38" i="3" s="1"/>
  <c r="F28" i="6"/>
  <c r="E33" i="3" s="1"/>
  <c r="F23" i="6"/>
  <c r="E28" i="3" s="1"/>
  <c r="F12" i="6"/>
  <c r="E17" i="3" s="1"/>
  <c r="F7" i="6"/>
  <c r="E12" i="3" s="1"/>
  <c r="F8" i="6"/>
  <c r="E13" i="3" s="1"/>
  <c r="F14" i="6"/>
  <c r="E19" i="3" s="1"/>
  <c r="F11" i="6"/>
  <c r="F9" i="6"/>
  <c r="F22" i="6"/>
  <c r="F6" i="6"/>
  <c r="P31" i="6"/>
  <c r="P26" i="6"/>
  <c r="O31" i="3" s="1"/>
  <c r="P15" i="6"/>
  <c r="O20" i="3" s="1"/>
  <c r="P34" i="6"/>
  <c r="O39" i="3" s="1"/>
  <c r="P29" i="6"/>
  <c r="O34" i="3" s="1"/>
  <c r="P13" i="6"/>
  <c r="O18" i="3" s="1"/>
  <c r="P32" i="6"/>
  <c r="O37" i="3" s="1"/>
  <c r="P27" i="6"/>
  <c r="O32" i="3" s="1"/>
  <c r="P25" i="6"/>
  <c r="O30" i="3" s="1"/>
  <c r="P33" i="6"/>
  <c r="O38" i="3" s="1"/>
  <c r="P28" i="6"/>
  <c r="O33" i="3" s="1"/>
  <c r="P23" i="6"/>
  <c r="O28" i="3" s="1"/>
  <c r="P12" i="6"/>
  <c r="O17" i="3" s="1"/>
  <c r="P7" i="6"/>
  <c r="O12" i="3" s="1"/>
  <c r="P14" i="6"/>
  <c r="O19" i="3" s="1"/>
  <c r="P22" i="6"/>
  <c r="P11" i="6"/>
  <c r="P8" i="6"/>
  <c r="O13" i="3" s="1"/>
  <c r="P9" i="6"/>
  <c r="Z31" i="6"/>
  <c r="Z26" i="6"/>
  <c r="Y31" i="3" s="1"/>
  <c r="Z15" i="6"/>
  <c r="Y20" i="3" s="1"/>
  <c r="Z34" i="6"/>
  <c r="Y39" i="3" s="1"/>
  <c r="Z29" i="6"/>
  <c r="Y34" i="3" s="1"/>
  <c r="Z13" i="6"/>
  <c r="Y18" i="3" s="1"/>
  <c r="Z32" i="6"/>
  <c r="Y37" i="3" s="1"/>
  <c r="Z27" i="6"/>
  <c r="Y32" i="3" s="1"/>
  <c r="Z25" i="6"/>
  <c r="Y30" i="3" s="1"/>
  <c r="Z33" i="6"/>
  <c r="Y38" i="3" s="1"/>
  <c r="Z28" i="6"/>
  <c r="Y33" i="3" s="1"/>
  <c r="Z23" i="6"/>
  <c r="Y28" i="3" s="1"/>
  <c r="Z12" i="6"/>
  <c r="Y17" i="3" s="1"/>
  <c r="Z7" i="6"/>
  <c r="Y12" i="3" s="1"/>
  <c r="Z22" i="6"/>
  <c r="Z9" i="6"/>
  <c r="Z14" i="6"/>
  <c r="Y19" i="3" s="1"/>
  <c r="Z8" i="6"/>
  <c r="Y13" i="3" s="1"/>
  <c r="Z11" i="6"/>
  <c r="P27" i="3"/>
  <c r="P6" i="6"/>
  <c r="F16" i="3"/>
  <c r="D17" i="6"/>
  <c r="N17" i="6"/>
  <c r="X17" i="6"/>
  <c r="F20" i="6"/>
  <c r="E25" i="3" s="1"/>
  <c r="F18" i="6"/>
  <c r="E23" i="3" s="1"/>
  <c r="F17" i="6"/>
  <c r="F19" i="6"/>
  <c r="E24" i="3" s="1"/>
  <c r="P20" i="6"/>
  <c r="O25" i="3" s="1"/>
  <c r="P18" i="6"/>
  <c r="O23" i="3" s="1"/>
  <c r="P17" i="6"/>
  <c r="P19" i="6"/>
  <c r="O24" i="3" s="1"/>
  <c r="Z20" i="6"/>
  <c r="Y25" i="3" s="1"/>
  <c r="Z18" i="6"/>
  <c r="Y23" i="3" s="1"/>
  <c r="Z17" i="6"/>
  <c r="Z19" i="6"/>
  <c r="Y24" i="3" s="1"/>
  <c r="J32" i="6"/>
  <c r="I37" i="3" s="1"/>
  <c r="J27" i="6"/>
  <c r="I32" i="3" s="1"/>
  <c r="J22" i="6"/>
  <c r="J25" i="6"/>
  <c r="I30" i="3" s="1"/>
  <c r="J14" i="6"/>
  <c r="I19" i="3" s="1"/>
  <c r="J33" i="6"/>
  <c r="I38" i="3" s="1"/>
  <c r="J28" i="6"/>
  <c r="I33" i="3" s="1"/>
  <c r="J31" i="6"/>
  <c r="J26" i="6"/>
  <c r="I31" i="3" s="1"/>
  <c r="J34" i="6"/>
  <c r="I39" i="3" s="1"/>
  <c r="J29" i="6"/>
  <c r="I34" i="3" s="1"/>
  <c r="J13" i="6"/>
  <c r="I18" i="3" s="1"/>
  <c r="J8" i="6"/>
  <c r="I13" i="3" s="1"/>
  <c r="J23" i="6"/>
  <c r="I28" i="3" s="1"/>
  <c r="J11" i="6"/>
  <c r="J7" i="6"/>
  <c r="I12" i="3" s="1"/>
  <c r="J15" i="6"/>
  <c r="I20" i="3" s="1"/>
  <c r="J12" i="6"/>
  <c r="I17" i="3" s="1"/>
  <c r="J9" i="6"/>
  <c r="T32" i="6"/>
  <c r="S37" i="3" s="1"/>
  <c r="T27" i="6"/>
  <c r="S32" i="3" s="1"/>
  <c r="T22" i="6"/>
  <c r="T25" i="6"/>
  <c r="S30" i="3" s="1"/>
  <c r="T14" i="6"/>
  <c r="S19" i="3" s="1"/>
  <c r="T33" i="6"/>
  <c r="S38" i="3" s="1"/>
  <c r="T28" i="6"/>
  <c r="S33" i="3" s="1"/>
  <c r="T31" i="6"/>
  <c r="T26" i="6"/>
  <c r="S31" i="3" s="1"/>
  <c r="T34" i="6"/>
  <c r="S39" i="3" s="1"/>
  <c r="T29" i="6"/>
  <c r="S34" i="3" s="1"/>
  <c r="T13" i="6"/>
  <c r="S18" i="3" s="1"/>
  <c r="T8" i="6"/>
  <c r="S13" i="3" s="1"/>
  <c r="T12" i="6"/>
  <c r="S17" i="3" s="1"/>
  <c r="T15" i="6"/>
  <c r="S20" i="3" s="1"/>
  <c r="T7" i="6"/>
  <c r="S12" i="3" s="1"/>
  <c r="T6" i="6"/>
  <c r="T11" i="6"/>
  <c r="T23" i="6"/>
  <c r="S28" i="3" s="1"/>
  <c r="T9" i="6"/>
  <c r="I18" i="6"/>
  <c r="H23" i="3" s="1"/>
  <c r="I17" i="6"/>
  <c r="I20" i="6"/>
  <c r="H25" i="3" s="1"/>
  <c r="I19" i="6"/>
  <c r="H24" i="3" s="1"/>
  <c r="S18" i="6"/>
  <c r="R23" i="3" s="1"/>
  <c r="S17" i="6"/>
  <c r="S20" i="6"/>
  <c r="R25" i="3" s="1"/>
  <c r="S19" i="6"/>
  <c r="R24" i="3" s="1"/>
  <c r="AC18" i="6"/>
  <c r="AC17" i="6"/>
  <c r="AC20" i="6"/>
  <c r="AC19" i="6"/>
  <c r="M25" i="6"/>
  <c r="L30" i="3" s="1"/>
  <c r="M14" i="6"/>
  <c r="L19" i="3" s="1"/>
  <c r="M9" i="6"/>
  <c r="M33" i="6"/>
  <c r="L38" i="3" s="1"/>
  <c r="M28" i="6"/>
  <c r="L33" i="3" s="1"/>
  <c r="M23" i="6"/>
  <c r="L28" i="3" s="1"/>
  <c r="M31" i="6"/>
  <c r="M26" i="6"/>
  <c r="L31" i="3" s="1"/>
  <c r="M34" i="6"/>
  <c r="L39" i="3" s="1"/>
  <c r="M29" i="6"/>
  <c r="L34" i="3" s="1"/>
  <c r="M13" i="6"/>
  <c r="L18" i="3" s="1"/>
  <c r="M8" i="6"/>
  <c r="L13" i="3" s="1"/>
  <c r="M32" i="6"/>
  <c r="L37" i="3" s="1"/>
  <c r="M27" i="6"/>
  <c r="L32" i="3" s="1"/>
  <c r="M22" i="6"/>
  <c r="M11" i="6"/>
  <c r="M6" i="6"/>
  <c r="M15" i="6"/>
  <c r="L20" i="3" s="1"/>
  <c r="M12" i="6"/>
  <c r="L17" i="3" s="1"/>
  <c r="M7" i="6"/>
  <c r="L12" i="3" s="1"/>
  <c r="W25" i="6"/>
  <c r="V30" i="3" s="1"/>
  <c r="W14" i="6"/>
  <c r="V19" i="3" s="1"/>
  <c r="W9" i="6"/>
  <c r="W33" i="6"/>
  <c r="V38" i="3" s="1"/>
  <c r="W28" i="6"/>
  <c r="V33" i="3" s="1"/>
  <c r="W23" i="6"/>
  <c r="V28" i="3" s="1"/>
  <c r="W31" i="6"/>
  <c r="W26" i="6"/>
  <c r="V31" i="3" s="1"/>
  <c r="W34" i="6"/>
  <c r="V39" i="3" s="1"/>
  <c r="W29" i="6"/>
  <c r="V34" i="3" s="1"/>
  <c r="W13" i="6"/>
  <c r="V18" i="3" s="1"/>
  <c r="W8" i="6"/>
  <c r="V13" i="3" s="1"/>
  <c r="W32" i="6"/>
  <c r="V37" i="3" s="1"/>
  <c r="W27" i="6"/>
  <c r="V32" i="3" s="1"/>
  <c r="W22" i="6"/>
  <c r="W11" i="6"/>
  <c r="W6" i="6"/>
  <c r="W15" i="6"/>
  <c r="V20" i="3" s="1"/>
  <c r="W7" i="6"/>
  <c r="V12" i="3" s="1"/>
  <c r="W12" i="6"/>
  <c r="V17" i="3" s="1"/>
  <c r="E17" i="6"/>
  <c r="O17" i="6"/>
  <c r="Y17" i="6"/>
  <c r="R37" i="6"/>
  <c r="R10" i="6"/>
  <c r="Q15" i="3" s="1"/>
  <c r="H18" i="6"/>
  <c r="G23" i="3" s="1"/>
  <c r="H20" i="6"/>
  <c r="G25" i="3" s="1"/>
  <c r="H17" i="6"/>
  <c r="H19" i="6"/>
  <c r="G24" i="3" s="1"/>
  <c r="R18" i="6"/>
  <c r="Q23" i="3" s="1"/>
  <c r="R20" i="6"/>
  <c r="Q25" i="3" s="1"/>
  <c r="R19" i="6"/>
  <c r="Q24" i="3" s="1"/>
  <c r="R17" i="6"/>
  <c r="AB18" i="6"/>
  <c r="AB20" i="6"/>
  <c r="AB17" i="6"/>
  <c r="AB19" i="6"/>
  <c r="L25" i="6"/>
  <c r="K30" i="3" s="1"/>
  <c r="L14" i="6"/>
  <c r="K19" i="3" s="1"/>
  <c r="L33" i="6"/>
  <c r="K38" i="3" s="1"/>
  <c r="L28" i="6"/>
  <c r="K33" i="3" s="1"/>
  <c r="L23" i="6"/>
  <c r="K28" i="3" s="1"/>
  <c r="L12" i="6"/>
  <c r="K17" i="3" s="1"/>
  <c r="L31" i="6"/>
  <c r="L26" i="6"/>
  <c r="K31" i="3" s="1"/>
  <c r="L34" i="6"/>
  <c r="K39" i="3" s="1"/>
  <c r="L29" i="6"/>
  <c r="K34" i="3" s="1"/>
  <c r="L32" i="6"/>
  <c r="K37" i="3" s="1"/>
  <c r="L27" i="6"/>
  <c r="K32" i="3" s="1"/>
  <c r="L22" i="6"/>
  <c r="L11" i="6"/>
  <c r="L6" i="6"/>
  <c r="L9" i="6"/>
  <c r="L13" i="6"/>
  <c r="K18" i="3" s="1"/>
  <c r="L15" i="6"/>
  <c r="K20" i="3" s="1"/>
  <c r="L8" i="6"/>
  <c r="K13" i="3" s="1"/>
  <c r="V25" i="6"/>
  <c r="U30" i="3" s="1"/>
  <c r="V14" i="6"/>
  <c r="U19" i="3" s="1"/>
  <c r="V33" i="6"/>
  <c r="U38" i="3" s="1"/>
  <c r="V28" i="6"/>
  <c r="U33" i="3" s="1"/>
  <c r="V23" i="6"/>
  <c r="U28" i="3" s="1"/>
  <c r="V12" i="6"/>
  <c r="U17" i="3" s="1"/>
  <c r="V31" i="6"/>
  <c r="V26" i="6"/>
  <c r="U31" i="3" s="1"/>
  <c r="V34" i="6"/>
  <c r="U39" i="3" s="1"/>
  <c r="V29" i="6"/>
  <c r="U34" i="3" s="1"/>
  <c r="V32" i="6"/>
  <c r="U37" i="3" s="1"/>
  <c r="V27" i="6"/>
  <c r="U32" i="3" s="1"/>
  <c r="V22" i="6"/>
  <c r="V11" i="6"/>
  <c r="V6" i="6"/>
  <c r="V15" i="6"/>
  <c r="U20" i="3" s="1"/>
  <c r="V7" i="6"/>
  <c r="U12" i="3" s="1"/>
  <c r="V9" i="6"/>
  <c r="V13" i="6"/>
  <c r="U18" i="3" s="1"/>
  <c r="K19" i="6"/>
  <c r="J24" i="3" s="1"/>
  <c r="K20" i="6"/>
  <c r="J25" i="3" s="1"/>
  <c r="K18" i="6"/>
  <c r="J23" i="3" s="1"/>
  <c r="K17" i="6"/>
  <c r="U19" i="6"/>
  <c r="T24" i="3" s="1"/>
  <c r="U20" i="6"/>
  <c r="T25" i="3" s="1"/>
  <c r="U18" i="6"/>
  <c r="T23" i="3" s="1"/>
  <c r="U17" i="6"/>
  <c r="E33" i="6"/>
  <c r="D38" i="3" s="1"/>
  <c r="E28" i="6"/>
  <c r="D33" i="3" s="1"/>
  <c r="E23" i="6"/>
  <c r="D28" i="3" s="1"/>
  <c r="E12" i="6"/>
  <c r="D17" i="3" s="1"/>
  <c r="E31" i="6"/>
  <c r="E26" i="6"/>
  <c r="D31" i="3" s="1"/>
  <c r="E15" i="6"/>
  <c r="D20" i="3" s="1"/>
  <c r="E34" i="6"/>
  <c r="D39" i="3" s="1"/>
  <c r="E29" i="6"/>
  <c r="D34" i="3" s="1"/>
  <c r="E32" i="6"/>
  <c r="D37" i="3" s="1"/>
  <c r="E27" i="6"/>
  <c r="D32" i="3" s="1"/>
  <c r="E22" i="6"/>
  <c r="E11" i="6"/>
  <c r="E25" i="6"/>
  <c r="D30" i="3" s="1"/>
  <c r="E14" i="6"/>
  <c r="D19" i="3" s="1"/>
  <c r="E9" i="6"/>
  <c r="E13" i="6"/>
  <c r="D18" i="3" s="1"/>
  <c r="O33" i="6"/>
  <c r="N38" i="3" s="1"/>
  <c r="O28" i="6"/>
  <c r="N33" i="3" s="1"/>
  <c r="O23" i="6"/>
  <c r="N28" i="3" s="1"/>
  <c r="O12" i="6"/>
  <c r="N17" i="3" s="1"/>
  <c r="O31" i="6"/>
  <c r="O26" i="6"/>
  <c r="N31" i="3" s="1"/>
  <c r="O15" i="6"/>
  <c r="N20" i="3" s="1"/>
  <c r="O34" i="6"/>
  <c r="N39" i="3" s="1"/>
  <c r="O29" i="6"/>
  <c r="N34" i="3" s="1"/>
  <c r="O32" i="6"/>
  <c r="N37" i="3" s="1"/>
  <c r="O27" i="6"/>
  <c r="N32" i="3" s="1"/>
  <c r="O22" i="6"/>
  <c r="O11" i="6"/>
  <c r="O25" i="6"/>
  <c r="N30" i="3" s="1"/>
  <c r="O14" i="6"/>
  <c r="N19" i="3" s="1"/>
  <c r="O9" i="6"/>
  <c r="O13" i="6"/>
  <c r="N18" i="3" s="1"/>
  <c r="O6" i="6"/>
  <c r="Y33" i="6"/>
  <c r="X38" i="3" s="1"/>
  <c r="Y28" i="6"/>
  <c r="X33" i="3" s="1"/>
  <c r="Y23" i="6"/>
  <c r="X28" i="3" s="1"/>
  <c r="Y12" i="6"/>
  <c r="X17" i="3" s="1"/>
  <c r="Y31" i="6"/>
  <c r="Y26" i="6"/>
  <c r="X31" i="3" s="1"/>
  <c r="Y15" i="6"/>
  <c r="X20" i="3" s="1"/>
  <c r="Y34" i="6"/>
  <c r="X39" i="3" s="1"/>
  <c r="Y29" i="6"/>
  <c r="X34" i="3" s="1"/>
  <c r="Y32" i="6"/>
  <c r="X37" i="3" s="1"/>
  <c r="Y27" i="6"/>
  <c r="X32" i="3" s="1"/>
  <c r="Y22" i="6"/>
  <c r="Y11" i="6"/>
  <c r="Y25" i="6"/>
  <c r="X30" i="3" s="1"/>
  <c r="Y14" i="6"/>
  <c r="X19" i="3" s="1"/>
  <c r="Y9" i="6"/>
  <c r="Y8" i="6"/>
  <c r="X13" i="3" s="1"/>
  <c r="Y6" i="6"/>
  <c r="Y13" i="6"/>
  <c r="X18" i="3" s="1"/>
  <c r="Y7" i="6"/>
  <c r="X12" i="3" s="1"/>
  <c r="I10" i="6"/>
  <c r="H15" i="3" s="1"/>
  <c r="AB37" i="6"/>
  <c r="AB10" i="6"/>
  <c r="O8" i="6"/>
  <c r="N13" i="3" s="1"/>
  <c r="AC10" i="6"/>
  <c r="E7" i="6"/>
  <c r="D12" i="3" s="1"/>
  <c r="S10" i="6"/>
  <c r="R15" i="3" s="1"/>
  <c r="E8" i="6"/>
  <c r="D13" i="3" s="1"/>
  <c r="J17" i="6"/>
  <c r="N8" i="6"/>
  <c r="M13" i="3" s="1"/>
  <c r="D12" i="6"/>
  <c r="C17" i="3" s="1"/>
  <c r="X12" i="6"/>
  <c r="W17" i="3" s="1"/>
  <c r="G22" i="6"/>
  <c r="D13" i="6"/>
  <c r="C18" i="3" s="1"/>
  <c r="X13" i="6"/>
  <c r="W18" i="3" s="1"/>
  <c r="D8" i="6"/>
  <c r="C13" i="3" s="1"/>
  <c r="Q8" i="6"/>
  <c r="P13" i="3" s="1"/>
  <c r="G13" i="6"/>
  <c r="F18" i="3" s="1"/>
  <c r="J19" i="6"/>
  <c r="I24" i="3" s="1"/>
  <c r="J18" i="6"/>
  <c r="I23" i="3" s="1"/>
  <c r="T19" i="6"/>
  <c r="S24" i="3" s="1"/>
  <c r="T18" i="6"/>
  <c r="S23" i="3" s="1"/>
  <c r="D33" i="6"/>
  <c r="C38" i="3" s="1"/>
  <c r="D28" i="6"/>
  <c r="C33" i="3" s="1"/>
  <c r="D23" i="6"/>
  <c r="C28" i="3" s="1"/>
  <c r="D31" i="6"/>
  <c r="D26" i="6"/>
  <c r="C31" i="3" s="1"/>
  <c r="D15" i="6"/>
  <c r="C20" i="3" s="1"/>
  <c r="D34" i="6"/>
  <c r="C39" i="3" s="1"/>
  <c r="D29" i="6"/>
  <c r="C34" i="3" s="1"/>
  <c r="D32" i="6"/>
  <c r="C37" i="3" s="1"/>
  <c r="D27" i="6"/>
  <c r="C32" i="3" s="1"/>
  <c r="D25" i="6"/>
  <c r="C30" i="3" s="1"/>
  <c r="D14" i="6"/>
  <c r="C19" i="3" s="1"/>
  <c r="D9" i="6"/>
  <c r="N33" i="6"/>
  <c r="M38" i="3" s="1"/>
  <c r="N28" i="6"/>
  <c r="M33" i="3" s="1"/>
  <c r="N23" i="6"/>
  <c r="M28" i="3" s="1"/>
  <c r="N31" i="6"/>
  <c r="N26" i="6"/>
  <c r="M31" i="3" s="1"/>
  <c r="N15" i="6"/>
  <c r="M20" i="3" s="1"/>
  <c r="N34" i="6"/>
  <c r="M39" i="3" s="1"/>
  <c r="N29" i="6"/>
  <c r="M34" i="3" s="1"/>
  <c r="N32" i="6"/>
  <c r="M37" i="3" s="1"/>
  <c r="N27" i="6"/>
  <c r="M32" i="3" s="1"/>
  <c r="N25" i="6"/>
  <c r="M30" i="3" s="1"/>
  <c r="N14" i="6"/>
  <c r="M19" i="3" s="1"/>
  <c r="N9" i="6"/>
  <c r="X33" i="6"/>
  <c r="W38" i="3" s="1"/>
  <c r="X28" i="6"/>
  <c r="W33" i="3" s="1"/>
  <c r="X23" i="6"/>
  <c r="X31" i="6"/>
  <c r="X26" i="6"/>
  <c r="W31" i="3" s="1"/>
  <c r="X15" i="6"/>
  <c r="W20" i="3" s="1"/>
  <c r="X34" i="6"/>
  <c r="W39" i="3" s="1"/>
  <c r="X29" i="6"/>
  <c r="W34" i="3" s="1"/>
  <c r="X32" i="6"/>
  <c r="W37" i="3" s="1"/>
  <c r="X27" i="6"/>
  <c r="W32" i="3" s="1"/>
  <c r="X25" i="6"/>
  <c r="W30" i="3" s="1"/>
  <c r="X14" i="6"/>
  <c r="W19" i="3" s="1"/>
  <c r="X9" i="6"/>
  <c r="H37" i="6"/>
  <c r="H10" i="6"/>
  <c r="G15" i="3" s="1"/>
  <c r="X11" i="6"/>
  <c r="N12" i="6"/>
  <c r="M17" i="3" s="1"/>
  <c r="T20" i="6"/>
  <c r="S25" i="3" s="1"/>
  <c r="AA22" i="6"/>
  <c r="X8" i="6"/>
  <c r="W13" i="3" s="1"/>
  <c r="N13" i="6"/>
  <c r="M18" i="3" s="1"/>
  <c r="M19" i="6"/>
  <c r="L24" i="3" s="1"/>
  <c r="M17" i="6"/>
  <c r="M18" i="6"/>
  <c r="L23" i="3" s="1"/>
  <c r="W19" i="6"/>
  <c r="V24" i="3" s="1"/>
  <c r="W17" i="6"/>
  <c r="W18" i="6"/>
  <c r="V23" i="3" s="1"/>
  <c r="G31" i="6"/>
  <c r="G26" i="6"/>
  <c r="F31" i="3" s="1"/>
  <c r="G15" i="6"/>
  <c r="F20" i="3" s="1"/>
  <c r="G34" i="6"/>
  <c r="F39" i="3" s="1"/>
  <c r="G29" i="6"/>
  <c r="F34" i="3" s="1"/>
  <c r="G32" i="6"/>
  <c r="F37" i="3" s="1"/>
  <c r="G27" i="6"/>
  <c r="F32" i="3" s="1"/>
  <c r="G25" i="6"/>
  <c r="F30" i="3" s="1"/>
  <c r="G14" i="6"/>
  <c r="F19" i="3" s="1"/>
  <c r="G9" i="6"/>
  <c r="G33" i="6"/>
  <c r="F38" i="3" s="1"/>
  <c r="G28" i="6"/>
  <c r="F33" i="3" s="1"/>
  <c r="G23" i="6"/>
  <c r="F28" i="3" s="1"/>
  <c r="G12" i="6"/>
  <c r="F17" i="3" s="1"/>
  <c r="G7" i="6"/>
  <c r="F12" i="3" s="1"/>
  <c r="Q31" i="6"/>
  <c r="Q26" i="6"/>
  <c r="P31" i="3" s="1"/>
  <c r="Q15" i="6"/>
  <c r="P20" i="3" s="1"/>
  <c r="Q34" i="6"/>
  <c r="P39" i="3" s="1"/>
  <c r="Q29" i="6"/>
  <c r="P34" i="3" s="1"/>
  <c r="Q32" i="6"/>
  <c r="P37" i="3" s="1"/>
  <c r="Q27" i="6"/>
  <c r="P32" i="3" s="1"/>
  <c r="Q25" i="6"/>
  <c r="P30" i="3" s="1"/>
  <c r="Q14" i="6"/>
  <c r="P19" i="3" s="1"/>
  <c r="Q9" i="6"/>
  <c r="Q33" i="6"/>
  <c r="P38" i="3" s="1"/>
  <c r="Q28" i="6"/>
  <c r="P33" i="3" s="1"/>
  <c r="Q23" i="6"/>
  <c r="Q12" i="6"/>
  <c r="P17" i="3" s="1"/>
  <c r="Q7" i="6"/>
  <c r="P12" i="3" s="1"/>
  <c r="AA31" i="6"/>
  <c r="AA26" i="6"/>
  <c r="Z31" i="3" s="1"/>
  <c r="AA15" i="6"/>
  <c r="Z20" i="3" s="1"/>
  <c r="AA34" i="6"/>
  <c r="AA29" i="6"/>
  <c r="Z34" i="3" s="1"/>
  <c r="AA13" i="6"/>
  <c r="Z18" i="3" s="1"/>
  <c r="AA32" i="6"/>
  <c r="Z37" i="3" s="1"/>
  <c r="AA27" i="6"/>
  <c r="Z32" i="3" s="1"/>
  <c r="AA25" i="6"/>
  <c r="Z30" i="3" s="1"/>
  <c r="AA14" i="6"/>
  <c r="AA9" i="6"/>
  <c r="AA33" i="6"/>
  <c r="Z38" i="3" s="1"/>
  <c r="AA28" i="6"/>
  <c r="Z33" i="3" s="1"/>
  <c r="AA23" i="6"/>
  <c r="AA12" i="6"/>
  <c r="AA7" i="6"/>
  <c r="AA37" i="6" s="1"/>
  <c r="D22" i="6"/>
  <c r="H15" i="6"/>
  <c r="G20" i="3" s="1"/>
  <c r="R15" i="6"/>
  <c r="Q20" i="3" s="1"/>
  <c r="AB15" i="6"/>
  <c r="D19" i="6"/>
  <c r="C24" i="3" s="1"/>
  <c r="N19" i="6"/>
  <c r="M24" i="3" s="1"/>
  <c r="X19" i="6"/>
  <c r="W24" i="3" s="1"/>
  <c r="H26" i="6"/>
  <c r="G31" i="3" s="1"/>
  <c r="R26" i="6"/>
  <c r="Q31" i="3" s="1"/>
  <c r="AB26" i="6"/>
  <c r="H31" i="6"/>
  <c r="R31" i="6"/>
  <c r="AB31" i="6"/>
  <c r="I15" i="6"/>
  <c r="H20" i="3" s="1"/>
  <c r="S15" i="6"/>
  <c r="R20" i="3" s="1"/>
  <c r="AC15" i="6"/>
  <c r="E19" i="6"/>
  <c r="D24" i="3" s="1"/>
  <c r="O19" i="6"/>
  <c r="N24" i="3" s="1"/>
  <c r="Y19" i="6"/>
  <c r="X24" i="3" s="1"/>
  <c r="I26" i="6"/>
  <c r="H31" i="3" s="1"/>
  <c r="S26" i="6"/>
  <c r="R31" i="3" s="1"/>
  <c r="AC26" i="6"/>
  <c r="I31" i="6"/>
  <c r="S31" i="6"/>
  <c r="AC31" i="6"/>
  <c r="H28" i="6"/>
  <c r="G33" i="3" s="1"/>
  <c r="R28" i="6"/>
  <c r="Q33" i="3" s="1"/>
  <c r="AB28" i="6"/>
  <c r="H33" i="6"/>
  <c r="G38" i="3" s="1"/>
  <c r="R33" i="6"/>
  <c r="Q38" i="3" s="1"/>
  <c r="AB33" i="6"/>
  <c r="I12" i="6"/>
  <c r="H17" i="3" s="1"/>
  <c r="S12" i="6"/>
  <c r="R17" i="3" s="1"/>
  <c r="AC12" i="6"/>
  <c r="AC37" i="6" s="1"/>
  <c r="I23" i="6"/>
  <c r="H28" i="3" s="1"/>
  <c r="S23" i="6"/>
  <c r="R28" i="3" s="1"/>
  <c r="AC23" i="6"/>
  <c r="I28" i="6"/>
  <c r="H33" i="3" s="1"/>
  <c r="S28" i="6"/>
  <c r="R33" i="3" s="1"/>
  <c r="AC28" i="6"/>
  <c r="I33" i="6"/>
  <c r="H38" i="3" s="1"/>
  <c r="S33" i="6"/>
  <c r="R38" i="3" s="1"/>
  <c r="AC33" i="6"/>
  <c r="H25" i="6"/>
  <c r="G30" i="3" s="1"/>
  <c r="R25" i="6"/>
  <c r="Q30" i="3" s="1"/>
  <c r="AB25" i="6"/>
  <c r="I25" i="6"/>
  <c r="H30" i="3" s="1"/>
  <c r="S25" i="6"/>
  <c r="R30" i="3" s="1"/>
  <c r="AC25" i="6"/>
  <c r="D20" i="6"/>
  <c r="C25" i="3" s="1"/>
  <c r="N20" i="6"/>
  <c r="M25" i="3" s="1"/>
  <c r="X20" i="6"/>
  <c r="W25" i="3" s="1"/>
  <c r="H22" i="6"/>
  <c r="R22" i="6"/>
  <c r="AB22" i="6"/>
  <c r="H27" i="6"/>
  <c r="G32" i="3" s="1"/>
  <c r="R27" i="6"/>
  <c r="Q32" i="3" s="1"/>
  <c r="AB27" i="6"/>
  <c r="H32" i="6"/>
  <c r="G37" i="3" s="1"/>
  <c r="R32" i="6"/>
  <c r="Q37" i="3" s="1"/>
  <c r="AB32" i="6"/>
  <c r="E20" i="6"/>
  <c r="D25" i="3" s="1"/>
  <c r="O20" i="6"/>
  <c r="N25" i="3" s="1"/>
  <c r="Y20" i="6"/>
  <c r="X25" i="3" s="1"/>
  <c r="I22" i="6"/>
  <c r="S22" i="6"/>
  <c r="AC22" i="6"/>
  <c r="I27" i="6"/>
  <c r="H32" i="3" s="1"/>
  <c r="S27" i="6"/>
  <c r="R32" i="3" s="1"/>
  <c r="AC27" i="6"/>
  <c r="I32" i="6"/>
  <c r="H37" i="3" s="1"/>
  <c r="S32" i="6"/>
  <c r="R37" i="3" s="1"/>
  <c r="AC32" i="6"/>
  <c r="AB13" i="6"/>
  <c r="AB16" i="6" s="1"/>
  <c r="H29" i="6"/>
  <c r="G34" i="3" s="1"/>
  <c r="R29" i="6"/>
  <c r="Q34" i="3" s="1"/>
  <c r="AB29" i="6"/>
  <c r="I13" i="6"/>
  <c r="H18" i="3" s="1"/>
  <c r="S13" i="6"/>
  <c r="R18" i="3" s="1"/>
  <c r="AC13" i="6"/>
  <c r="I29" i="6"/>
  <c r="H34" i="3" s="1"/>
  <c r="S29" i="6"/>
  <c r="R34" i="3" s="1"/>
  <c r="AC29" i="6"/>
  <c r="AJ11" i="6" l="1"/>
  <c r="AK11" i="6" s="1"/>
  <c r="AA16" i="3"/>
  <c r="Z13" i="3"/>
  <c r="AJ8" i="6"/>
  <c r="AK8" i="6" s="1"/>
  <c r="AB11" i="3"/>
  <c r="AF6" i="6"/>
  <c r="AE6" i="6"/>
  <c r="G10" i="6"/>
  <c r="F15" i="3" s="1"/>
  <c r="Q30" i="6"/>
  <c r="P35" i="3" s="1"/>
  <c r="N37" i="6"/>
  <c r="AJ6" i="6"/>
  <c r="AK6" i="6" s="1"/>
  <c r="AF8" i="6"/>
  <c r="AB13" i="3"/>
  <c r="AE8" i="6"/>
  <c r="AE14" i="6"/>
  <c r="AF14" i="6"/>
  <c r="AB19" i="3"/>
  <c r="AE9" i="6"/>
  <c r="AB14" i="3"/>
  <c r="AF9" i="6"/>
  <c r="N10" i="6"/>
  <c r="M15" i="3" s="1"/>
  <c r="AG11" i="6"/>
  <c r="AF11" i="6"/>
  <c r="AB16" i="3"/>
  <c r="AE11" i="6"/>
  <c r="AG12" i="6"/>
  <c r="AB12" i="3"/>
  <c r="AF7" i="6"/>
  <c r="AE7" i="6"/>
  <c r="AA21" i="3"/>
  <c r="AD16" i="6"/>
  <c r="AF37" i="6"/>
  <c r="AE37" i="6"/>
  <c r="AB42" i="3"/>
  <c r="I35" i="6"/>
  <c r="H36" i="3"/>
  <c r="R35" i="6"/>
  <c r="Q36" i="3"/>
  <c r="AB18" i="3"/>
  <c r="AE13" i="6"/>
  <c r="AF13" i="6"/>
  <c r="X16" i="6"/>
  <c r="W21" i="3" s="1"/>
  <c r="W16" i="3"/>
  <c r="D38" i="6"/>
  <c r="C43" i="3" s="1"/>
  <c r="C14" i="3"/>
  <c r="Z42" i="3"/>
  <c r="Q10" i="6"/>
  <c r="P15" i="3" s="1"/>
  <c r="I37" i="6"/>
  <c r="F37" i="6"/>
  <c r="F10" i="6"/>
  <c r="E15" i="3" s="1"/>
  <c r="E11" i="3"/>
  <c r="N30" i="6"/>
  <c r="M35" i="3" s="1"/>
  <c r="AA20" i="3"/>
  <c r="AJ15" i="6"/>
  <c r="AK15" i="6" s="1"/>
  <c r="AE33" i="6"/>
  <c r="AF33" i="6"/>
  <c r="AB38" i="3"/>
  <c r="E38" i="6"/>
  <c r="D43" i="3" s="1"/>
  <c r="D14" i="3"/>
  <c r="K21" i="6"/>
  <c r="J22" i="3"/>
  <c r="AA24" i="3"/>
  <c r="AJ19" i="6"/>
  <c r="AK19" i="6" s="1"/>
  <c r="AF20" i="6"/>
  <c r="AB25" i="3"/>
  <c r="AE20" i="6"/>
  <c r="Z35" i="6"/>
  <c r="Y36" i="3"/>
  <c r="AB30" i="3"/>
  <c r="AF25" i="6"/>
  <c r="AE25" i="6"/>
  <c r="AJ7" i="6"/>
  <c r="AK7" i="6" s="1"/>
  <c r="Z12" i="3"/>
  <c r="Q35" i="6"/>
  <c r="P36" i="3"/>
  <c r="L22" i="3"/>
  <c r="M21" i="6"/>
  <c r="I38" i="6"/>
  <c r="H43" i="3" s="1"/>
  <c r="AA10" i="6"/>
  <c r="Z15" i="3" s="1"/>
  <c r="AB15" i="3"/>
  <c r="AE10" i="6"/>
  <c r="AF10" i="6"/>
  <c r="O37" i="6"/>
  <c r="O10" i="6"/>
  <c r="N15" i="3" s="1"/>
  <c r="N11" i="3"/>
  <c r="E35" i="6"/>
  <c r="D36" i="3"/>
  <c r="S38" i="6"/>
  <c r="R43" i="3" s="1"/>
  <c r="AB21" i="6"/>
  <c r="AJ17" i="6"/>
  <c r="AK17" i="6" s="1"/>
  <c r="AA22" i="3"/>
  <c r="AC21" i="6"/>
  <c r="AE17" i="6"/>
  <c r="AF17" i="6"/>
  <c r="AB22" i="3"/>
  <c r="T38" i="6"/>
  <c r="S43" i="3" s="1"/>
  <c r="S14" i="3"/>
  <c r="J38" i="6"/>
  <c r="I43" i="3" s="1"/>
  <c r="I14" i="3"/>
  <c r="Y22" i="3"/>
  <c r="Z21" i="6"/>
  <c r="P38" i="6"/>
  <c r="O43" i="3" s="1"/>
  <c r="O14" i="3"/>
  <c r="F30" i="6"/>
  <c r="E35" i="3" s="1"/>
  <c r="E27" i="3"/>
  <c r="F41" i="6"/>
  <c r="E46" i="3" s="1"/>
  <c r="E37" i="6"/>
  <c r="D16" i="6"/>
  <c r="C21" i="3" s="1"/>
  <c r="AE27" i="6"/>
  <c r="AB32" i="3"/>
  <c r="AF27" i="6"/>
  <c r="AB33" i="3"/>
  <c r="AF28" i="6"/>
  <c r="AE28" i="6"/>
  <c r="AA31" i="3"/>
  <c r="AJ26" i="6"/>
  <c r="AK26" i="6" s="1"/>
  <c r="AA32" i="3"/>
  <c r="AJ27" i="6"/>
  <c r="AK27" i="6" s="1"/>
  <c r="AA33" i="3"/>
  <c r="AJ28" i="6"/>
  <c r="AK28" i="6" s="1"/>
  <c r="Z17" i="3"/>
  <c r="AJ12" i="6"/>
  <c r="AK12" i="6" s="1"/>
  <c r="Q38" i="6"/>
  <c r="P43" i="3" s="1"/>
  <c r="P14" i="3"/>
  <c r="I22" i="3"/>
  <c r="J21" i="6"/>
  <c r="AA25" i="3"/>
  <c r="AJ20" i="6"/>
  <c r="AK20" i="6" s="1"/>
  <c r="W37" i="6"/>
  <c r="W10" i="6"/>
  <c r="V15" i="3" s="1"/>
  <c r="V11" i="3"/>
  <c r="W35" i="6"/>
  <c r="V36" i="3"/>
  <c r="M37" i="6"/>
  <c r="M10" i="6"/>
  <c r="L15" i="3" s="1"/>
  <c r="L11" i="3"/>
  <c r="M35" i="6"/>
  <c r="L36" i="3"/>
  <c r="AB23" i="3"/>
  <c r="AF18" i="6"/>
  <c r="AE18" i="6"/>
  <c r="J35" i="6"/>
  <c r="I36" i="3"/>
  <c r="N41" i="6"/>
  <c r="M46" i="3" s="1"/>
  <c r="Z16" i="6"/>
  <c r="Y21" i="3" s="1"/>
  <c r="Y16" i="3"/>
  <c r="F38" i="6"/>
  <c r="E43" i="3" s="1"/>
  <c r="E14" i="3"/>
  <c r="V21" i="6"/>
  <c r="U22" i="3"/>
  <c r="Q21" i="6"/>
  <c r="P22" i="3"/>
  <c r="T21" i="6"/>
  <c r="U16" i="6"/>
  <c r="T21" i="3" s="1"/>
  <c r="T16" i="3"/>
  <c r="G42" i="3"/>
  <c r="X35" i="6"/>
  <c r="W36" i="3"/>
  <c r="H16" i="6"/>
  <c r="G21" i="3" s="1"/>
  <c r="O38" i="6"/>
  <c r="N43" i="3" s="1"/>
  <c r="N14" i="3"/>
  <c r="E16" i="6"/>
  <c r="D21" i="3" s="1"/>
  <c r="D16" i="3"/>
  <c r="V38" i="6"/>
  <c r="U43" i="3" s="1"/>
  <c r="U14" i="3"/>
  <c r="L35" i="6"/>
  <c r="K36" i="3"/>
  <c r="AA23" i="3"/>
  <c r="AJ18" i="6"/>
  <c r="AK18" i="6" s="1"/>
  <c r="Q42" i="3"/>
  <c r="W16" i="6"/>
  <c r="V21" i="3" s="1"/>
  <c r="V16" i="3"/>
  <c r="M16" i="6"/>
  <c r="L21" i="3" s="1"/>
  <c r="L16" i="3"/>
  <c r="T16" i="6"/>
  <c r="S21" i="3" s="1"/>
  <c r="S16" i="3"/>
  <c r="T35" i="6"/>
  <c r="S36" i="3"/>
  <c r="W22" i="3"/>
  <c r="X21" i="6"/>
  <c r="P16" i="6"/>
  <c r="O21" i="3" s="1"/>
  <c r="O16" i="3"/>
  <c r="F16" i="6"/>
  <c r="E21" i="3" s="1"/>
  <c r="E16" i="3"/>
  <c r="K35" i="6"/>
  <c r="J36" i="3"/>
  <c r="U30" i="6"/>
  <c r="T35" i="3" s="1"/>
  <c r="T27" i="3"/>
  <c r="U41" i="6"/>
  <c r="T46" i="3" s="1"/>
  <c r="AB30" i="6"/>
  <c r="AA27" i="3"/>
  <c r="AB41" i="6"/>
  <c r="AJ22" i="6"/>
  <c r="AK22" i="6" s="1"/>
  <c r="AB17" i="3"/>
  <c r="AE12" i="6"/>
  <c r="AF12" i="6"/>
  <c r="AJ29" i="6"/>
  <c r="AK29" i="6" s="1"/>
  <c r="AA34" i="3"/>
  <c r="AC30" i="6"/>
  <c r="AE22" i="6"/>
  <c r="AF22" i="6"/>
  <c r="AC41" i="6"/>
  <c r="AB27" i="3"/>
  <c r="AB28" i="3"/>
  <c r="AF23" i="6"/>
  <c r="AE23" i="6"/>
  <c r="Z28" i="3"/>
  <c r="AJ23" i="6"/>
  <c r="AK23" i="6" s="1"/>
  <c r="Z39" i="3"/>
  <c r="AJ34" i="6"/>
  <c r="AK34" i="6" s="1"/>
  <c r="Y37" i="6"/>
  <c r="Y10" i="6"/>
  <c r="X15" i="3" s="1"/>
  <c r="X11" i="3"/>
  <c r="S30" i="6"/>
  <c r="R35" i="3" s="1"/>
  <c r="R27" i="3"/>
  <c r="S41" i="6"/>
  <c r="R46" i="3" s="1"/>
  <c r="AA30" i="3"/>
  <c r="AJ25" i="6"/>
  <c r="AK25" i="6" s="1"/>
  <c r="AH16" i="6"/>
  <c r="AH17" i="6" s="1"/>
  <c r="AE15" i="6"/>
  <c r="AB20" i="3"/>
  <c r="AF15" i="6"/>
  <c r="AG14" i="6"/>
  <c r="I16" i="6"/>
  <c r="H21" i="3" s="1"/>
  <c r="X38" i="6"/>
  <c r="W43" i="3" s="1"/>
  <c r="W14" i="3"/>
  <c r="W28" i="3"/>
  <c r="X41" i="6"/>
  <c r="W46" i="3" s="1"/>
  <c r="G30" i="6"/>
  <c r="F35" i="3" s="1"/>
  <c r="F27" i="3"/>
  <c r="G41" i="6"/>
  <c r="F46" i="3" s="1"/>
  <c r="M42" i="3"/>
  <c r="O35" i="6"/>
  <c r="N36" i="3"/>
  <c r="E30" i="6"/>
  <c r="D35" i="3" s="1"/>
  <c r="E41" i="6"/>
  <c r="D46" i="3" s="1"/>
  <c r="D27" i="3"/>
  <c r="Q16" i="6"/>
  <c r="P21" i="3" s="1"/>
  <c r="V35" i="6"/>
  <c r="U36" i="3"/>
  <c r="L38" i="6"/>
  <c r="K43" i="3" s="1"/>
  <c r="K14" i="3"/>
  <c r="R21" i="6"/>
  <c r="Q22" i="3"/>
  <c r="D10" i="6"/>
  <c r="C15" i="3" s="1"/>
  <c r="W30" i="6"/>
  <c r="V35" i="3" s="1"/>
  <c r="V27" i="3"/>
  <c r="W41" i="6"/>
  <c r="V46" i="3" s="1"/>
  <c r="M30" i="6"/>
  <c r="L35" i="3" s="1"/>
  <c r="M41" i="6"/>
  <c r="L46" i="3" s="1"/>
  <c r="L27" i="3"/>
  <c r="T37" i="6"/>
  <c r="T10" i="6"/>
  <c r="S15" i="3" s="1"/>
  <c r="S11" i="3"/>
  <c r="M22" i="3"/>
  <c r="N21" i="6"/>
  <c r="P30" i="6"/>
  <c r="O35" i="3" s="1"/>
  <c r="P41" i="6"/>
  <c r="O46" i="3" s="1"/>
  <c r="O27" i="3"/>
  <c r="K38" i="6"/>
  <c r="J43" i="3" s="1"/>
  <c r="J14" i="3"/>
  <c r="Z10" i="6"/>
  <c r="Y15" i="3" s="1"/>
  <c r="I30" i="6"/>
  <c r="H35" i="3" s="1"/>
  <c r="H27" i="3"/>
  <c r="I41" i="6"/>
  <c r="H46" i="3" s="1"/>
  <c r="AC35" i="6"/>
  <c r="AF31" i="6"/>
  <c r="AB36" i="3"/>
  <c r="AE31" i="6"/>
  <c r="AC38" i="6"/>
  <c r="Y38" i="6"/>
  <c r="X43" i="3" s="1"/>
  <c r="X14" i="3"/>
  <c r="E10" i="6"/>
  <c r="D15" i="3" s="1"/>
  <c r="L37" i="6"/>
  <c r="L10" i="6"/>
  <c r="K15" i="3" s="1"/>
  <c r="K11" i="3"/>
  <c r="D37" i="6"/>
  <c r="R22" i="3"/>
  <c r="S21" i="6"/>
  <c r="J16" i="6"/>
  <c r="I21" i="3" s="1"/>
  <c r="I16" i="3"/>
  <c r="P21" i="6"/>
  <c r="O22" i="3"/>
  <c r="C22" i="3"/>
  <c r="D21" i="6"/>
  <c r="Z38" i="6"/>
  <c r="Y43" i="3" s="1"/>
  <c r="Y14" i="3"/>
  <c r="J10" i="6"/>
  <c r="I15" i="3" s="1"/>
  <c r="K37" i="6"/>
  <c r="K10" i="6"/>
  <c r="J15" i="3" s="1"/>
  <c r="J11" i="3"/>
  <c r="Z37" i="6"/>
  <c r="AA38" i="6"/>
  <c r="Z43" i="3" s="1"/>
  <c r="AJ9" i="6"/>
  <c r="AK9" i="6" s="1"/>
  <c r="Z14" i="3"/>
  <c r="AA35" i="6"/>
  <c r="Z36" i="3"/>
  <c r="G35" i="6"/>
  <c r="F36" i="3"/>
  <c r="N35" i="6"/>
  <c r="M36" i="3"/>
  <c r="S37" i="6"/>
  <c r="AD10" i="6"/>
  <c r="AJ10" i="6"/>
  <c r="AK10" i="6" s="1"/>
  <c r="AA15" i="3"/>
  <c r="Y35" i="6"/>
  <c r="X36" i="3"/>
  <c r="O16" i="6"/>
  <c r="N21" i="3" s="1"/>
  <c r="N16" i="3"/>
  <c r="U21" i="6"/>
  <c r="T22" i="3"/>
  <c r="N16" i="6"/>
  <c r="M21" i="3" s="1"/>
  <c r="V37" i="6"/>
  <c r="V10" i="6"/>
  <c r="U15" i="3" s="1"/>
  <c r="U11" i="3"/>
  <c r="L16" i="6"/>
  <c r="K21" i="3" s="1"/>
  <c r="K16" i="3"/>
  <c r="X22" i="3"/>
  <c r="Y21" i="6"/>
  <c r="W38" i="6"/>
  <c r="V43" i="3" s="1"/>
  <c r="V14" i="3"/>
  <c r="M38" i="6"/>
  <c r="L43" i="3" s="1"/>
  <c r="L14" i="3"/>
  <c r="Z30" i="6"/>
  <c r="Y35" i="3" s="1"/>
  <c r="Y27" i="3"/>
  <c r="Z41" i="6"/>
  <c r="Y46" i="3" s="1"/>
  <c r="K22" i="3"/>
  <c r="L21" i="6"/>
  <c r="J37" i="6"/>
  <c r="F22" i="3"/>
  <c r="G21" i="6"/>
  <c r="U37" i="6"/>
  <c r="U10" i="6"/>
  <c r="T15" i="3" s="1"/>
  <c r="T11" i="3"/>
  <c r="U35" i="6"/>
  <c r="T36" i="3"/>
  <c r="Z22" i="3"/>
  <c r="AA21" i="6"/>
  <c r="AA18" i="3"/>
  <c r="AJ13" i="6"/>
  <c r="AK13" i="6" s="1"/>
  <c r="S35" i="6"/>
  <c r="R36" i="3"/>
  <c r="AB37" i="3"/>
  <c r="AF32" i="6"/>
  <c r="AE32" i="6"/>
  <c r="H30" i="6"/>
  <c r="G35" i="3" s="1"/>
  <c r="G27" i="3"/>
  <c r="H41" i="6"/>
  <c r="G46" i="3" s="1"/>
  <c r="AB35" i="6"/>
  <c r="AJ31" i="6"/>
  <c r="AK31" i="6" s="1"/>
  <c r="AA36" i="3"/>
  <c r="Z19" i="3"/>
  <c r="AJ14" i="6"/>
  <c r="AK14" i="6" s="1"/>
  <c r="G38" i="6"/>
  <c r="F43" i="3" s="1"/>
  <c r="F14" i="3"/>
  <c r="AA30" i="6"/>
  <c r="Z35" i="3" s="1"/>
  <c r="Z27" i="3"/>
  <c r="AA41" i="6"/>
  <c r="Z46" i="3" s="1"/>
  <c r="N38" i="6"/>
  <c r="M43" i="3" s="1"/>
  <c r="M14" i="3"/>
  <c r="X10" i="6"/>
  <c r="W15" i="3" s="1"/>
  <c r="AC16" i="6"/>
  <c r="AA42" i="3"/>
  <c r="AD37" i="6"/>
  <c r="AJ37" i="6"/>
  <c r="AK37" i="6" s="1"/>
  <c r="O30" i="6"/>
  <c r="N35" i="3" s="1"/>
  <c r="O41" i="6"/>
  <c r="N46" i="3" s="1"/>
  <c r="N27" i="3"/>
  <c r="AB38" i="6"/>
  <c r="V16" i="6"/>
  <c r="U21" i="3" s="1"/>
  <c r="U16" i="3"/>
  <c r="L30" i="6"/>
  <c r="K35" i="3" s="1"/>
  <c r="K27" i="3"/>
  <c r="L41" i="6"/>
  <c r="K46" i="3" s="1"/>
  <c r="O21" i="6"/>
  <c r="N22" i="3"/>
  <c r="J30" i="6"/>
  <c r="I35" i="3" s="1"/>
  <c r="J41" i="6"/>
  <c r="I46" i="3" s="1"/>
  <c r="I27" i="3"/>
  <c r="G16" i="6"/>
  <c r="F21" i="3" s="1"/>
  <c r="R30" i="6"/>
  <c r="Q35" i="3" s="1"/>
  <c r="Q27" i="3"/>
  <c r="R41" i="6"/>
  <c r="Q46" i="3" s="1"/>
  <c r="AB34" i="3"/>
  <c r="AF29" i="6"/>
  <c r="AE29" i="6"/>
  <c r="V22" i="3"/>
  <c r="W21" i="6"/>
  <c r="R16" i="6"/>
  <c r="Q21" i="3" s="1"/>
  <c r="Y16" i="6"/>
  <c r="X21" i="3" s="1"/>
  <c r="X16" i="3"/>
  <c r="T30" i="6"/>
  <c r="S35" i="3" s="1"/>
  <c r="T41" i="6"/>
  <c r="S46" i="3" s="1"/>
  <c r="S27" i="3"/>
  <c r="P37" i="6"/>
  <c r="P10" i="6"/>
  <c r="O15" i="3" s="1"/>
  <c r="O11" i="3"/>
  <c r="X30" i="6"/>
  <c r="W35" i="3" s="1"/>
  <c r="K16" i="6"/>
  <c r="J21" i="3" s="1"/>
  <c r="J16" i="3"/>
  <c r="U38" i="6"/>
  <c r="T43" i="3" s="1"/>
  <c r="T14" i="3"/>
  <c r="AB31" i="3"/>
  <c r="AE26" i="6"/>
  <c r="AF26" i="6"/>
  <c r="H38" i="6"/>
  <c r="G43" i="3" s="1"/>
  <c r="R38" i="6"/>
  <c r="Q43" i="3" s="1"/>
  <c r="X37" i="6"/>
  <c r="V30" i="6"/>
  <c r="U35" i="3" s="1"/>
  <c r="V41" i="6"/>
  <c r="U46" i="3" s="1"/>
  <c r="U27" i="3"/>
  <c r="E21" i="6"/>
  <c r="D22" i="3"/>
  <c r="AA37" i="3"/>
  <c r="AJ32" i="6"/>
  <c r="AK32" i="6" s="1"/>
  <c r="AA38" i="3"/>
  <c r="AJ33" i="6"/>
  <c r="AK33" i="6" s="1"/>
  <c r="H35" i="6"/>
  <c r="G36" i="3"/>
  <c r="D30" i="6"/>
  <c r="C35" i="3" s="1"/>
  <c r="C27" i="3"/>
  <c r="D41" i="6"/>
  <c r="C46" i="3" s="1"/>
  <c r="P28" i="3"/>
  <c r="Q41" i="6"/>
  <c r="P46" i="3" s="1"/>
  <c r="D35" i="6"/>
  <c r="C36" i="3"/>
  <c r="S16" i="6"/>
  <c r="R21" i="3" s="1"/>
  <c r="Q37" i="6"/>
  <c r="Y30" i="6"/>
  <c r="X35" i="3" s="1"/>
  <c r="X27" i="3"/>
  <c r="Y41" i="6"/>
  <c r="X46" i="3" s="1"/>
  <c r="G37" i="6"/>
  <c r="G22" i="3"/>
  <c r="H21" i="6"/>
  <c r="AB24" i="3"/>
  <c r="AF19" i="6"/>
  <c r="AE19" i="6"/>
  <c r="I21" i="6"/>
  <c r="H22" i="3"/>
  <c r="E22" i="3"/>
  <c r="F21" i="6"/>
  <c r="AA16" i="6"/>
  <c r="Z21" i="3" s="1"/>
  <c r="P35" i="6"/>
  <c r="O36" i="3"/>
  <c r="F35" i="6"/>
  <c r="E36" i="3"/>
  <c r="K30" i="6"/>
  <c r="J35" i="3" s="1"/>
  <c r="K41" i="6"/>
  <c r="J46" i="3" s="1"/>
  <c r="J27" i="3"/>
  <c r="U39" i="6" l="1"/>
  <c r="T44" i="3" s="1"/>
  <c r="T42" i="3"/>
  <c r="S39" i="6"/>
  <c r="R44" i="3" s="1"/>
  <c r="R42" i="3"/>
  <c r="Z39" i="6"/>
  <c r="Y44" i="3" s="1"/>
  <c r="Y42" i="3"/>
  <c r="O26" i="3"/>
  <c r="P40" i="6"/>
  <c r="T39" i="6"/>
  <c r="S44" i="3" s="1"/>
  <c r="S42" i="3"/>
  <c r="R36" i="6"/>
  <c r="Q41" i="3" s="1"/>
  <c r="Q40" i="3"/>
  <c r="AB21" i="3"/>
  <c r="AF16" i="6"/>
  <c r="AE16" i="6"/>
  <c r="S36" i="6"/>
  <c r="R41" i="3" s="1"/>
  <c r="R40" i="3"/>
  <c r="F26" i="3"/>
  <c r="G40" i="6"/>
  <c r="N39" i="6"/>
  <c r="M44" i="3" s="1"/>
  <c r="AE41" i="6"/>
  <c r="AB46" i="3"/>
  <c r="AF41" i="6"/>
  <c r="AA46" i="3"/>
  <c r="AJ41" i="6"/>
  <c r="AK41" i="6" s="1"/>
  <c r="M39" i="6"/>
  <c r="L44" i="3" s="1"/>
  <c r="L42" i="3"/>
  <c r="AA39" i="6"/>
  <c r="Z44" i="3" s="1"/>
  <c r="AA43" i="3"/>
  <c r="AJ38" i="6"/>
  <c r="AK38" i="6" s="1"/>
  <c r="AD38" i="6"/>
  <c r="T26" i="3"/>
  <c r="U40" i="6"/>
  <c r="N36" i="6"/>
  <c r="M41" i="3" s="1"/>
  <c r="M40" i="3"/>
  <c r="AB43" i="3"/>
  <c r="AF38" i="6"/>
  <c r="AE38" i="6"/>
  <c r="Y39" i="6"/>
  <c r="X44" i="3" s="1"/>
  <c r="X42" i="3"/>
  <c r="S26" i="3"/>
  <c r="T40" i="6"/>
  <c r="O39" i="6"/>
  <c r="N44" i="3" s="1"/>
  <c r="N42" i="3"/>
  <c r="Q36" i="6"/>
  <c r="P41" i="3" s="1"/>
  <c r="P40" i="3"/>
  <c r="I36" i="6"/>
  <c r="H41" i="3" s="1"/>
  <c r="H40" i="3"/>
  <c r="H26" i="3"/>
  <c r="I40" i="6"/>
  <c r="Q39" i="6"/>
  <c r="P44" i="3" s="1"/>
  <c r="P42" i="3"/>
  <c r="H36" i="6"/>
  <c r="G41" i="3" s="1"/>
  <c r="G40" i="3"/>
  <c r="X39" i="6"/>
  <c r="W44" i="3" s="1"/>
  <c r="W42" i="3"/>
  <c r="W40" i="6"/>
  <c r="V26" i="3"/>
  <c r="AB36" i="6"/>
  <c r="AJ35" i="6"/>
  <c r="AK35" i="6" s="1"/>
  <c r="AG35" i="6"/>
  <c r="AD35" i="6"/>
  <c r="AH35" i="6"/>
  <c r="AA40" i="3"/>
  <c r="J39" i="6"/>
  <c r="I44" i="3" s="1"/>
  <c r="I42" i="3"/>
  <c r="X26" i="3"/>
  <c r="Y40" i="6"/>
  <c r="K39" i="6"/>
  <c r="J44" i="3" s="1"/>
  <c r="J42" i="3"/>
  <c r="R26" i="3"/>
  <c r="S40" i="6"/>
  <c r="V36" i="6"/>
  <c r="U41" i="3" s="1"/>
  <c r="U40" i="3"/>
  <c r="AJ30" i="6"/>
  <c r="AK30" i="6" s="1"/>
  <c r="AD30" i="6"/>
  <c r="AG30" i="6"/>
  <c r="AA35" i="3"/>
  <c r="W26" i="3"/>
  <c r="X40" i="6"/>
  <c r="J36" i="6"/>
  <c r="I41" i="3" s="1"/>
  <c r="I40" i="3"/>
  <c r="W36" i="6"/>
  <c r="V41" i="3" s="1"/>
  <c r="V40" i="3"/>
  <c r="AC40" i="6"/>
  <c r="AE21" i="6"/>
  <c r="AB26" i="3"/>
  <c r="AF21" i="6"/>
  <c r="K26" i="3"/>
  <c r="L40" i="6"/>
  <c r="G36" i="6"/>
  <c r="F41" i="3" s="1"/>
  <c r="F40" i="3"/>
  <c r="AE30" i="6"/>
  <c r="AB35" i="3"/>
  <c r="AF30" i="6"/>
  <c r="R39" i="6"/>
  <c r="Q44" i="3" s="1"/>
  <c r="P26" i="3"/>
  <c r="Q40" i="6"/>
  <c r="Y26" i="3"/>
  <c r="Z40" i="6"/>
  <c r="D39" i="6"/>
  <c r="C44" i="3" s="1"/>
  <c r="C42" i="3"/>
  <c r="E26" i="3"/>
  <c r="F40" i="6"/>
  <c r="P39" i="6"/>
  <c r="O44" i="3" s="1"/>
  <c r="O42" i="3"/>
  <c r="Y36" i="6"/>
  <c r="X41" i="3" s="1"/>
  <c r="X40" i="3"/>
  <c r="AD21" i="6"/>
  <c r="AB40" i="6"/>
  <c r="AA26" i="3"/>
  <c r="AJ21" i="6"/>
  <c r="AK21" i="6" s="1"/>
  <c r="K40" i="6"/>
  <c r="J26" i="3"/>
  <c r="AC39" i="6"/>
  <c r="U26" i="3"/>
  <c r="V40" i="6"/>
  <c r="H40" i="6"/>
  <c r="G26" i="3"/>
  <c r="U36" i="6"/>
  <c r="T41" i="3" s="1"/>
  <c r="T40" i="3"/>
  <c r="C26" i="3"/>
  <c r="D40" i="6"/>
  <c r="X36" i="6"/>
  <c r="W41" i="3" s="1"/>
  <c r="W40" i="3"/>
  <c r="F39" i="6"/>
  <c r="E44" i="3" s="1"/>
  <c r="E42" i="3"/>
  <c r="AJ16" i="6"/>
  <c r="AK16" i="6" s="1"/>
  <c r="D36" i="6"/>
  <c r="C41" i="3" s="1"/>
  <c r="C40" i="3"/>
  <c r="O40" i="6"/>
  <c r="N26" i="3"/>
  <c r="AA36" i="6"/>
  <c r="Z41" i="3" s="1"/>
  <c r="Z40" i="3"/>
  <c r="AC36" i="6"/>
  <c r="AB40" i="3"/>
  <c r="AF35" i="6"/>
  <c r="AE35" i="6"/>
  <c r="AI36" i="6"/>
  <c r="AI35" i="6"/>
  <c r="N40" i="6"/>
  <c r="M26" i="3"/>
  <c r="L39" i="6"/>
  <c r="K44" i="3" s="1"/>
  <c r="K42" i="3"/>
  <c r="K36" i="6"/>
  <c r="J41" i="3" s="1"/>
  <c r="J40" i="3"/>
  <c r="L36" i="6"/>
  <c r="K41" i="3" s="1"/>
  <c r="K40" i="3"/>
  <c r="M36" i="6"/>
  <c r="L41" i="3" s="1"/>
  <c r="L40" i="3"/>
  <c r="E39" i="6"/>
  <c r="D44" i="3" s="1"/>
  <c r="D42" i="3"/>
  <c r="I39" i="6"/>
  <c r="H44" i="3" s="1"/>
  <c r="H42" i="3"/>
  <c r="AA40" i="6"/>
  <c r="Z26" i="3"/>
  <c r="F36" i="6"/>
  <c r="E41" i="3" s="1"/>
  <c r="E40" i="3"/>
  <c r="T36" i="6"/>
  <c r="S41" i="3" s="1"/>
  <c r="S40" i="3"/>
  <c r="W39" i="6"/>
  <c r="V44" i="3" s="1"/>
  <c r="V42" i="3"/>
  <c r="P36" i="6"/>
  <c r="O41" i="3" s="1"/>
  <c r="O40" i="3"/>
  <c r="G39" i="6"/>
  <c r="F44" i="3" s="1"/>
  <c r="F42" i="3"/>
  <c r="E40" i="6"/>
  <c r="D26" i="3"/>
  <c r="AB39" i="6"/>
  <c r="V39" i="6"/>
  <c r="U44" i="3" s="1"/>
  <c r="U42" i="3"/>
  <c r="R40" i="6"/>
  <c r="Q26" i="3"/>
  <c r="O36" i="6"/>
  <c r="N41" i="3" s="1"/>
  <c r="N40" i="3"/>
  <c r="H39" i="6"/>
  <c r="G44" i="3" s="1"/>
  <c r="I26" i="3"/>
  <c r="J40" i="6"/>
  <c r="E36" i="6"/>
  <c r="D41" i="3" s="1"/>
  <c r="D40" i="3"/>
  <c r="L26" i="3"/>
  <c r="M40" i="6"/>
  <c r="Z36" i="6"/>
  <c r="Y41" i="3" s="1"/>
  <c r="Y40" i="3"/>
  <c r="Y42" i="6" l="1"/>
  <c r="X47" i="3" s="1"/>
  <c r="X45" i="3"/>
  <c r="O45" i="3"/>
  <c r="P42" i="6"/>
  <c r="O47" i="3" s="1"/>
  <c r="N42" i="6"/>
  <c r="M47" i="3" s="1"/>
  <c r="M45" i="3"/>
  <c r="N45" i="3"/>
  <c r="O42" i="6"/>
  <c r="N47" i="3" s="1"/>
  <c r="AJ40" i="6"/>
  <c r="AK40" i="6" s="1"/>
  <c r="AB42" i="6"/>
  <c r="AA45" i="3"/>
  <c r="Y45" i="3"/>
  <c r="Z42" i="6"/>
  <c r="Y47" i="3" s="1"/>
  <c r="L42" i="6"/>
  <c r="K47" i="3" s="1"/>
  <c r="K45" i="3"/>
  <c r="X42" i="6"/>
  <c r="W47" i="3" s="1"/>
  <c r="W45" i="3"/>
  <c r="I42" i="6"/>
  <c r="H47" i="3" s="1"/>
  <c r="H45" i="3"/>
  <c r="AA41" i="3"/>
  <c r="AJ36" i="6"/>
  <c r="AK36" i="6" s="1"/>
  <c r="AD36" i="6"/>
  <c r="G42" i="6"/>
  <c r="F47" i="3" s="1"/>
  <c r="F45" i="3"/>
  <c r="Z45" i="3"/>
  <c r="AA42" i="6"/>
  <c r="Z47" i="3" s="1"/>
  <c r="AF36" i="6"/>
  <c r="AE36" i="6"/>
  <c r="AB41" i="3"/>
  <c r="AG10" i="6"/>
  <c r="AF39" i="6"/>
  <c r="AE39" i="6"/>
  <c r="AB44" i="3"/>
  <c r="AE40" i="6"/>
  <c r="AC42" i="6"/>
  <c r="AF40" i="6"/>
  <c r="AB45" i="3"/>
  <c r="G45" i="3"/>
  <c r="H42" i="6"/>
  <c r="G47" i="3" s="1"/>
  <c r="P45" i="3"/>
  <c r="Q42" i="6"/>
  <c r="P47" i="3" s="1"/>
  <c r="D45" i="3"/>
  <c r="E42" i="6"/>
  <c r="D47" i="3" s="1"/>
  <c r="E45" i="3"/>
  <c r="F42" i="6"/>
  <c r="E47" i="3" s="1"/>
  <c r="U45" i="3"/>
  <c r="V42" i="6"/>
  <c r="U47" i="3" s="1"/>
  <c r="V45" i="3"/>
  <c r="W42" i="6"/>
  <c r="V47" i="3" s="1"/>
  <c r="C45" i="3"/>
  <c r="D42" i="6"/>
  <c r="C47" i="3" s="1"/>
  <c r="J45" i="3"/>
  <c r="K42" i="6"/>
  <c r="J47" i="3" s="1"/>
  <c r="T45" i="3"/>
  <c r="U42" i="6"/>
  <c r="T47" i="3" s="1"/>
  <c r="L45" i="3"/>
  <c r="M42" i="6"/>
  <c r="L47" i="3" s="1"/>
  <c r="Q45" i="3"/>
  <c r="R42" i="6"/>
  <c r="Q47" i="3" s="1"/>
  <c r="R45" i="3"/>
  <c r="S42" i="6"/>
  <c r="R47" i="3" s="1"/>
  <c r="T42" i="6"/>
  <c r="S47" i="3" s="1"/>
  <c r="S45" i="3"/>
  <c r="AJ39" i="6"/>
  <c r="AK39" i="6" s="1"/>
  <c r="AA44" i="3"/>
  <c r="AD39" i="6"/>
  <c r="I45" i="3"/>
  <c r="J42" i="6"/>
  <c r="I47" i="3" s="1"/>
  <c r="AA47" i="3" l="1"/>
  <c r="AJ42" i="6"/>
  <c r="AK42" i="6" s="1"/>
  <c r="AB47" i="3"/>
  <c r="AE42" i="6"/>
  <c r="AF42" i="6"/>
</calcChain>
</file>

<file path=xl/sharedStrings.xml><?xml version="1.0" encoding="utf-8"?>
<sst xmlns="http://purl.oclc.org/ooxml/spreadsheetml/main" count="9195" uniqueCount="191">
  <si>
    <t>UK major port freight traffic by cargo type and year (filter by direction and route) from 2000</t>
  </si>
  <si>
    <t xml:space="preserve">About this data </t>
  </si>
  <si>
    <t>Description: This table provides all traffic through UK major ports, for all cargo types by year from 2000, with filters for measure (tonnage, units or TEU), direction and route.</t>
  </si>
  <si>
    <r>
      <rPr>
        <b/>
        <sz val="12"/>
        <color rgb="FF000000"/>
        <rFont val="Arial"/>
        <family val="2"/>
      </rPr>
      <t>Definitions:</t>
    </r>
    <r>
      <rPr>
        <b/>
        <sz val="12"/>
        <color rgb="FF000000"/>
        <rFont val="Arial"/>
        <family val="2"/>
      </rPr>
      <t xml:space="preserve">
</t>
    </r>
    <r>
      <rPr>
        <sz val="11"/>
        <color rgb="FF000000"/>
        <rFont val="Arial"/>
        <family val="2"/>
      </rPr>
      <t>Bulk Fuels are cargo which is used for the production of energy, including liquefied gas, crude oil, oil products, coal</t>
    </r>
    <r>
      <rPr>
        <sz val="11"/>
        <color rgb="FF000000"/>
        <rFont val="Arial"/>
        <family val="2"/>
      </rPr>
      <t xml:space="preserve">
Main Freight is a subset of unitised goods consisting of all containers and those Ro-Ro units designed to carry freight including all container (Lo-Lo) traffic, road goods vehicles and trailers, unaccompanied road goods vehicle trailers and rail wagons, shipborne trailers, barges engaged in goods transport.</t>
    </r>
    <r>
      <rPr>
        <sz val="11"/>
        <color rgb="FF000000"/>
        <rFont val="Arial"/>
        <family val="2"/>
      </rPr>
      <t xml:space="preserve">
TEU (twenty-foot equivalent units) is a standardised measure to allow for the diferent sizes of container boxes. See the Notes and Definitions for a breakdown of the measure.</t>
    </r>
  </si>
  <si>
    <t>Author: Maritime Statistics</t>
  </si>
  <si>
    <t>Source: Department for Transport: Port Freight Statistics</t>
  </si>
  <si>
    <t xml:space="preserve">Link to publication on GOV.UK: Port Freight Statistics Publication </t>
  </si>
  <si>
    <t>Last updated: July 2026</t>
  </si>
  <si>
    <t>Next update: Summer 2027</t>
  </si>
  <si>
    <r>
      <rPr>
        <sz val="11"/>
        <color rgb="FF000000"/>
        <rFont val="Arial"/>
        <family val="2"/>
      </rPr>
      <t>The statistics presented in this spreadsheet were independently reviewed by the Office for Statistics Regulation in December 2018 and are therefore labelled</t>
    </r>
    <r>
      <rPr>
        <sz val="11"/>
        <color rgb="FF0070C0"/>
        <rFont val="Arial"/>
        <family val="2"/>
      </rPr>
      <t xml:space="preserve"> </t>
    </r>
    <r>
      <rPr>
        <u/>
        <sz val="11"/>
        <color rgb="FF0070C0"/>
        <rFont val="Arial"/>
        <family val="2"/>
      </rPr>
      <t>‘accredited official statistics’</t>
    </r>
  </si>
  <si>
    <t xml:space="preserve">Contact </t>
  </si>
  <si>
    <t>maritime.stats@dft.gov.uk</t>
  </si>
  <si>
    <t>020 9744 4847</t>
  </si>
  <si>
    <t xml:space="preserve">Methodology information </t>
  </si>
  <si>
    <t>Technical Note</t>
  </si>
  <si>
    <t>Table of contents</t>
  </si>
  <si>
    <t>This worksheet contains 1 table.</t>
  </si>
  <si>
    <t>Worksheet name</t>
  </si>
  <si>
    <t>Worksheet description</t>
  </si>
  <si>
    <t>PORT0201</t>
  </si>
  <si>
    <t>This table provides all traffic through UK major ports, for all cargo types by year from 2000, with filters for measure (tonnage, units or TEU), direction and route.</t>
  </si>
  <si>
    <t>Notes</t>
  </si>
  <si>
    <t>A table of notes and caveats used in the tables.</t>
  </si>
  <si>
    <t>Table PORT0201: UK major port freight traffic by cargo type and year (filter by direction and route) from 2000</t>
  </si>
  <si>
    <t xml:space="preserve">To view the data in this table, you will need to 'enable editing'. You can either click on the yellow banner at the top or use F2 and select enable content. </t>
  </si>
  <si>
    <t>This worksheet contains one table and formulas are used in the table, to see the underlying data use the "Data" sheet. Notes are used throughout, please see the notes tab to find the related note text.</t>
  </si>
  <si>
    <t xml:space="preserve">The figures in this table are in thousand tonnes or thousand units. Displayed figures might not sum up to the displayed totals due to rounding. </t>
  </si>
  <si>
    <t xml:space="preserve">Some shorthand is used in this table. "0" is absolute zero, "z" is not applicable, "LOW" means the figure is less than half of the smallest unit displayed and [r] is where the datapoint has been revised since the last release. </t>
  </si>
  <si>
    <t xml:space="preserve">Filters are used throughout this table. The drop-down menus are available in cell B7, B8 and B9, to use the filter, select the cell, then either click on the arrow and select the value or hold alt and the down arrow then use the left and right arrows to select the value. </t>
  </si>
  <si>
    <t>Direction</t>
  </si>
  <si>
    <t>Both Directions</t>
  </si>
  <si>
    <t>Metric</t>
  </si>
  <si>
    <t>Tonnage</t>
  </si>
  <si>
    <t>Type of Route [Note 1]</t>
  </si>
  <si>
    <t>All Routes</t>
  </si>
  <si>
    <t>Cargo Group</t>
  </si>
  <si>
    <t>Cargo Category</t>
  </si>
  <si>
    <t>2000</t>
  </si>
  <si>
    <t>2001</t>
  </si>
  <si>
    <t>2002</t>
  </si>
  <si>
    <t>2003</t>
  </si>
  <si>
    <t>2004</t>
  </si>
  <si>
    <t>2005</t>
  </si>
  <si>
    <t>2006</t>
  </si>
  <si>
    <t>2007</t>
  </si>
  <si>
    <t>2008</t>
  </si>
  <si>
    <t>2009</t>
  </si>
  <si>
    <t>2010</t>
  </si>
  <si>
    <t>2011</t>
  </si>
  <si>
    <t>2012</t>
  </si>
  <si>
    <t>2013</t>
  </si>
  <si>
    <t>2014</t>
  </si>
  <si>
    <t>2015</t>
  </si>
  <si>
    <t>2016</t>
  </si>
  <si>
    <t>2017</t>
  </si>
  <si>
    <t>2018</t>
  </si>
  <si>
    <t>2019 [Note 5, 6]</t>
  </si>
  <si>
    <t>2020 [Note 4, 6]</t>
  </si>
  <si>
    <t>2021 [Note 6]</t>
  </si>
  <si>
    <t>2022 [Note 6]</t>
  </si>
  <si>
    <t>2023 [Note 6]</t>
  </si>
  <si>
    <t>2024</t>
  </si>
  <si>
    <t>2025 [Note 7]</t>
  </si>
  <si>
    <t>Liquid Bulk</t>
  </si>
  <si>
    <t>Liquefied gas</t>
  </si>
  <si>
    <t>Crude oil</t>
  </si>
  <si>
    <r>
      <t>Oil products</t>
    </r>
    <r>
      <rPr>
        <vertAlign val="superscript"/>
        <sz val="10"/>
        <color rgb="FF000000"/>
        <rFont val="Arial"/>
        <family val="2"/>
      </rPr>
      <t xml:space="preserve"> </t>
    </r>
  </si>
  <si>
    <t>Other liquid bulk products</t>
  </si>
  <si>
    <t>All liquid bulk</t>
  </si>
  <si>
    <t>Dry Bulk</t>
  </si>
  <si>
    <t>Ores</t>
  </si>
  <si>
    <t>Coal</t>
  </si>
  <si>
    <t>Agricultural products</t>
  </si>
  <si>
    <t>Wood pellets [Note 7]</t>
  </si>
  <si>
    <t>Other dry bulk</t>
  </si>
  <si>
    <t>All dry bulk</t>
  </si>
  <si>
    <t>Container (Lo-Lo) traffic</t>
  </si>
  <si>
    <t>20' containers</t>
  </si>
  <si>
    <t>40' containers</t>
  </si>
  <si>
    <t>Containers between 20' and 40'</t>
  </si>
  <si>
    <t>Containers over 40'</t>
  </si>
  <si>
    <t>All container (Lo-Lo) traffic [Note 2]</t>
  </si>
  <si>
    <t>All container traffic [Note 2]</t>
  </si>
  <si>
    <t>Roll-on/Roll-off (Ro-Ro) traffic</t>
  </si>
  <si>
    <t xml:space="preserve">Road goods vehicles and trailers </t>
  </si>
  <si>
    <t>Unaccompanied road goods trailers</t>
  </si>
  <si>
    <t>Passenger-carrying vehicles</t>
  </si>
  <si>
    <t>Import/Export motor vehicles</t>
  </si>
  <si>
    <r>
      <t>Rail wagons, shipborne trailers, barges</t>
    </r>
    <r>
      <rPr>
        <vertAlign val="superscript"/>
        <sz val="10"/>
        <color rgb="FF000000"/>
        <rFont val="Arial"/>
        <family val="2"/>
      </rPr>
      <t>2</t>
    </r>
  </si>
  <si>
    <t>Unaccompanied caravans, agricultural &amp; industrial vehicles</t>
  </si>
  <si>
    <t>Live animals on the hoof</t>
  </si>
  <si>
    <t>Other Ro-Ro traffic</t>
  </si>
  <si>
    <t>All Roll-on/Roll-off (Ro-Ro) traffic</t>
  </si>
  <si>
    <t>All roll-on/roll-off traffic</t>
  </si>
  <si>
    <t>Other general cargo</t>
  </si>
  <si>
    <t>Forestry products</t>
  </si>
  <si>
    <t>Iron and steel products</t>
  </si>
  <si>
    <t>Wind farm products [Note 7]</t>
  </si>
  <si>
    <t>General cargo &amp; containers &lt;20'</t>
  </si>
  <si>
    <t>All other general cargo</t>
  </si>
  <si>
    <t>All other general cargo traffic</t>
  </si>
  <si>
    <t>All traffic</t>
  </si>
  <si>
    <t>All bulk traffic</t>
  </si>
  <si>
    <t>Bulk fuels [Note 3]</t>
  </si>
  <si>
    <t>Other bulks [Note 3]</t>
  </si>
  <si>
    <t>Main Freight Units</t>
  </si>
  <si>
    <t>Lo-Lo main freight</t>
  </si>
  <si>
    <t>Ro-Ro main freight</t>
  </si>
  <si>
    <t>All main freight</t>
  </si>
  <si>
    <t>Notes table for PORT0201</t>
  </si>
  <si>
    <t>This sheet includes information relevant to the data in these tables. Corresponding note numbers are labelled where relevant in the data tables.</t>
  </si>
  <si>
    <t>Note number</t>
  </si>
  <si>
    <t>Note text</t>
  </si>
  <si>
    <t>Note 1</t>
  </si>
  <si>
    <t>Unspecified routes are routes where the port of load/unload was not provided by the data suppliers.</t>
  </si>
  <si>
    <t>Note 2</t>
  </si>
  <si>
    <t>For container figures after 2004 are not directly comparable with earlier years. Please see the section "Port freight statistics: unitised traffic category changes from 2000" of the Notes and Definitions for details (link below to the technical notes). This does not affect other cargo categories or totals.</t>
  </si>
  <si>
    <t>Note 3</t>
  </si>
  <si>
    <t>Bulk fuels include liquified gas, crude oil, oil products and coal. Other bulks includes other liquid bulk products, ores, agricultural products and other dry bulk.</t>
  </si>
  <si>
    <t>Note 4</t>
  </si>
  <si>
    <t xml:space="preserve">Ports were affected by measures to prevent and reduce the global spread of Covid-19 throughout 2020, as well as the EU transition period. The extent of the impact of either are not quantified in this data series, however comparative analysis and commentary are included in the release. </t>
  </si>
  <si>
    <t>Note 5</t>
  </si>
  <si>
    <t>Data for roll-on/roll-off traffic for Hull in 2019 has been revised.</t>
  </si>
  <si>
    <t>Note 6</t>
  </si>
  <si>
    <t>Data for container (lo-lo) and roll-on/roll-off traffic for London from 2019 to 2023 has been revised.</t>
  </si>
  <si>
    <t>Note 7</t>
  </si>
  <si>
    <t>In 2025, freight traffic data on two new cargo type breakdowns were collected from major UK ports: wood pellets (previously categorised as ‘other dry bulk’) and wind farm products (previously categorised as ‘other general cargo’). Totals for ‘other dry bulk’ and ‘other general cargo’ will appear lower in 2025 due to this cargo recategorisation.</t>
  </si>
  <si>
    <t>Data sheet for PORT0201</t>
  </si>
  <si>
    <t>This sheet includes the data presented in PORT0201.</t>
  </si>
  <si>
    <t>Year</t>
  </si>
  <si>
    <t>CargoCode</t>
  </si>
  <si>
    <t>Units</t>
  </si>
  <si>
    <t>Region</t>
  </si>
  <si>
    <t>TEU</t>
  </si>
  <si>
    <t>Dummy</t>
  </si>
  <si>
    <t>Domestic</t>
  </si>
  <si>
    <t>International</t>
  </si>
  <si>
    <t>Unspecified</t>
  </si>
  <si>
    <t>Inwards</t>
  </si>
  <si>
    <t>Outwards</t>
  </si>
  <si>
    <t>Working Version PORT0201: UK major port freight traffic by cargo type and year (filter by direction and route) from 2000</t>
  </si>
  <si>
    <t>NOTE: Colours refer to cells that have identical formulae</t>
  </si>
  <si>
    <t>Totals Check</t>
  </si>
  <si>
    <t>Route</t>
  </si>
  <si>
    <t>Cargo Categories, [Groups]</t>
  </si>
  <si>
    <t>% change</t>
  </si>
  <si>
    <t>absolute change</t>
  </si>
  <si>
    <t>% Difference</t>
  </si>
  <si>
    <t>Liquid bulk</t>
  </si>
  <si>
    <t xml:space="preserve">    Liquefied gas</t>
  </si>
  <si>
    <t xml:space="preserve">    Crude oil</t>
  </si>
  <si>
    <r>
      <t xml:space="preserve">    Oil products</t>
    </r>
    <r>
      <rPr>
        <vertAlign val="superscript"/>
        <sz val="10"/>
        <color rgb="FF000000"/>
        <rFont val="Arial"/>
        <family val="2"/>
      </rPr>
      <t xml:space="preserve"> </t>
    </r>
  </si>
  <si>
    <t xml:space="preserve">    Other liquid bulk products</t>
  </si>
  <si>
    <t>All Liquid Bulk</t>
  </si>
  <si>
    <t xml:space="preserve">    All Routes liquid bulk traffic</t>
  </si>
  <si>
    <t>Dry bulk</t>
  </si>
  <si>
    <t xml:space="preserve">    Ores</t>
  </si>
  <si>
    <t xml:space="preserve">    Coal</t>
  </si>
  <si>
    <t xml:space="preserve">    Agricultural products</t>
  </si>
  <si>
    <t xml:space="preserve">    Wood pellets</t>
  </si>
  <si>
    <t xml:space="preserve">    Other dry bulk</t>
  </si>
  <si>
    <t>All Dry Bulk</t>
  </si>
  <si>
    <t xml:space="preserve">    All Routes dry bulk traffic</t>
  </si>
  <si>
    <t>Container traffic</t>
  </si>
  <si>
    <t>All Container traffic</t>
  </si>
  <si>
    <t>All Routes container traffic</t>
  </si>
  <si>
    <t>Roll-on/roll-off traffic</t>
  </si>
  <si>
    <t>52, 53</t>
  </si>
  <si>
    <t>Rail wagons, shipborne trailers, barges</t>
  </si>
  <si>
    <t>Unaccompanied agri. &amp; industrial vehicles</t>
  </si>
  <si>
    <t>59, 69</t>
  </si>
  <si>
    <t>Other ro-ro traffic</t>
  </si>
  <si>
    <t>All Roll-on/roll-off traffic</t>
  </si>
  <si>
    <t>All Routes roll-on/roll-off traffic</t>
  </si>
  <si>
    <t xml:space="preserve">    Forestry products</t>
  </si>
  <si>
    <t xml:space="preserve">    Iron and steel products</t>
  </si>
  <si>
    <t xml:space="preserve">    Wind farm products</t>
  </si>
  <si>
    <t xml:space="preserve">    General cargo &amp; containers &lt;20'</t>
  </si>
  <si>
    <t>All Other general cargo</t>
  </si>
  <si>
    <t xml:space="preserve">    All Routes other general cargo traffic</t>
  </si>
  <si>
    <t>All cargo</t>
  </si>
  <si>
    <t>All cargo groups</t>
  </si>
  <si>
    <t>All Routes traffic</t>
  </si>
  <si>
    <t>All Bulk</t>
  </si>
  <si>
    <t>11, 12, 13, 22</t>
  </si>
  <si>
    <t xml:space="preserve">    Bulk fuels</t>
  </si>
  <si>
    <t>19, 21, 23, 29</t>
  </si>
  <si>
    <t xml:space="preserve">    Other bulks</t>
  </si>
  <si>
    <t xml:space="preserve">    All Routes bulk traffic</t>
  </si>
  <si>
    <t>Main Freight (Note: This is included in the figures above)</t>
  </si>
  <si>
    <t>All Routes main freight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</si>
</sst>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quot; &quot;;&quot;(&quot;#,##0&quot;)&quot;"/>
    <numFmt numFmtId="165" formatCode="&quot; &quot;* #,##0&quot; &quot;;&quot;-&quot;* #,##0&quot; &quot;;&quot; &quot;* &quot;-&quot;#&quot; &quot;;&quot; &quot;@&quot; &quot;"/>
    <numFmt numFmtId="166" formatCode="0.0&quot; &quot;"/>
    <numFmt numFmtId="167" formatCode="[=0]0;[&lt;0.5]&quot;-&quot;;#,##0"/>
    <numFmt numFmtId="168" formatCode="&quot; &quot;General"/>
    <numFmt numFmtId="169" formatCode="[=0]0;[&lt;0.5]&quot;LOW&quot;;#,##0"/>
    <numFmt numFmtId="170" formatCode="#,##0.0"/>
    <numFmt numFmtId="171" formatCode="&quot; &quot;* #,##0.00&quot; &quot;;&quot;-&quot;* #,##0.00&quot; &quot;;&quot; &quot;* &quot;-&quot;#&quot; &quot;;&quot; &quot;@&quot; &quot;"/>
  </numFmts>
  <fonts count="40">
    <font>
      <sz val="11"/>
      <color rgb="FF323437"/>
      <name val="Arial"/>
      <family val="2"/>
    </font>
    <font>
      <sz val="11"/>
      <color rgb="FF323437"/>
      <name val="Arial"/>
      <family val="2"/>
    </font>
    <font>
      <b/>
      <sz val="12"/>
      <color rgb="FF000000"/>
      <name val="Arial"/>
      <family val="2"/>
    </font>
    <font>
      <b/>
      <sz val="13"/>
      <color rgb="FF006853"/>
      <name val="Arial"/>
      <family val="2"/>
    </font>
    <font>
      <u/>
      <sz val="10"/>
      <color rgb="FF0563C1"/>
      <name val="Arial"/>
      <family val="2"/>
    </font>
    <font>
      <u/>
      <sz val="9"/>
      <color rgb="FF0000FF"/>
      <name val="Helv"/>
    </font>
    <font>
      <sz val="10"/>
      <color rgb="FF000000"/>
      <name val="Arial"/>
      <family val="2"/>
    </font>
    <font>
      <sz val="12"/>
      <color rgb="FF000000"/>
      <name val="Helv"/>
    </font>
    <font>
      <sz val="11"/>
      <color rgb="FF000000"/>
      <name val="Calibri"/>
      <family val="2"/>
    </font>
    <font>
      <sz val="12"/>
      <color rgb="FF000000"/>
      <name val="Tms Rmn"/>
    </font>
    <font>
      <sz val="10"/>
      <color rgb="FF000000"/>
      <name val="Tms Rmn"/>
    </font>
    <font>
      <sz val="12"/>
      <color rgb="FF323437"/>
      <name val="Arial"/>
      <family val="2"/>
    </font>
    <font>
      <sz val="10"/>
      <color rgb="FF323437"/>
      <name val="Arial"/>
      <family val="2"/>
    </font>
    <font>
      <b/>
      <sz val="12"/>
      <color rgb="FF323437"/>
      <name val="Arial"/>
      <family val="2"/>
    </font>
    <font>
      <b/>
      <sz val="10"/>
      <color rgb="FF323437"/>
      <name val="Arial"/>
      <family val="2"/>
    </font>
    <font>
      <i/>
      <sz val="12"/>
      <color rgb="FF000000"/>
      <name val="Arial"/>
      <family val="2"/>
    </font>
    <font>
      <sz val="12"/>
      <color rgb="FF000000"/>
      <name val="Arial"/>
      <family val="2"/>
    </font>
    <font>
      <sz val="11"/>
      <color rgb="FF000000"/>
      <name val="Arial"/>
      <family val="2"/>
    </font>
    <font>
      <u/>
      <sz val="12"/>
      <color rgb="FF0070C0"/>
      <name val="Arial"/>
      <family val="2"/>
    </font>
    <font>
      <u/>
      <sz val="11"/>
      <color rgb="FF0563C1"/>
      <name val="Arial"/>
      <family val="2"/>
    </font>
    <font>
      <sz val="11"/>
      <color rgb="FF0070C0"/>
      <name val="Arial"/>
      <family val="2"/>
    </font>
    <font>
      <u/>
      <sz val="11"/>
      <color rgb="FF0070C0"/>
      <name val="Arial"/>
      <family val="2"/>
    </font>
    <font>
      <u/>
      <sz val="12"/>
      <color rgb="FF0563C1"/>
      <name val="Arial"/>
      <family val="2"/>
    </font>
    <font>
      <i/>
      <sz val="9"/>
      <color rgb="FF000000"/>
      <name val="Arial"/>
      <family val="2"/>
    </font>
    <font>
      <b/>
      <sz val="12"/>
      <color rgb="FF008080"/>
      <name val="Arial"/>
      <family val="2"/>
    </font>
    <font>
      <b/>
      <sz val="10"/>
      <color rgb="FF000000"/>
      <name val="Arial"/>
      <family val="2"/>
    </font>
    <font>
      <b/>
      <sz val="15"/>
      <color rgb="FF000000"/>
      <name val="Arial"/>
      <family val="2"/>
    </font>
    <font>
      <sz val="8"/>
      <color rgb="FF000000"/>
      <name val="Arial"/>
      <family val="2"/>
    </font>
    <font>
      <b/>
      <sz val="9"/>
      <color rgb="FF000000"/>
      <name val="Arial"/>
      <family val="2"/>
    </font>
    <font>
      <sz val="9"/>
      <color rgb="FF000000"/>
      <name val="Arial"/>
      <family val="2"/>
    </font>
    <font>
      <vertAlign val="superscript"/>
      <sz val="10"/>
      <color rgb="FF000000"/>
      <name val="Arial"/>
      <family val="2"/>
    </font>
    <font>
      <i/>
      <sz val="10"/>
      <color rgb="FF000000"/>
      <name val="Arial"/>
      <family val="2"/>
    </font>
    <font>
      <sz val="9"/>
      <color rgb="FF323437"/>
      <name val="Arial"/>
      <family val="2"/>
    </font>
    <font>
      <vertAlign val="superscript"/>
      <sz val="9"/>
      <color rgb="FF000000"/>
      <name val="Arial"/>
      <family val="2"/>
    </font>
    <font>
      <u/>
      <sz val="9"/>
      <color rgb="FF0563C1"/>
      <name val="Arial"/>
      <family val="2"/>
    </font>
    <font>
      <u/>
      <sz val="9"/>
      <color rgb="FF000000"/>
      <name val="Arial"/>
      <family val="2"/>
    </font>
    <font>
      <b/>
      <sz val="16"/>
      <color rgb="FF000000"/>
      <name val="Arial"/>
      <family val="2"/>
    </font>
    <font>
      <b/>
      <u/>
      <sz val="10"/>
      <color rgb="FF323437"/>
      <name val="Arial"/>
      <family val="2"/>
    </font>
    <font>
      <b/>
      <i/>
      <sz val="10"/>
      <color rgb="FF000000"/>
      <name val="Arial"/>
      <family val="2"/>
    </font>
    <font>
      <sz val="12"/>
      <color rgb="FF000000"/>
      <name val="Calibri"/>
      <family val="2"/>
    </font>
  </fonts>
  <fills count="16">
    <fill>
      <patternFill patternType="none"/>
    </fill>
    <fill>
      <patternFill patternType="gray125"/>
    </fill>
    <fill>
      <patternFill patternType="solid">
        <fgColor rgb="FFFFFFFF"/>
        <bgColor rgb="FFFFFFFF"/>
      </patternFill>
    </fill>
    <fill>
      <patternFill patternType="solid">
        <fgColor rgb="FFF9F1E1"/>
        <bgColor rgb="FFF9F1E1"/>
      </patternFill>
    </fill>
    <fill>
      <patternFill patternType="solid">
        <fgColor rgb="FFFFFF00"/>
        <bgColor rgb="FFFFFF00"/>
      </patternFill>
    </fill>
    <fill>
      <patternFill patternType="solid">
        <fgColor rgb="FFF2E4C6"/>
        <bgColor rgb="FFF2E4C6"/>
      </patternFill>
    </fill>
    <fill>
      <patternFill patternType="solid">
        <fgColor rgb="FFE7E6E6"/>
        <bgColor rgb="FFE7E6E6"/>
      </patternFill>
    </fill>
    <fill>
      <patternFill patternType="solid">
        <fgColor rgb="FFFF0000"/>
        <bgColor rgb="FFFF0000"/>
      </patternFill>
    </fill>
    <fill>
      <patternFill patternType="solid">
        <fgColor rgb="FFE0EDEB"/>
        <bgColor rgb="FFE0EDEB"/>
      </patternFill>
    </fill>
    <fill>
      <patternFill patternType="solid">
        <fgColor rgb="FFC1DBD6"/>
        <bgColor rgb="FFC1DBD6"/>
      </patternFill>
    </fill>
    <fill>
      <patternFill patternType="solid">
        <fgColor rgb="FF5BFFDE"/>
        <bgColor rgb="FF5BFFDE"/>
      </patternFill>
    </fill>
    <fill>
      <patternFill patternType="solid">
        <fgColor rgb="FFFFC000"/>
        <bgColor rgb="FFFFC000"/>
      </patternFill>
    </fill>
    <fill>
      <patternFill patternType="solid">
        <fgColor rgb="FFDB7F44"/>
        <bgColor rgb="FFDB7F44"/>
      </patternFill>
    </fill>
    <fill>
      <patternFill patternType="solid">
        <fgColor rgb="FFECD8A8"/>
        <bgColor rgb="FFECD8A8"/>
      </patternFill>
    </fill>
    <fill>
      <patternFill patternType="solid">
        <fgColor rgb="FFCD9D2E"/>
        <bgColor rgb="FFCD9D2E"/>
      </patternFill>
    </fill>
    <fill>
      <patternFill patternType="solid">
        <fgColor rgb="FF89691F"/>
        <bgColor rgb="FF89691F"/>
      </patternFill>
    </fill>
  </fills>
  <borders count="7">
    <border>
      <start/>
      <end/>
      <top/>
      <bottom/>
      <diagonal/>
    </border>
    <border>
      <start/>
      <end/>
      <top/>
      <bottom style="thick">
        <color rgb="FF33FFD7"/>
      </bottom>
      <diagonal/>
    </border>
    <border>
      <start/>
      <end/>
      <top/>
      <bottom style="thin">
        <color rgb="FF000000"/>
      </bottom>
      <diagonal/>
    </border>
    <border>
      <start/>
      <end/>
      <top style="medium">
        <color rgb="FF000000"/>
      </top>
      <bottom/>
      <diagonal/>
    </border>
    <border>
      <start/>
      <end/>
      <top/>
      <bottom style="medium">
        <color rgb="FF000000"/>
      </bottom>
      <diagonal/>
    </border>
    <border>
      <start/>
      <end/>
      <top style="thin">
        <color rgb="FF000000"/>
      </top>
      <bottom/>
      <diagonal/>
    </border>
    <border>
      <start/>
      <end/>
      <top style="thin">
        <color rgb="FF000000"/>
      </top>
      <bottom style="thin">
        <color rgb="FF000000"/>
      </bottom>
      <diagonal/>
    </border>
  </borders>
  <cellStyleXfs count="23">
    <xf numFmtId="0" fontId="0" fillId="0" borderId="0"/>
    <xf numFmtId="171"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2"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 fillId="0" borderId="0" applyNumberFormat="0" applyBorder="0" applyProtection="0"/>
    <xf numFmtId="0" fontId="1" fillId="0" borderId="0" applyNumberFormat="0" applyFont="0" applyBorder="0" applyProtection="0"/>
    <xf numFmtId="164" fontId="7" fillId="0" borderId="0" applyBorder="0" applyProtection="0"/>
    <xf numFmtId="0" fontId="8" fillId="0" borderId="0" applyNumberFormat="0" applyBorder="0" applyProtection="0"/>
    <xf numFmtId="0" fontId="1" fillId="0" borderId="0" applyNumberFormat="0" applyFont="0" applyBorder="0" applyProtection="0"/>
    <xf numFmtId="0" fontId="1" fillId="0" borderId="0" applyNumberFormat="0" applyFont="0" applyBorder="0" applyProtection="0"/>
    <xf numFmtId="164" fontId="9" fillId="0" borderId="0" applyBorder="0" applyProtection="0"/>
    <xf numFmtId="0" fontId="1" fillId="0" borderId="0" applyNumberFormat="0" applyFont="0" applyBorder="0" applyProtection="0"/>
    <xf numFmtId="164" fontId="9" fillId="0" borderId="0" applyBorder="0" applyProtection="0"/>
    <xf numFmtId="166" fontId="10" fillId="0" borderId="0" applyBorder="0" applyProtection="0"/>
    <xf numFmtId="0" fontId="1" fillId="0" borderId="0" applyNumberFormat="0" applyFont="0" applyBorder="0" applyProtection="0"/>
    <xf numFmtId="9" fontId="1" fillId="0" borderId="0" applyFont="0" applyBorder="0" applyProtection="0"/>
  </cellStyleXfs>
  <cellXfs count="162">
    <xf numFmtId="0" fontId="0" fillId="0" borderId="0" xfId="0"/>
    <xf numFmtId="0" fontId="2" fillId="2" borderId="0" xfId="3" applyFont="1" applyFill="1" applyAlignment="1"/>
    <xf numFmtId="0" fontId="11" fillId="2" borderId="0" xfId="12" applyFont="1" applyFill="1" applyAlignment="1"/>
    <xf numFmtId="0" fontId="12" fillId="2" borderId="0" xfId="12" applyFont="1" applyFill="1" applyAlignment="1"/>
    <xf numFmtId="0" fontId="2" fillId="2" borderId="0" xfId="4" applyFont="1" applyFill="1" applyBorder="1" applyAlignment="1"/>
    <xf numFmtId="0" fontId="13" fillId="2" borderId="0" xfId="12" applyFont="1" applyFill="1" applyAlignment="1"/>
    <xf numFmtId="0" fontId="14" fillId="2" borderId="0" xfId="12" applyFont="1" applyFill="1" applyAlignment="1"/>
    <xf numFmtId="0" fontId="0" fillId="2" borderId="0" xfId="12" applyFont="1" applyFill="1" applyAlignment="1">
      <alignment wrapText="1"/>
    </xf>
    <xf numFmtId="0" fontId="15" fillId="2" borderId="0" xfId="12" applyFont="1" applyFill="1" applyAlignment="1"/>
    <xf numFmtId="0" fontId="16" fillId="2" borderId="0" xfId="12" applyFont="1" applyFill="1" applyAlignment="1">
      <alignment wrapText="1"/>
    </xf>
    <xf numFmtId="3" fontId="2" fillId="2" borderId="0" xfId="11" applyNumberFormat="1" applyFont="1" applyFill="1" applyAlignment="1">
      <alignment horizontal="left"/>
    </xf>
    <xf numFmtId="3" fontId="18" fillId="2" borderId="0" xfId="6" applyNumberFormat="1" applyFont="1" applyFill="1" applyAlignment="1">
      <alignment horizontal="left"/>
    </xf>
    <xf numFmtId="3" fontId="17" fillId="2" borderId="0" xfId="11" applyNumberFormat="1" applyFont="1" applyFill="1" applyAlignment="1">
      <alignment horizontal="left"/>
    </xf>
    <xf numFmtId="0" fontId="19" fillId="0" borderId="0" xfId="8" applyFont="1" applyAlignment="1">
      <alignment wrapText="1"/>
    </xf>
    <xf numFmtId="0" fontId="17" fillId="2" borderId="0" xfId="12" applyFont="1" applyFill="1" applyAlignment="1"/>
    <xf numFmtId="0" fontId="22" fillId="2" borderId="0" xfId="6" applyFont="1" applyFill="1"/>
    <xf numFmtId="14" fontId="16" fillId="2" borderId="0" xfId="12" applyNumberFormat="1" applyFont="1" applyFill="1" applyAlignment="1"/>
    <xf numFmtId="3" fontId="21" fillId="2" borderId="0" xfId="6" applyNumberFormat="1" applyFont="1" applyFill="1" applyAlignment="1">
      <alignment horizontal="left"/>
    </xf>
    <xf numFmtId="0" fontId="15" fillId="2" borderId="0" xfId="11" applyFont="1" applyFill="1" applyAlignment="1"/>
    <xf numFmtId="0" fontId="23" fillId="2" borderId="0" xfId="11" applyFont="1" applyFill="1" applyAlignment="1"/>
    <xf numFmtId="166" fontId="24" fillId="2" borderId="0" xfId="20" applyFont="1" applyFill="1" applyAlignment="1">
      <alignment horizontal="left" vertical="center"/>
    </xf>
    <xf numFmtId="0" fontId="2" fillId="2" borderId="0" xfId="3" applyFont="1" applyFill="1"/>
    <xf numFmtId="0" fontId="6" fillId="2" borderId="0" xfId="0" applyFont="1" applyFill="1"/>
    <xf numFmtId="0" fontId="0" fillId="2" borderId="0" xfId="0" applyFill="1"/>
    <xf numFmtId="0" fontId="6" fillId="2" borderId="0" xfId="14" applyFont="1" applyFill="1" applyAlignment="1"/>
    <xf numFmtId="0" fontId="25" fillId="2" borderId="2" xfId="14" applyFont="1" applyFill="1" applyBorder="1" applyAlignment="1">
      <alignment wrapText="1"/>
    </xf>
    <xf numFmtId="0" fontId="6" fillId="2" borderId="0" xfId="0" applyFont="1" applyFill="1" applyAlignment="1">
      <alignment wrapText="1"/>
    </xf>
    <xf numFmtId="0" fontId="26" fillId="0" borderId="0" xfId="3" applyFont="1"/>
    <xf numFmtId="0" fontId="27" fillId="0" borderId="0" xfId="11" applyFont="1" applyFill="1" applyAlignment="1"/>
    <xf numFmtId="0" fontId="27" fillId="0" borderId="0" xfId="11" applyFont="1" applyFill="1" applyAlignment="1">
      <alignment horizontal="right" vertical="top"/>
    </xf>
    <xf numFmtId="164" fontId="2" fillId="0" borderId="0" xfId="19" applyFont="1" applyFill="1" applyAlignment="1">
      <alignment horizontal="right" vertical="top"/>
    </xf>
    <xf numFmtId="167" fontId="2" fillId="0" borderId="0" xfId="19" applyNumberFormat="1" applyFont="1" applyFill="1" applyAlignment="1">
      <alignment horizontal="right" vertical="top"/>
    </xf>
    <xf numFmtId="164" fontId="2" fillId="0" borderId="0" xfId="19" applyFont="1" applyFill="1" applyAlignment="1"/>
    <xf numFmtId="168" fontId="6" fillId="0" borderId="0" xfId="0" applyNumberFormat="1" applyFont="1"/>
    <xf numFmtId="0" fontId="6" fillId="0" borderId="0" xfId="11" applyFont="1" applyFill="1" applyAlignment="1"/>
    <xf numFmtId="0" fontId="6" fillId="0" borderId="0" xfId="11" applyFont="1" applyFill="1" applyAlignment="1">
      <alignment horizontal="right" vertical="top"/>
    </xf>
    <xf numFmtId="164" fontId="25" fillId="0" borderId="0" xfId="19" applyFont="1" applyFill="1" applyAlignment="1">
      <alignment horizontal="right" vertical="top"/>
    </xf>
    <xf numFmtId="167" fontId="25" fillId="0" borderId="0" xfId="19" applyNumberFormat="1" applyFont="1" applyFill="1" applyAlignment="1">
      <alignment horizontal="right" vertical="top"/>
    </xf>
    <xf numFmtId="164" fontId="25" fillId="0" borderId="0" xfId="19" applyFont="1" applyFill="1" applyAlignment="1">
      <alignment horizontal="left"/>
    </xf>
    <xf numFmtId="164" fontId="6" fillId="0" borderId="0" xfId="19" applyFont="1" applyFill="1" applyAlignment="1">
      <alignment horizontal="right" vertical="top"/>
    </xf>
    <xf numFmtId="0" fontId="12" fillId="0" borderId="0" xfId="0" applyFont="1"/>
    <xf numFmtId="0" fontId="6" fillId="0" borderId="0" xfId="16" applyFont="1" applyFill="1" applyAlignment="1"/>
    <xf numFmtId="0" fontId="25" fillId="0" borderId="3" xfId="21" applyFont="1" applyFill="1" applyBorder="1" applyAlignment="1">
      <alignment horizontal="right" indent="1"/>
    </xf>
    <xf numFmtId="0" fontId="6" fillId="0" borderId="3" xfId="0" applyFont="1" applyBorder="1" applyAlignment="1">
      <alignment horizontal="left" vertical="center"/>
    </xf>
    <xf numFmtId="0" fontId="25" fillId="0" borderId="0" xfId="21" applyFont="1" applyFill="1" applyAlignment="1">
      <alignment horizontal="right" indent="1"/>
    </xf>
    <xf numFmtId="0" fontId="6" fillId="0" borderId="0" xfId="0" applyFont="1" applyAlignment="1">
      <alignment horizontal="left" vertical="center"/>
    </xf>
    <xf numFmtId="0" fontId="25" fillId="0" borderId="4" xfId="21" applyFont="1" applyFill="1" applyBorder="1" applyAlignment="1">
      <alignment horizontal="right" indent="1"/>
    </xf>
    <xf numFmtId="0" fontId="6" fillId="0" borderId="4" xfId="0" applyFont="1" applyBorder="1" applyAlignment="1">
      <alignment horizontal="left" vertical="center"/>
    </xf>
    <xf numFmtId="164" fontId="25" fillId="0" borderId="2" xfId="19" applyFont="1" applyFill="1" applyBorder="1" applyAlignment="1">
      <alignment vertical="center"/>
    </xf>
    <xf numFmtId="1" fontId="25" fillId="0" borderId="2" xfId="19" applyNumberFormat="1" applyFont="1" applyFill="1" applyBorder="1" applyAlignment="1">
      <alignment horizontal="right" vertical="top"/>
    </xf>
    <xf numFmtId="0" fontId="25" fillId="0" borderId="2" xfId="0" applyFont="1" applyBorder="1" applyAlignment="1">
      <alignment horizontal="right" vertical="top"/>
    </xf>
    <xf numFmtId="1" fontId="25" fillId="0" borderId="2" xfId="19" applyNumberFormat="1" applyFont="1" applyFill="1" applyBorder="1" applyAlignment="1">
      <alignment horizontal="right" vertical="top" wrapText="1"/>
    </xf>
    <xf numFmtId="164" fontId="28" fillId="0" borderId="0" xfId="19" applyFont="1" applyFill="1" applyAlignment="1">
      <alignment vertical="center"/>
    </xf>
    <xf numFmtId="164" fontId="6" fillId="0" borderId="0" xfId="19" applyFont="1" applyFill="1" applyAlignment="1"/>
    <xf numFmtId="164" fontId="6" fillId="0" borderId="0" xfId="19" applyFont="1" applyFill="1" applyAlignment="1">
      <alignment horizontal="left"/>
    </xf>
    <xf numFmtId="169" fontId="6" fillId="0" borderId="0" xfId="19" applyNumberFormat="1" applyFont="1" applyFill="1" applyAlignment="1">
      <alignment horizontal="right"/>
    </xf>
    <xf numFmtId="3" fontId="6" fillId="0" borderId="0" xfId="19" applyNumberFormat="1" applyFont="1" applyFill="1" applyAlignment="1">
      <alignment horizontal="right"/>
    </xf>
    <xf numFmtId="164" fontId="29" fillId="0" borderId="0" xfId="19" applyFont="1" applyFill="1" applyAlignment="1"/>
    <xf numFmtId="164" fontId="28" fillId="0" borderId="0" xfId="19" applyFont="1" applyFill="1" applyAlignment="1"/>
    <xf numFmtId="164" fontId="25" fillId="0" borderId="0" xfId="19" applyFont="1" applyFill="1" applyAlignment="1"/>
    <xf numFmtId="169" fontId="25" fillId="0" borderId="0" xfId="19" applyNumberFormat="1" applyFont="1" applyFill="1" applyAlignment="1">
      <alignment horizontal="right"/>
    </xf>
    <xf numFmtId="3" fontId="25" fillId="0" borderId="0" xfId="19" applyNumberFormat="1" applyFont="1" applyFill="1" applyAlignment="1">
      <alignment horizontal="right"/>
    </xf>
    <xf numFmtId="0" fontId="6" fillId="0" borderId="0" xfId="0" applyFont="1"/>
    <xf numFmtId="164" fontId="6" fillId="0" borderId="0" xfId="19" applyFont="1" applyFill="1" applyAlignment="1">
      <alignment vertical="center"/>
    </xf>
    <xf numFmtId="164" fontId="25" fillId="0" borderId="2" xfId="19" applyFont="1" applyFill="1" applyBorder="1" applyAlignment="1">
      <alignment horizontal="left"/>
    </xf>
    <xf numFmtId="169" fontId="25" fillId="0" borderId="2" xfId="19" applyNumberFormat="1" applyFont="1" applyFill="1" applyBorder="1" applyAlignment="1">
      <alignment horizontal="right"/>
    </xf>
    <xf numFmtId="3" fontId="25" fillId="0" borderId="2" xfId="19" applyNumberFormat="1" applyFont="1" applyFill="1" applyBorder="1" applyAlignment="1">
      <alignment horizontal="right"/>
    </xf>
    <xf numFmtId="164" fontId="28" fillId="0" borderId="0" xfId="19" applyFont="1" applyFill="1" applyAlignment="1">
      <alignment horizontal="left"/>
    </xf>
    <xf numFmtId="167" fontId="17" fillId="0" borderId="0" xfId="19" applyNumberFormat="1" applyFont="1" applyFill="1" applyAlignment="1">
      <alignment horizontal="right"/>
    </xf>
    <xf numFmtId="167" fontId="17" fillId="0" borderId="0" xfId="19" applyNumberFormat="1" applyFont="1" applyFill="1" applyAlignment="1">
      <alignment horizontal="right" vertical="top"/>
    </xf>
    <xf numFmtId="164" fontId="0" fillId="0" borderId="0" xfId="19" applyFont="1" applyFill="1" applyAlignment="1"/>
    <xf numFmtId="3" fontId="6" fillId="0" borderId="0" xfId="19" applyNumberFormat="1" applyFont="1" applyFill="1" applyAlignment="1">
      <alignment horizontal="right" vertical="top"/>
    </xf>
    <xf numFmtId="164" fontId="0" fillId="0" borderId="0" xfId="19" applyFont="1" applyFill="1" applyAlignment="1">
      <alignment horizontal="right" vertical="top"/>
    </xf>
    <xf numFmtId="3" fontId="31" fillId="0" borderId="0" xfId="19" applyNumberFormat="1" applyFont="1" applyFill="1" applyAlignment="1">
      <alignment horizontal="right" vertical="top"/>
    </xf>
    <xf numFmtId="170" fontId="0" fillId="0" borderId="0" xfId="19" applyNumberFormat="1" applyFont="1" applyFill="1" applyAlignment="1">
      <alignment horizontal="right" vertical="top"/>
    </xf>
    <xf numFmtId="0" fontId="32" fillId="0" borderId="0" xfId="21" applyFont="1" applyFill="1" applyAlignment="1"/>
    <xf numFmtId="0" fontId="31" fillId="0" borderId="0" xfId="21" applyFont="1" applyFill="1" applyAlignment="1"/>
    <xf numFmtId="0" fontId="31" fillId="0" borderId="0" xfId="21" applyFont="1" applyFill="1" applyAlignment="1">
      <alignment horizontal="right" vertical="top"/>
    </xf>
    <xf numFmtId="0" fontId="6" fillId="0" borderId="0" xfId="21" applyFont="1" applyFill="1" applyAlignment="1">
      <alignment horizontal="right" vertical="top"/>
    </xf>
    <xf numFmtId="0" fontId="0" fillId="0" borderId="0" xfId="21" applyFont="1" applyFill="1" applyAlignment="1">
      <alignment horizontal="right" vertical="top"/>
    </xf>
    <xf numFmtId="0" fontId="29" fillId="0" borderId="0" xfId="11" applyFont="1" applyFill="1" applyAlignment="1">
      <alignment horizontal="right" vertical="top"/>
    </xf>
    <xf numFmtId="0" fontId="0" fillId="0" borderId="0" xfId="21" applyFont="1" applyFill="1" applyAlignment="1"/>
    <xf numFmtId="0" fontId="29" fillId="0" borderId="0" xfId="0" applyFont="1"/>
    <xf numFmtId="0" fontId="6" fillId="0" borderId="0" xfId="21" applyFont="1" applyFill="1" applyAlignment="1"/>
    <xf numFmtId="164" fontId="16" fillId="0" borderId="0" xfId="19" applyFont="1" applyFill="1" applyAlignment="1">
      <alignment horizontal="right" vertical="top"/>
    </xf>
    <xf numFmtId="164" fontId="16" fillId="0" borderId="0" xfId="19" applyFont="1" applyFill="1" applyAlignment="1"/>
    <xf numFmtId="0" fontId="29" fillId="0" borderId="0" xfId="12" applyFont="1" applyFill="1" applyAlignment="1"/>
    <xf numFmtId="164" fontId="6" fillId="0" borderId="0" xfId="17" applyFont="1" applyFill="1" applyAlignment="1"/>
    <xf numFmtId="164" fontId="30" fillId="0" borderId="0" xfId="17" applyFont="1" applyFill="1" applyAlignment="1">
      <alignment horizontal="right" vertical="top"/>
    </xf>
    <xf numFmtId="164" fontId="6" fillId="0" borderId="0" xfId="17" applyFont="1" applyFill="1" applyAlignment="1">
      <alignment horizontal="right" vertical="top"/>
    </xf>
    <xf numFmtId="0" fontId="29" fillId="0" borderId="0" xfId="15" applyFont="1" applyFill="1" applyAlignment="1"/>
    <xf numFmtId="164" fontId="29" fillId="0" borderId="0" xfId="17" applyFont="1" applyFill="1" applyAlignment="1"/>
    <xf numFmtId="164" fontId="33" fillId="0" borderId="0" xfId="17" applyFont="1" applyFill="1" applyAlignment="1">
      <alignment horizontal="right" vertical="top"/>
    </xf>
    <xf numFmtId="164" fontId="29" fillId="0" borderId="0" xfId="17" applyFont="1" applyFill="1" applyAlignment="1">
      <alignment horizontal="right" vertical="top"/>
    </xf>
    <xf numFmtId="164" fontId="29" fillId="0" borderId="0" xfId="19" applyFont="1" applyFill="1" applyAlignment="1">
      <alignment horizontal="right" vertical="top"/>
    </xf>
    <xf numFmtId="164" fontId="34" fillId="0" borderId="0" xfId="6" applyNumberFormat="1" applyFont="1" applyFill="1" applyAlignment="1"/>
    <xf numFmtId="0" fontId="23" fillId="0" borderId="0" xfId="11" applyFont="1" applyFill="1" applyAlignment="1"/>
    <xf numFmtId="0" fontId="35" fillId="0" borderId="0" xfId="7" applyFont="1" applyFill="1" applyAlignment="1"/>
    <xf numFmtId="0" fontId="29" fillId="0" borderId="0" xfId="11" applyFont="1" applyFill="1" applyAlignment="1"/>
    <xf numFmtId="0" fontId="6" fillId="2" borderId="0" xfId="11" applyFont="1" applyFill="1" applyAlignment="1"/>
    <xf numFmtId="0" fontId="25" fillId="2" borderId="2" xfId="0" applyFont="1" applyFill="1" applyBorder="1"/>
    <xf numFmtId="0" fontId="6" fillId="2" borderId="0" xfId="11" applyFont="1" applyFill="1" applyAlignment="1">
      <alignment horizontal="left"/>
    </xf>
    <xf numFmtId="164" fontId="6" fillId="2" borderId="0" xfId="19" applyFont="1" applyFill="1" applyAlignment="1">
      <alignment horizontal="left" wrapText="1"/>
    </xf>
    <xf numFmtId="0" fontId="6" fillId="2" borderId="0" xfId="18" applyFont="1" applyFill="1" applyAlignment="1">
      <alignment wrapText="1"/>
    </xf>
    <xf numFmtId="0" fontId="12" fillId="2" borderId="0" xfId="18" applyFont="1" applyFill="1" applyAlignment="1">
      <alignment horizontal="left" wrapText="1"/>
    </xf>
    <xf numFmtId="0" fontId="29" fillId="2" borderId="0" xfId="16" applyFont="1" applyFill="1" applyAlignment="1"/>
    <xf numFmtId="0" fontId="29" fillId="2" borderId="0" xfId="0" applyFont="1" applyFill="1"/>
    <xf numFmtId="0" fontId="6" fillId="2" borderId="0" xfId="0" applyFont="1" applyFill="1" applyAlignment="1">
      <alignment horizontal="left" vertical="top" wrapText="1"/>
    </xf>
    <xf numFmtId="0" fontId="12" fillId="2" borderId="0" xfId="0" applyFont="1" applyFill="1"/>
    <xf numFmtId="0" fontId="25" fillId="2" borderId="0" xfId="0" applyFont="1" applyFill="1"/>
    <xf numFmtId="11" fontId="12" fillId="2" borderId="0" xfId="0" applyNumberFormat="1" applyFont="1" applyFill="1"/>
    <xf numFmtId="0" fontId="36" fillId="0" borderId="0" xfId="11" applyFont="1" applyFill="1" applyAlignment="1"/>
    <xf numFmtId="0" fontId="12" fillId="2" borderId="0" xfId="11" applyFont="1" applyFill="1" applyAlignment="1"/>
    <xf numFmtId="0" fontId="37" fillId="2" borderId="0" xfId="11" applyFont="1" applyFill="1" applyAlignment="1"/>
    <xf numFmtId="0" fontId="14" fillId="2" borderId="0" xfId="11" applyFont="1" applyFill="1" applyAlignment="1"/>
    <xf numFmtId="0" fontId="14" fillId="2" borderId="2" xfId="11" applyFont="1" applyFill="1" applyBorder="1" applyAlignment="1"/>
    <xf numFmtId="0" fontId="12" fillId="2" borderId="2" xfId="11" applyFont="1" applyFill="1" applyBorder="1" applyAlignment="1"/>
    <xf numFmtId="0" fontId="14" fillId="2" borderId="5" xfId="11" applyFont="1" applyFill="1" applyBorder="1" applyAlignment="1"/>
    <xf numFmtId="164" fontId="25" fillId="2" borderId="0" xfId="19" applyFont="1" applyFill="1" applyAlignment="1"/>
    <xf numFmtId="0" fontId="12" fillId="2" borderId="0" xfId="11" applyFont="1" applyFill="1" applyAlignment="1">
      <alignment horizontal="left"/>
    </xf>
    <xf numFmtId="164" fontId="0" fillId="2" borderId="0" xfId="19" applyFont="1" applyFill="1" applyAlignment="1">
      <alignment horizontal="left"/>
    </xf>
    <xf numFmtId="0" fontId="12" fillId="3" borderId="0" xfId="11" applyFont="1" applyFill="1" applyAlignment="1"/>
    <xf numFmtId="9" fontId="12" fillId="4" borderId="0" xfId="11" applyNumberFormat="1" applyFont="1" applyFill="1" applyAlignment="1"/>
    <xf numFmtId="0" fontId="12" fillId="4" borderId="0" xfId="11" applyFont="1" applyFill="1" applyAlignment="1"/>
    <xf numFmtId="3" fontId="12" fillId="2" borderId="0" xfId="11" applyNumberFormat="1" applyFont="1" applyFill="1" applyAlignment="1"/>
    <xf numFmtId="165" fontId="14" fillId="2" borderId="0" xfId="1" applyNumberFormat="1" applyFont="1" applyFill="1"/>
    <xf numFmtId="9" fontId="14" fillId="2" borderId="0" xfId="2" applyFont="1" applyFill="1"/>
    <xf numFmtId="9" fontId="12" fillId="2" borderId="0" xfId="11" applyNumberFormat="1" applyFont="1" applyFill="1" applyAlignment="1"/>
    <xf numFmtId="164" fontId="25" fillId="4" borderId="0" xfId="19" applyFont="1" applyFill="1" applyAlignment="1"/>
    <xf numFmtId="0" fontId="12" fillId="4" borderId="0" xfId="11" applyFont="1" applyFill="1" applyAlignment="1">
      <alignment horizontal="left"/>
    </xf>
    <xf numFmtId="164" fontId="0" fillId="4" borderId="0" xfId="19" applyFont="1" applyFill="1" applyAlignment="1">
      <alignment horizontal="left"/>
    </xf>
    <xf numFmtId="165" fontId="14" fillId="4" borderId="0" xfId="1" applyNumberFormat="1" applyFont="1" applyFill="1"/>
    <xf numFmtId="9" fontId="14" fillId="4" borderId="0" xfId="2" applyFont="1" applyFill="1"/>
    <xf numFmtId="2" fontId="12" fillId="2" borderId="0" xfId="11" applyNumberFormat="1" applyFont="1" applyFill="1" applyAlignment="1"/>
    <xf numFmtId="164" fontId="25" fillId="2" borderId="2" xfId="19" applyFont="1" applyFill="1" applyBorder="1" applyAlignment="1"/>
    <xf numFmtId="0" fontId="14" fillId="2" borderId="2" xfId="11" applyFont="1" applyFill="1" applyBorder="1" applyAlignment="1">
      <alignment horizontal="left"/>
    </xf>
    <xf numFmtId="164" fontId="38" fillId="2" borderId="2" xfId="19" applyFont="1" applyFill="1" applyBorder="1" applyAlignment="1">
      <alignment horizontal="left"/>
    </xf>
    <xf numFmtId="0" fontId="14" fillId="5" borderId="2" xfId="11" applyFont="1" applyFill="1" applyBorder="1" applyAlignment="1"/>
    <xf numFmtId="3" fontId="39" fillId="6" borderId="6" xfId="0" applyNumberFormat="1" applyFont="1" applyFill="1" applyBorder="1" applyAlignment="1">
      <alignment wrapText="1"/>
    </xf>
    <xf numFmtId="164" fontId="25" fillId="7" borderId="0" xfId="19" applyFont="1" applyFill="1" applyAlignment="1"/>
    <xf numFmtId="0" fontId="12" fillId="7" borderId="0" xfId="11" applyFont="1" applyFill="1" applyAlignment="1">
      <alignment horizontal="left"/>
    </xf>
    <xf numFmtId="164" fontId="0" fillId="7" borderId="0" xfId="19" applyFont="1" applyFill="1" applyAlignment="1">
      <alignment horizontal="left"/>
    </xf>
    <xf numFmtId="9" fontId="12" fillId="7" borderId="0" xfId="11" applyNumberFormat="1" applyFont="1" applyFill="1" applyAlignment="1"/>
    <xf numFmtId="0" fontId="12" fillId="7" borderId="0" xfId="11" applyFont="1" applyFill="1" applyAlignment="1"/>
    <xf numFmtId="164" fontId="25" fillId="2" borderId="0" xfId="19" applyFont="1" applyFill="1" applyAlignment="1">
      <alignment horizontal="left"/>
    </xf>
    <xf numFmtId="164" fontId="0" fillId="2" borderId="0" xfId="19" applyFont="1" applyFill="1" applyAlignment="1">
      <alignment horizontal="left" indent="1"/>
    </xf>
    <xf numFmtId="0" fontId="12" fillId="8" borderId="0" xfId="11" applyFont="1" applyFill="1" applyAlignment="1"/>
    <xf numFmtId="164" fontId="25" fillId="2" borderId="2" xfId="19" applyFont="1" applyFill="1" applyBorder="1" applyAlignment="1">
      <alignment horizontal="left"/>
    </xf>
    <xf numFmtId="164" fontId="14" fillId="2" borderId="2" xfId="19" applyFont="1" applyFill="1" applyBorder="1" applyAlignment="1">
      <alignment horizontal="left" indent="1"/>
    </xf>
    <xf numFmtId="0" fontId="14" fillId="9" borderId="2" xfId="11" applyFont="1" applyFill="1" applyBorder="1" applyAlignment="1"/>
    <xf numFmtId="0" fontId="0" fillId="0" borderId="0" xfId="0" applyAlignment="1">
      <alignment horizontal="left" indent="1"/>
    </xf>
    <xf numFmtId="0" fontId="12" fillId="10" borderId="0" xfId="11" applyFont="1" applyFill="1" applyAlignment="1"/>
    <xf numFmtId="0" fontId="0" fillId="2" borderId="0" xfId="11" applyFont="1" applyFill="1" applyAlignment="1">
      <alignment horizontal="left" indent="1"/>
    </xf>
    <xf numFmtId="0" fontId="12" fillId="11" borderId="0" xfId="11" applyFont="1" applyFill="1" applyAlignment="1"/>
    <xf numFmtId="10" fontId="12" fillId="2" borderId="0" xfId="11" applyNumberFormat="1" applyFont="1" applyFill="1" applyAlignment="1"/>
    <xf numFmtId="0" fontId="14" fillId="2" borderId="6" xfId="11" applyFont="1" applyFill="1" applyBorder="1" applyAlignment="1"/>
    <xf numFmtId="164" fontId="25" fillId="2" borderId="6" xfId="19" applyFont="1" applyFill="1" applyBorder="1" applyAlignment="1">
      <alignment horizontal="left"/>
    </xf>
    <xf numFmtId="0" fontId="14" fillId="12" borderId="6" xfId="11" applyFont="1" applyFill="1" applyBorder="1" applyAlignment="1"/>
    <xf numFmtId="0" fontId="12" fillId="13" borderId="0" xfId="11" applyFont="1" applyFill="1" applyAlignment="1"/>
    <xf numFmtId="0" fontId="12" fillId="14" borderId="0" xfId="11" applyFont="1" applyFill="1" applyAlignment="1"/>
    <xf numFmtId="0" fontId="14" fillId="15" borderId="2" xfId="11" applyFont="1" applyFill="1" applyBorder="1" applyAlignment="1"/>
    <xf numFmtId="0" fontId="0" fillId="2" borderId="0" xfId="0" applyFill="1" applyAlignment="1">
      <alignment horizontal="left" indent="1"/>
    </xf>
  </cellXfs>
  <cellStyles count="23">
    <cellStyle name="Comma" xfId="1" builtinId="3" customBuiltin="1"/>
    <cellStyle name="Heading 1" xfId="3" builtinId="16" customBuiltin="1"/>
    <cellStyle name="Heading 1 4" xfId="5" xr:uid="{B0F23FCB-AD53-FF40-B4CE-C1E4E23BD02A}"/>
    <cellStyle name="Heading 2" xfId="4" builtinId="17" customBuiltin="1"/>
    <cellStyle name="Hyperlink" xfId="6" xr:uid="{A5F8185C-9499-DF47-AB05-2912E78C52BB}"/>
    <cellStyle name="Hyperlink 2" xfId="7" xr:uid="{D52BCF0D-D92E-8740-B0A5-171BE4193D6E}"/>
    <cellStyle name="Hyperlink 3" xfId="8" xr:uid="{5BD465AB-A91E-C94B-8E4D-20E9BFE7D21C}"/>
    <cellStyle name="Hyperlink 4" xfId="9" xr:uid="{23DC6FE7-A8B8-8D48-86D2-5BB2EB86566F}"/>
    <cellStyle name="Hyperlink 4 2" xfId="10" xr:uid="{CBD47DF5-C54F-E040-9D9A-3CFC174C4A97}"/>
    <cellStyle name="Normal" xfId="0" builtinId="0" customBuiltin="1"/>
    <cellStyle name="Normal 2" xfId="11" xr:uid="{C6CC5BDE-3150-5D41-86E9-C37A67EDD3E4}"/>
    <cellStyle name="Normal 2 2" xfId="12" xr:uid="{C96BAC29-37B3-BA4F-8FCE-81013422460B}"/>
    <cellStyle name="Normal 5" xfId="13" xr:uid="{AEAFB6C7-D90E-DE40-8499-7F5556488771}"/>
    <cellStyle name="Normal 6" xfId="14" xr:uid="{41FDD67E-3ABF-F141-AF0C-C1D4C86008E5}"/>
    <cellStyle name="Normal_Accumulated 1_3" xfId="15" xr:uid="{02B98D42-29DB-D34B-8A34-F6A6DC9DC338}"/>
    <cellStyle name="Normal_Accumulated 1_3 4" xfId="16" xr:uid="{B6811605-20FD-F24B-ADC9-022909B4105E}"/>
    <cellStyle name="Normal_Accumulated 1_6" xfId="17" xr:uid="{66D14FD6-D16D-734C-B4E6-DE433CE6F227}"/>
    <cellStyle name="Normal_Prov ports 2009 tables for pdf Bulletin_amended2" xfId="18" xr:uid="{EC9A8D35-9660-DA4A-A3ED-932231DE8A6D}"/>
    <cellStyle name="Normal_Tab1_6pub_09" xfId="19" xr:uid="{AAFDAB8C-7047-5D42-BC7F-D88B0B9C67D7}"/>
    <cellStyle name="Normal_TABS203WKG" xfId="20" xr:uid="{8E612F6D-D737-EB44-A1D6-E1742E2A51EA}"/>
    <cellStyle name="Normal_TSGB 2010 - Chapter 5_MS 2009 - Ports" xfId="21" xr:uid="{0B92EEFA-5697-994F-BB36-9ECD8D6A4F98}"/>
    <cellStyle name="Percent" xfId="2" builtinId="5" customBuiltin="1"/>
    <cellStyle name="Percent 2" xfId="22" xr:uid="{9A1E5E10-6702-A549-BCCD-C8C069BB04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7" Type="http://purl.oclc.org/ooxml/officeDocument/relationships/worksheet" Target="worksheets/sheet7.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calcChain" Target="calcChain.xml"/><Relationship Id="rId5" Type="http://purl.oclc.org/ooxml/officeDocument/relationships/worksheet" Target="worksheets/sheet5.xml"/><Relationship Id="rId10" Type="http://purl.oclc.org/ooxml/officeDocument/relationships/sharedStrings" Target="sharedStrings.xml"/><Relationship Id="rId4" Type="http://purl.oclc.org/ooxml/officeDocument/relationships/worksheet" Target="worksheets/sheet4.xml"/><Relationship Id="rId9" Type="http://purl.oclc.org/ooxml/officeDocument/relationships/styles" Target="styles.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c:style val="2"/>
  <c:chart>
    <c:title>
      <c:tx>
        <c:rich>
          <a:bodyPr lIns="0" tIns="0" rIns="0" bIns="0"/>
          <a:lstStyle/>
          <a:p>
            <a:pPr marL="0" marR="0" indent="0" algn="ctr" defTabSz="914400" fontAlgn="auto" hangingPunct="1">
              <a:lnSpc>
                <a:spcPct val="100%"/>
              </a:lnSpc>
              <a:spcBef>
                <a:spcPts val="0"/>
              </a:spcBef>
              <a:spcAft>
                <a:spcPts val="0"/>
              </a:spcAft>
              <a:tabLst/>
              <a:defRPr sz="1400" b="0" i="0" u="none" strike="noStrike" kern="1200" spc="0" baseline="0%">
                <a:solidFill>
                  <a:srgbClr val="767A81"/>
                </a:solidFill>
                <a:latin typeface="Arial"/>
              </a:defRPr>
            </a:pPr>
            <a:r>
              <a:rPr lang="en-GB" sz="1400" b="0" i="0" u="none" strike="noStrike" kern="1200" cap="none" spc="0" baseline="0%">
                <a:solidFill>
                  <a:srgbClr val="767A81"/>
                </a:solidFill>
                <a:uFillTx/>
                <a:latin typeface="Arial"/>
              </a:rPr>
              <a:t>Long Term Trend</a:t>
            </a:r>
          </a:p>
        </c:rich>
      </c:tx>
      <c:overlay val="0"/>
      <c:spPr>
        <a:noFill/>
        <a:ln>
          <a:noFill/>
        </a:ln>
      </c:spPr>
    </c:title>
    <c:autoTitleDeleted val="0"/>
    <c:plotArea>
      <c:layout/>
      <c:lineChart>
        <c:grouping val="standard"/>
        <c:varyColors val="0"/>
        <c:ser>
          <c:idx val="0"/>
          <c:order val="0"/>
          <c:spPr>
            <a:ln w="28575" cap="rnd">
              <a:solidFill>
                <a:srgbClr val="006853"/>
              </a:solidFill>
              <a:prstDash val="solid"/>
              <a:round/>
            </a:ln>
          </c:spPr>
          <c:marker>
            <c:symbol val="none"/>
          </c:marker>
          <c:val>
            <c:numRef>
              <c:f>Working!$D$10:$AB$10</c:f>
              <c:numCache>
                <c:formatCode>General</c:formatCode>
                <c:ptCount val="25"/>
                <c:pt idx="0">
                  <c:v>290550.25799999997</c:v>
                </c:pt>
                <c:pt idx="1">
                  <c:v>273534.272</c:v>
                </c:pt>
                <c:pt idx="2">
                  <c:v>270795.81300000002</c:v>
                </c:pt>
                <c:pt idx="3">
                  <c:v>260299.41200000001</c:v>
                </c:pt>
                <c:pt idx="4">
                  <c:v>267433.51400000002</c:v>
                </c:pt>
                <c:pt idx="5">
                  <c:v>263166.60499999998</c:v>
                </c:pt>
                <c:pt idx="6">
                  <c:v>250388.144</c:v>
                </c:pt>
                <c:pt idx="7">
                  <c:v>248592.424</c:v>
                </c:pt>
                <c:pt idx="8">
                  <c:v>239173.89799999999</c:v>
                </c:pt>
                <c:pt idx="9">
                  <c:v>227543.715</c:v>
                </c:pt>
                <c:pt idx="10">
                  <c:v>231609.288</c:v>
                </c:pt>
                <c:pt idx="11">
                  <c:v>230558.288</c:v>
                </c:pt>
                <c:pt idx="12">
                  <c:v>210857.598</c:v>
                </c:pt>
                <c:pt idx="13">
                  <c:v>196980.02900000001</c:v>
                </c:pt>
                <c:pt idx="14">
                  <c:v>187796.59599999999</c:v>
                </c:pt>
                <c:pt idx="15">
                  <c:v>194350.674</c:v>
                </c:pt>
                <c:pt idx="16">
                  <c:v>190994.20499999999</c:v>
                </c:pt>
                <c:pt idx="17">
                  <c:v>189144.01300000001</c:v>
                </c:pt>
                <c:pt idx="18">
                  <c:v>184173.818</c:v>
                </c:pt>
                <c:pt idx="19">
                  <c:v>191469.95499999999</c:v>
                </c:pt>
                <c:pt idx="20">
                  <c:v>165550.91200000001</c:v>
                </c:pt>
                <c:pt idx="21">
                  <c:v>161859.342</c:v>
                </c:pt>
                <c:pt idx="22">
                  <c:v>180026.38800000001</c:v>
                </c:pt>
                <c:pt idx="23">
                  <c:v>169264.76500000001</c:v>
                </c:pt>
                <c:pt idx="24">
                  <c:v>163099.68299999999</c:v>
                </c:pt>
              </c:numCache>
            </c:numRef>
          </c:val>
          <c:smooth val="0"/>
          <c:extLst>
            <c:ext xmlns:c16="http://schemas.microsoft.com/office/drawing/2014/chart" uri="{C3380CC4-5D6E-409C-BE32-E72D297353CC}">
              <c16:uniqueId val="{00000000-6432-3A42-8C6D-DE061B59D517}"/>
            </c:ext>
          </c:extLst>
        </c:ser>
        <c:dLbls>
          <c:showLegendKey val="0"/>
          <c:showVal val="0"/>
          <c:showCatName val="0"/>
          <c:showSerName val="0"/>
          <c:showPercent val="0"/>
          <c:showBubbleSize val="0"/>
        </c:dLbls>
        <c:smooth val="0"/>
        <c:axId val="589319599"/>
        <c:axId val="589331071"/>
      </c:lineChart>
      <c:valAx>
        <c:axId val="589331071"/>
        <c:scaling>
          <c:orientation val="minMax"/>
        </c:scaling>
        <c:delete val="0"/>
        <c:axPos val="l"/>
        <c:majorGridlines>
          <c:spPr>
            <a:ln w="9528" cap="flat">
              <a:solidFill>
                <a:srgbClr val="DFE0E2"/>
              </a:solidFill>
              <a:prstDash val="solid"/>
              <a:round/>
            </a:ln>
          </c:spPr>
        </c:majorGridlines>
        <c:numFmt formatCode="General" sourceLinked="1"/>
        <c:majorTickMark val="none"/>
        <c:minorTickMark val="none"/>
        <c:tickLblPos val="nextTo"/>
        <c:spPr>
          <a:noFill/>
          <a:ln>
            <a:noFill/>
          </a:ln>
        </c:spPr>
        <c:txPr>
          <a:bodyPr lIns="0" tIns="0" rIns="0" bIns="0"/>
          <a:lstStyle/>
          <a:p>
            <a:pPr marL="0" marR="0" indent="0" defTabSz="914400" fontAlgn="auto" hangingPunct="1">
              <a:lnSpc>
                <a:spcPct val="100%"/>
              </a:lnSpc>
              <a:spcBef>
                <a:spcPts val="0"/>
              </a:spcBef>
              <a:spcAft>
                <a:spcPts val="0"/>
              </a:spcAft>
              <a:tabLst/>
              <a:defRPr sz="900" b="0" i="0" u="none" strike="noStrike" kern="1200" baseline="0%">
                <a:solidFill>
                  <a:srgbClr val="767A81"/>
                </a:solidFill>
                <a:latin typeface="Arial"/>
              </a:defRPr>
            </a:pPr>
            <a:endParaRPr lang="en-US"/>
          </a:p>
        </c:txPr>
        <c:crossAx val="589319599"/>
        <c:crosses val="autoZero"/>
        <c:crossBetween val="between"/>
      </c:valAx>
      <c:catAx>
        <c:axId val="589319599"/>
        <c:scaling>
          <c:orientation val="minMax"/>
        </c:scaling>
        <c:delete val="0"/>
        <c:axPos val="b"/>
        <c:majorTickMark val="none"/>
        <c:minorTickMark val="none"/>
        <c:tickLblPos val="nextTo"/>
        <c:spPr>
          <a:noFill/>
          <a:ln w="9528" cap="flat">
            <a:solidFill>
              <a:srgbClr val="DFE0E2"/>
            </a:solidFill>
            <a:prstDash val="solid"/>
            <a:round/>
          </a:ln>
        </c:spPr>
        <c:txPr>
          <a:bodyPr lIns="0" tIns="0" rIns="0" bIns="0"/>
          <a:lstStyle/>
          <a:p>
            <a:pPr marL="0" marR="0" indent="0" defTabSz="914400" fontAlgn="auto" hangingPunct="1">
              <a:lnSpc>
                <a:spcPct val="100%"/>
              </a:lnSpc>
              <a:spcBef>
                <a:spcPts val="0"/>
              </a:spcBef>
              <a:spcAft>
                <a:spcPts val="0"/>
              </a:spcAft>
              <a:tabLst/>
              <a:defRPr sz="900" b="0" i="0" u="none" strike="noStrike" kern="1200" baseline="0%">
                <a:solidFill>
                  <a:srgbClr val="767A81"/>
                </a:solidFill>
                <a:latin typeface="Arial"/>
              </a:defRPr>
            </a:pPr>
            <a:endParaRPr lang="en-US"/>
          </a:p>
        </c:txPr>
        <c:crossAx val="589331071"/>
        <c:crosses val="autoZero"/>
        <c:auto val="1"/>
        <c:lblAlgn val="ctr"/>
        <c:lblOffset val="100"/>
        <c:noMultiLvlLbl val="0"/>
      </c:catAx>
      <c:spPr>
        <a:noFill/>
        <a:ln>
          <a:noFill/>
        </a:ln>
      </c:spPr>
    </c:plotArea>
    <c:plotVisOnly val="1"/>
    <c:dispBlanksAs val="gap"/>
    <c:showDLblsOverMax val="0"/>
  </c:chart>
  <c:spPr>
    <a:solidFill>
      <a:srgbClr val="FFFFFF"/>
    </a:solidFill>
    <a:ln w="9528" cap="flat">
      <a:solidFill>
        <a:srgbClr val="DFE0E2"/>
      </a:solidFill>
      <a:prstDash val="solid"/>
      <a:round/>
    </a:ln>
  </c:spPr>
  <c:txPr>
    <a:bodyPr lIns="0" tIns="0" rIns="0" bIns="0"/>
    <a:lstStyle/>
    <a:p>
      <a:pPr marL="0" marR="0" indent="0" defTabSz="914400" fontAlgn="auto" hangingPunct="1">
        <a:lnSpc>
          <a:spcPct val="100%"/>
        </a:lnSpc>
        <a:spcBef>
          <a:spcPts val="0"/>
        </a:spcBef>
        <a:spcAft>
          <a:spcPts val="0"/>
        </a:spcAft>
        <a:tabLst/>
        <a:defRPr lang="en-US" sz="1000" b="0" i="0" u="none" strike="noStrike" kern="1200" baseline="0%">
          <a:solidFill>
            <a:srgbClr val="323437"/>
          </a:solidFill>
          <a:latin typeface="Arial"/>
        </a:defRPr>
      </a:pPr>
      <a:endParaRPr lang="en-US"/>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oneCellAnchor>
    <xdr:from>
      <xdr:col>8</xdr:col>
      <xdr:colOff>0</xdr:colOff>
      <xdr:row>15</xdr:row>
      <xdr:rowOff>0</xdr:rowOff>
    </xdr:from>
    <xdr:ext cx="304796" cy="304796"/>
    <xdr:sp macro="" textlink="">
      <xdr:nvSpPr>
        <xdr:cNvPr id="2" name="AutoShape 4" descr="Image result for cursor pictures">
          <a:extLst>
            <a:ext uri="{FF2B5EF4-FFF2-40B4-BE49-F238E27FC236}">
              <a16:creationId xmlns:a16="http://schemas.microsoft.com/office/drawing/2014/main" id="{95C17B0D-D0B7-C5C7-8F01-BAC8F05B64B7}"/>
            </a:ext>
          </a:extLst>
        </xdr:cNvPr>
        <xdr:cNvSpPr/>
      </xdr:nvSpPr>
      <xdr:spPr>
        <a:xfrm>
          <a:off x="16700500" y="5003800"/>
          <a:ext cx="304796" cy="304796"/>
        </a:xfrm>
        <a:prstGeom prst="rect">
          <a:avLst/>
        </a:prstGeom>
        <a:noFill/>
        <a:ln cap="flat">
          <a:noFill/>
          <a:prstDash val="solid"/>
        </a:ln>
      </xdr:spPr>
      <xdr:txBody>
        <a:bodyPr vert="horz" wrap="square" lIns="0" tIns="0" rIns="0" bIns="0" anchor="t" anchorCtr="0" compatLnSpc="0">
          <a:noAutofit/>
        </a:bodyPr>
        <a:lstStyle/>
        <a:p>
          <a:pPr marL="0" marR="0" lvl="0" indent="0" defTabSz="914400" rtl="0" fontAlgn="auto" hangingPunct="1">
            <a:lnSpc>
              <a:spcPct val="1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rial"/>
          </a:endParaRPr>
        </a:p>
      </xdr:txBody>
    </xdr:sp>
    <xdr:clientData/>
  </xdr:oneCellAnchor>
</xdr:wsDr>
</file>

<file path=xl/drawings/drawing2.xml><?xml version="1.0" encoding="utf-8"?>
<xdr:wsDr xmlns:xdr="http://purl.oclc.org/ooxml/drawingml/spreadsheetDrawing" xmlns:a="http://purl.oclc.org/ooxml/drawingml/main">
  <xdr:oneCellAnchor>
    <xdr:from>
      <xdr:col>38</xdr:col>
      <xdr:colOff>137580</xdr:colOff>
      <xdr:row>5</xdr:row>
      <xdr:rowOff>92427</xdr:rowOff>
    </xdr:from>
    <xdr:ext cx="4636904" cy="2936522"/>
    <xdr:graphicFrame macro="">
      <xdr:nvGraphicFramePr>
        <xdr:cNvPr id="2" name="Chart 1">
          <a:extLst>
            <a:ext uri="{FF2B5EF4-FFF2-40B4-BE49-F238E27FC236}">
              <a16:creationId xmlns:a16="http://schemas.microsoft.com/office/drawing/2014/main" id="{9E0C972B-71E5-8EF2-D6BD-F23FE9774E87}"/>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oneCellAnchor>
</xdr:wsDr>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6177B223-2BAB-2944-9061-349DFC70E079}" name="Table4" displayName="Table4" ref="A3:B5" totalsRowShown="0">
  <tableColumns count="2">
    <tableColumn id="1" xr3:uid="{7D42AC46-500E-4B4D-849B-D70F39054119}" name="Worksheet name"/>
    <tableColumn id="2" xr3:uid="{6CFACB4B-E24B-9F48-AFF0-5770265F8AFD}" name="Worksheet description"/>
  </tableColumns>
  <tableStyleInfo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919A18F9-1BE6-A844-9B44-65DE26762AD1}" name="Heading1" displayName="Heading1" ref="A10:AB47" totalsRowShown="0">
  <tableColumns count="28">
    <tableColumn id="1" xr3:uid="{1D1868AD-9009-3544-846A-13FE11676C13}" name="Cargo Group"/>
    <tableColumn id="2" xr3:uid="{CEB42AC5-F15E-7E4A-8DB4-1F5749F855EB}" name="Cargo Category"/>
    <tableColumn id="3" xr3:uid="{A7F301AC-34A5-2E48-B7CF-5272C6AC2155}" name="2000"/>
    <tableColumn id="4" xr3:uid="{6A147569-FC3F-F247-8BE9-5FC9B6A3E165}" name="2001"/>
    <tableColumn id="5" xr3:uid="{678DFAB2-E812-7342-8A42-222434C9B2FD}" name="2002"/>
    <tableColumn id="6" xr3:uid="{1800591F-271B-DE4A-AC6B-DB53C42589A2}" name="2003"/>
    <tableColumn id="7" xr3:uid="{EFC16FBB-3633-5E49-8AB1-36CD8B38C7C7}" name="2004"/>
    <tableColumn id="8" xr3:uid="{F6EDA0DF-210D-B74F-AE49-3B32FD5318C4}" name="2005"/>
    <tableColumn id="9" xr3:uid="{0187FD81-8159-2041-95B0-FBD860EB1B64}" name="2006"/>
    <tableColumn id="10" xr3:uid="{3CF32CD0-B537-2F43-9D24-303E90196221}" name="2007"/>
    <tableColumn id="11" xr3:uid="{F66E9161-93FA-9A44-BA54-DFB0D80D7846}" name="2008"/>
    <tableColumn id="12" xr3:uid="{4BCB3FC0-DD7B-464F-966D-16DF95516EBA}" name="2009"/>
    <tableColumn id="13" xr3:uid="{A2365E3E-01A3-4743-A492-68FBBEE1BB87}" name="2010"/>
    <tableColumn id="14" xr3:uid="{0063D13C-43A5-5144-9609-CF553D344C4D}" name="2011"/>
    <tableColumn id="15" xr3:uid="{2F41D4BD-14AC-4C4C-AA75-D2F4A8CF6D15}" name="2012"/>
    <tableColumn id="16" xr3:uid="{DFE19243-3007-9341-AABE-3D6F795DC83C}" name="2013"/>
    <tableColumn id="17" xr3:uid="{75A0C2AB-7722-5F40-A18E-63CD322C162B}" name="2014"/>
    <tableColumn id="18" xr3:uid="{9F652019-DE1B-D543-92B9-6895E3EC2E51}" name="2015"/>
    <tableColumn id="19" xr3:uid="{FAAA2D2A-2B43-4740-ACD5-D983669501E4}" name="2016"/>
    <tableColumn id="20" xr3:uid="{F6CD1412-19AA-B04F-B50A-5E60610C4861}" name="2017"/>
    <tableColumn id="21" xr3:uid="{CDBF0AAB-24F3-ED4A-854C-0EBBFEA9E1A4}" name="2018"/>
    <tableColumn id="22" xr3:uid="{BB1AE875-251F-4349-A446-695A74076D2F}" name="2019 [Note 5, 6]"/>
    <tableColumn id="23" xr3:uid="{C39738F0-AFE8-6642-9320-C88991E4D64B}" name="2020 [Note 4, 6]"/>
    <tableColumn id="24" xr3:uid="{68159098-7BAC-CC4A-8E3B-25C640ECE19B}" name="2021 [Note 6]"/>
    <tableColumn id="25" xr3:uid="{A8175374-F1E4-C54D-A1D6-5705E924097F}" name="2022 [Note 6]"/>
    <tableColumn id="26" xr3:uid="{51BC006A-859E-844C-8A29-F6A9C559B0A4}" name="2023 [Note 6]"/>
    <tableColumn id="27" xr3:uid="{7635B612-2CDF-C04F-9256-49AE6C663D9D}" name="2024"/>
    <tableColumn id="28" xr3:uid="{4522CA76-AFF6-6A44-B3F8-AB395CE1149E}" name="2025 [Note 7]"/>
  </tableColumns>
  <tableStyleInfo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EACF433C-8816-5E4F-A785-706348AFB7E4}" name="Table6" displayName="Table6" ref="A4:B11" totalsRowShown="0">
  <tableColumns count="2">
    <tableColumn id="1" xr3:uid="{36A1D315-EECF-4241-899B-B5B89AC7A472}" name="Note number"/>
    <tableColumn id="2" xr3:uid="{14AC2F0C-F3FC-EC48-9687-4652BB2276F9}" name="Note text"/>
  </tableColumns>
  <tableStyleInfo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BCE6891C-1609-6A40-A1CD-079EAA3C3B2E}" name="Table3" displayName="Table3" ref="A4:H4467" totalsRowShown="0">
  <tableColumns count="8">
    <tableColumn id="1" xr3:uid="{CA352297-ED02-194D-9175-5C36F05F4589}" name="Year"/>
    <tableColumn id="2" xr3:uid="{AA24D17E-0AF0-5640-BFBF-5B4A290E9D99}" name="CargoCode"/>
    <tableColumn id="3" xr3:uid="{4AA3AB20-3C5A-7543-97D5-A75E76D90B95}" name="Direction"/>
    <tableColumn id="4" xr3:uid="{281A85D4-81CA-F344-A295-663AA7F5DEA8}" name="Tonnage"/>
    <tableColumn id="5" xr3:uid="{6B6FFEC7-FD64-8044-8AFD-EE413698F390}" name="Units"/>
    <tableColumn id="6" xr3:uid="{754E3C56-0CBB-4E49-8D83-369A78BA3A81}" name="Region"/>
    <tableColumn id="7" xr3:uid="{E68813D7-DB92-5C46-9CE1-012A09899457}" name="TEU"/>
    <tableColumn id="8" xr3:uid="{7B622CFB-26BA-9A47-B4E3-AEA3835DE780}" name="Dummy"/>
  </tableColumns>
  <tableStyleInfo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purl.oclc.org/ooxml/officeDocument/relationships/hyperlink" Target="https://www.gov.uk/government/publications/maritime-and-shipping-statistics-guidance" TargetMode="External"/><Relationship Id="rId2" Type="http://purl.oclc.org/ooxml/officeDocument/relationships/hyperlink" Target="https://osr.statisticsauthority.gov.uk/policies/official-statistics-policies/accredited-official-statistics-policy/" TargetMode="External"/><Relationship Id="rId1" Type="http://purl.oclc.org/ooxml/officeDocument/relationships/hyperlink" Target="https://www.gov.uk/government/collections/maritime-and-shipping-statistics" TargetMode="External"/><Relationship Id="rId4" Type="http://purl.oclc.org/ooxml/officeDocument/relationships/drawing" Target="../drawings/drawing1.xml"/></Relationships>
</file>

<file path=xl/worksheets/_rels/sheet2.xml.rels><?xml version="1.0" encoding="UTF-8" standalone="yes"?>
<Relationships xmlns="http://schemas.openxmlformats.org/package/2006/relationships"><Relationship Id="rId1" Type="http://purl.oclc.org/ooxml/officeDocument/relationships/table" Target="../tables/table1.xml"/></Relationships>
</file>

<file path=xl/worksheets/_rels/sheet3.xml.rels><?xml version="1.0" encoding="UTF-8" standalone="yes"?>
<Relationships xmlns="http://schemas.openxmlformats.org/package/2006/relationships"><Relationship Id="rId1" Type="http://purl.oclc.org/ooxml/officeDocument/relationships/table" Target="../tables/table2.xml"/></Relationships>
</file>

<file path=xl/worksheets/_rels/sheet4.xml.rels><?xml version="1.0" encoding="UTF-8" standalone="yes"?>
<Relationships xmlns="http://schemas.openxmlformats.org/package/2006/relationships"><Relationship Id="rId1" Type="http://purl.oclc.org/ooxml/officeDocument/relationships/table" Target="../tables/table3.xml"/></Relationships>
</file>

<file path=xl/worksheets/_rels/sheet5.xml.rels><?xml version="1.0" encoding="UTF-8" standalone="yes"?>
<Relationships xmlns="http://schemas.openxmlformats.org/package/2006/relationships"><Relationship Id="rId1" Type="http://purl.oclc.org/ooxml/officeDocument/relationships/table" Target="../tables/table4.xml"/></Relationships>
</file>

<file path=xl/worksheets/_rels/sheet6.xml.rels><?xml version="1.0" encoding="UTF-8" standalone="yes"?>
<Relationships xmlns="http://schemas.openxmlformats.org/package/2006/relationships"><Relationship Id="rId1" Type="http://purl.oclc.org/ooxml/officeDocument/relationships/drawing" Target="../drawings/drawing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C86F1-9372-0B45-A9A2-16B398B4C665}">
  <dimension ref="A1:XFD19"/>
  <sheetViews>
    <sheetView tabSelected="1" workbookViewId="0">
      <selection activeCell="A8" sqref="A8"/>
    </sheetView>
  </sheetViews>
  <sheetFormatPr baseColWidth="10" defaultColWidth="11.1640625" defaultRowHeight="13.25"/>
  <cols>
    <col min="1" max="1" width="139.33203125" style="3" bestFit="1" customWidth="1"/>
    <col min="2" max="2" width="12.83203125" style="3" bestFit="1" customWidth="1"/>
    <col min="3" max="3" width="11.1640625" style="3" customWidth="1"/>
    <col min="4" max="16384" width="11.1640625" style="3"/>
  </cols>
  <sheetData>
    <row r="1" spans="1:2 16373:16384" ht="16">
      <c r="A1" s="1" t="s">
        <v>0</v>
      </c>
      <c r="B1" s="2"/>
    </row>
    <row r="2" spans="1:2 16373:16384" s="6" customFormat="1" ht="17.5" customHeight="1">
      <c r="A2" s="4" t="s">
        <v>1</v>
      </c>
      <c r="B2" s="5"/>
    </row>
    <row r="3" spans="1:2 16373:16384" ht="34.5" customHeight="1">
      <c r="A3" s="7" t="s">
        <v>2</v>
      </c>
      <c r="B3" s="8"/>
    </row>
    <row r="4" spans="1:2 16373:16384" ht="105" customHeight="1">
      <c r="A4" s="9" t="s">
        <v>3</v>
      </c>
      <c r="B4" s="8"/>
    </row>
    <row r="5" spans="1:2 16373:16384" ht="18" customHeight="1">
      <c r="A5" s="10" t="s">
        <v>4</v>
      </c>
      <c r="B5" s="2"/>
    </row>
    <row r="6" spans="1:2 16373:16384" ht="19" customHeight="1">
      <c r="A6" s="10" t="s">
        <v>5</v>
      </c>
      <c r="B6" s="2"/>
    </row>
    <row r="7" spans="1:2 16373:16384" ht="21.5" customHeight="1">
      <c r="A7" s="11" t="s">
        <v>6</v>
      </c>
      <c r="B7" s="2"/>
    </row>
    <row r="8" spans="1:2 16373:16384" ht="20.5" customHeight="1">
      <c r="A8" s="12" t="s">
        <v>7</v>
      </c>
      <c r="B8" s="2"/>
    </row>
    <row r="9" spans="1:2 16373:16384" ht="16">
      <c r="A9" s="12" t="s">
        <v>8</v>
      </c>
      <c r="B9" s="2"/>
    </row>
    <row r="10" spans="1:2 16373:16384" ht="36" customHeight="1">
      <c r="A10" s="13" t="s">
        <v>9</v>
      </c>
      <c r="B10" s="2"/>
    </row>
    <row r="11" spans="1:2 16373:16384" ht="20" customHeight="1">
      <c r="A11" s="4" t="s">
        <v>10</v>
      </c>
      <c r="B11" s="2"/>
    </row>
    <row r="12" spans="1:2 16373:16384" ht="16">
      <c r="A12" s="14" t="s">
        <v>11</v>
      </c>
      <c r="B12" s="15"/>
    </row>
    <row r="13" spans="1:2 16373:16384" ht="16">
      <c r="A13" s="14" t="s">
        <v>12</v>
      </c>
      <c r="B13" s="15"/>
    </row>
    <row r="14" spans="1:2 16373:16384" ht="24.5" customHeight="1">
      <c r="A14" s="4" t="s">
        <v>13</v>
      </c>
      <c r="B14" s="16"/>
    </row>
    <row r="15" spans="1:2 16373:16384" s="19" customFormat="1" ht="16">
      <c r="A15" s="17" t="s">
        <v>14</v>
      </c>
      <c r="B15" s="18"/>
      <c r="XES15" s="3"/>
      <c r="XET15" s="3"/>
      <c r="XEU15" s="3"/>
      <c r="XEV15" s="3"/>
      <c r="XEW15" s="3"/>
      <c r="XEX15" s="3"/>
      <c r="XEY15" s="3"/>
      <c r="XEZ15" s="3"/>
      <c r="XFA15" s="3"/>
      <c r="XFB15" s="3"/>
      <c r="XFC15" s="3"/>
      <c r="XFD15" s="3"/>
    </row>
    <row r="16" spans="1:2 16373:16384" ht="17" customHeight="1"/>
    <row r="17" spans="2:2" ht="13"/>
    <row r="18" spans="2:2" ht="13"/>
    <row r="19" spans="2:2" ht="16">
      <c r="B19" s="20"/>
    </row>
  </sheetData>
  <hyperlinks>
    <hyperlink ref="A7" r:id="rId1" xr:uid="{9EB991C7-4472-B44B-8487-00AC9E069D70}"/>
    <hyperlink ref="A10" r:id="rId2" xr:uid="{D94A60D6-F681-144D-A6C8-A88DAA89C610}"/>
    <hyperlink ref="A15" r:id="rId3" xr:uid="{5216AEB1-F260-9B48-A103-FA7B6B606CB1}"/>
  </hyperlinks>
  <pageMargins left="0.7" right="0.7" top="0.75" bottom="0.75" header="0.3" footer="0.3"/>
  <pageSetup paperSize="0" scale="80" fitToWidth="0" fitToHeight="0" orientation="landscape" horizontalDpi="0" verticalDpi="0" copies="0"/>
  <headerFooter>
    <oddHeader xml:space="preserve">&amp;C&amp;"Calibri,Regular"&amp;10&amp;K000000 OFFICIAL-SENSITIVE&amp;1#
</oddHeader>
    <oddFooter>&amp;C
&amp;1#&amp;"Calibri,Regular"&amp;10&amp;K000000 OFFICIAL-SENSITIVE</oddFooter>
  </headerFooter>
  <drawing r:id="rId4"/>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4E88E-3193-4942-BBA9-A71BED2E056E}">
  <dimension ref="A1:B5"/>
  <sheetViews>
    <sheetView workbookViewId="0"/>
  </sheetViews>
  <sheetFormatPr baseColWidth="10" defaultColWidth="11.5" defaultRowHeight="13.75"/>
  <cols>
    <col min="1" max="1" width="32.83203125" style="23" bestFit="1" customWidth="1"/>
    <col min="2" max="2" width="67.5" style="23" customWidth="1"/>
    <col min="3" max="3" width="11.5" style="23" customWidth="1"/>
    <col min="4" max="16384" width="11.5" style="23"/>
  </cols>
  <sheetData>
    <row r="1" spans="1:2" ht="16">
      <c r="A1" s="21" t="s">
        <v>15</v>
      </c>
      <c r="B1" s="22"/>
    </row>
    <row r="2" spans="1:2" ht="14">
      <c r="A2" s="24" t="s">
        <v>16</v>
      </c>
      <c r="B2" s="22"/>
    </row>
    <row r="3" spans="1:2" ht="18.5" customHeight="1">
      <c r="A3" s="25" t="s">
        <v>17</v>
      </c>
      <c r="B3" s="25" t="s">
        <v>18</v>
      </c>
    </row>
    <row r="4" spans="1:2" ht="41" customHeight="1">
      <c r="A4" s="22" t="s">
        <v>19</v>
      </c>
      <c r="B4" s="26" t="s">
        <v>20</v>
      </c>
    </row>
    <row r="5" spans="1:2" ht="14">
      <c r="A5" s="22" t="s">
        <v>21</v>
      </c>
      <c r="B5" s="26" t="s">
        <v>22</v>
      </c>
    </row>
  </sheetData>
  <pageMargins left="0.7" right="0.7" top="0.75" bottom="0.75" header="0.3" footer="0.3"/>
  <pageSetup paperSize="0" fitToWidth="0" fitToHeight="0" orientation="portrait" horizontalDpi="0" verticalDpi="0" copies="0"/>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AD20-7F9E-C948-A1B1-4A652A2002BB}">
  <sheetPr>
    <pageSetUpPr fitToPage="1"/>
  </sheetPr>
  <dimension ref="A1:AF64"/>
  <sheetViews>
    <sheetView workbookViewId="0"/>
  </sheetViews>
  <sheetFormatPr baseColWidth="10" defaultColWidth="31.1640625" defaultRowHeight="15"/>
  <cols>
    <col min="1" max="1" width="40" style="85" customWidth="1"/>
    <col min="2" max="2" width="59.33203125" style="85" bestFit="1" customWidth="1"/>
    <col min="3" max="28" width="10.83203125" style="84" customWidth="1"/>
    <col min="29" max="29" width="31.1640625" style="85" customWidth="1"/>
    <col min="30" max="16384" width="31.1640625" style="85"/>
  </cols>
  <sheetData>
    <row r="1" spans="1:32" s="32" customFormat="1" ht="19">
      <c r="A1" s="27" t="s">
        <v>23</v>
      </c>
      <c r="B1" s="28"/>
      <c r="C1" s="29"/>
      <c r="D1" s="29"/>
      <c r="E1" s="29"/>
      <c r="F1" s="29"/>
      <c r="G1" s="29"/>
      <c r="H1" s="29"/>
      <c r="I1" s="29"/>
      <c r="J1" s="30"/>
      <c r="K1" s="30"/>
      <c r="L1" s="30"/>
      <c r="M1" s="30"/>
      <c r="N1" s="30"/>
      <c r="O1" s="30"/>
      <c r="P1" s="30"/>
      <c r="Q1" s="30"/>
      <c r="R1" s="30"/>
      <c r="S1" s="30"/>
      <c r="T1" s="30"/>
      <c r="U1" s="30"/>
      <c r="V1" s="31"/>
      <c r="W1" s="31"/>
      <c r="X1" s="31"/>
      <c r="Y1" s="31"/>
      <c r="Z1" s="30"/>
      <c r="AA1" s="30"/>
      <c r="AB1" s="30"/>
    </row>
    <row r="2" spans="1:32" s="32" customFormat="1" ht="16">
      <c r="A2" s="33" t="s">
        <v>24</v>
      </c>
      <c r="B2" s="34"/>
      <c r="C2" s="35"/>
      <c r="D2" s="35"/>
      <c r="E2" s="35"/>
      <c r="F2" s="35"/>
      <c r="G2" s="35"/>
      <c r="H2" s="35"/>
      <c r="I2" s="35"/>
      <c r="J2" s="36"/>
      <c r="K2" s="36"/>
      <c r="L2" s="36"/>
      <c r="M2" s="36"/>
      <c r="N2" s="36"/>
      <c r="O2" s="36"/>
      <c r="P2" s="36"/>
      <c r="Q2" s="36"/>
      <c r="R2" s="36"/>
      <c r="S2" s="36"/>
      <c r="T2" s="36"/>
      <c r="U2" s="36"/>
      <c r="V2" s="37"/>
      <c r="W2" s="37"/>
      <c r="X2" s="37"/>
      <c r="Y2" s="31"/>
      <c r="Z2" s="30"/>
      <c r="AA2" s="30"/>
      <c r="AB2" s="30"/>
    </row>
    <row r="3" spans="1:32" s="32" customFormat="1" ht="16">
      <c r="A3" s="33" t="s">
        <v>25</v>
      </c>
      <c r="B3" s="38"/>
      <c r="C3" s="36"/>
      <c r="D3" s="36"/>
      <c r="E3" s="36"/>
      <c r="F3" s="36"/>
      <c r="G3" s="36"/>
      <c r="H3" s="36"/>
      <c r="I3" s="36"/>
      <c r="J3" s="36"/>
      <c r="K3" s="36"/>
      <c r="L3" s="36"/>
      <c r="M3" s="36"/>
      <c r="N3" s="36"/>
      <c r="O3" s="36"/>
      <c r="P3" s="36"/>
      <c r="Q3" s="36"/>
      <c r="R3" s="36"/>
      <c r="S3" s="36"/>
      <c r="T3" s="36"/>
      <c r="U3" s="39"/>
      <c r="V3" s="37"/>
      <c r="W3" s="37"/>
      <c r="X3" s="37"/>
      <c r="Y3" s="31"/>
      <c r="Z3" s="30"/>
      <c r="AA3" s="30"/>
      <c r="AB3" s="30"/>
    </row>
    <row r="4" spans="1:32" s="32" customFormat="1" ht="16">
      <c r="A4" s="40" t="s">
        <v>26</v>
      </c>
      <c r="B4" s="38"/>
      <c r="C4" s="36"/>
      <c r="D4" s="36"/>
      <c r="E4" s="36"/>
      <c r="F4" s="36"/>
      <c r="G4" s="36"/>
      <c r="H4" s="36"/>
      <c r="I4" s="36"/>
      <c r="J4" s="36"/>
      <c r="K4" s="36"/>
      <c r="L4" s="36"/>
      <c r="M4" s="36"/>
      <c r="N4" s="36"/>
      <c r="O4" s="36"/>
      <c r="P4" s="36"/>
      <c r="Q4" s="36"/>
      <c r="R4" s="36"/>
      <c r="S4" s="36"/>
      <c r="T4" s="36"/>
      <c r="U4" s="39"/>
      <c r="V4" s="37"/>
      <c r="W4" s="37"/>
      <c r="X4" s="37"/>
      <c r="Y4" s="31"/>
      <c r="Z4" s="30"/>
      <c r="AA4" s="30"/>
      <c r="AB4" s="30"/>
    </row>
    <row r="5" spans="1:32" s="32" customFormat="1" ht="16">
      <c r="A5" s="41" t="s">
        <v>27</v>
      </c>
      <c r="B5" s="38"/>
      <c r="C5" s="36"/>
      <c r="D5" s="36"/>
      <c r="E5" s="36"/>
      <c r="F5" s="36"/>
      <c r="G5" s="36"/>
      <c r="H5" s="36"/>
      <c r="I5" s="36"/>
      <c r="J5" s="36"/>
      <c r="K5" s="36"/>
      <c r="L5" s="36"/>
      <c r="M5" s="36"/>
      <c r="N5" s="36"/>
      <c r="O5" s="36"/>
      <c r="P5" s="36"/>
      <c r="Q5" s="36"/>
      <c r="R5" s="36"/>
      <c r="S5" s="36"/>
      <c r="T5" s="36"/>
      <c r="U5" s="39"/>
      <c r="V5" s="37"/>
      <c r="W5" s="37"/>
      <c r="X5" s="37"/>
      <c r="Y5" s="31"/>
      <c r="Z5" s="30"/>
      <c r="AA5" s="30"/>
      <c r="AB5" s="30"/>
    </row>
    <row r="6" spans="1:32" s="32" customFormat="1" ht="16">
      <c r="A6" s="33" t="s">
        <v>28</v>
      </c>
      <c r="B6" s="38"/>
      <c r="C6" s="36"/>
      <c r="D6" s="36"/>
      <c r="E6" s="36"/>
      <c r="F6" s="36"/>
      <c r="G6" s="36"/>
      <c r="H6" s="36"/>
      <c r="I6" s="36"/>
      <c r="J6" s="36"/>
      <c r="K6" s="36"/>
      <c r="L6" s="36"/>
      <c r="M6" s="36"/>
      <c r="N6" s="36"/>
      <c r="O6" s="36"/>
      <c r="P6" s="36"/>
      <c r="Q6" s="36"/>
      <c r="R6" s="36"/>
      <c r="S6" s="36"/>
      <c r="T6" s="36"/>
      <c r="U6" s="36"/>
      <c r="V6" s="37"/>
      <c r="W6" s="37"/>
      <c r="X6" s="37"/>
      <c r="Y6" s="31"/>
      <c r="Z6" s="30"/>
      <c r="AA6" s="30"/>
      <c r="AB6" s="30"/>
    </row>
    <row r="7" spans="1:32" s="32" customFormat="1" ht="16">
      <c r="A7" s="42" t="s">
        <v>29</v>
      </c>
      <c r="B7" s="43" t="s">
        <v>30</v>
      </c>
      <c r="C7" s="36"/>
      <c r="D7" s="36"/>
      <c r="E7" s="36"/>
      <c r="F7" s="36"/>
      <c r="G7" s="36"/>
      <c r="H7" s="36"/>
      <c r="I7" s="36"/>
      <c r="J7" s="36"/>
      <c r="K7" s="36"/>
      <c r="L7" s="36"/>
      <c r="M7" s="36"/>
      <c r="N7" s="36"/>
      <c r="O7" s="36"/>
      <c r="P7" s="36"/>
      <c r="Q7" s="36"/>
      <c r="R7" s="36"/>
      <c r="S7" s="36"/>
      <c r="T7" s="36"/>
      <c r="U7" s="39"/>
      <c r="V7" s="37"/>
      <c r="W7" s="37"/>
      <c r="X7" s="37"/>
      <c r="Y7" s="31"/>
      <c r="Z7" s="30"/>
      <c r="AA7" s="30"/>
      <c r="AB7" s="30"/>
    </row>
    <row r="8" spans="1:32" s="32" customFormat="1" ht="16">
      <c r="A8" s="44" t="s">
        <v>31</v>
      </c>
      <c r="B8" s="45" t="s">
        <v>32</v>
      </c>
      <c r="C8" s="36"/>
      <c r="D8" s="36"/>
      <c r="E8" s="36"/>
      <c r="F8" s="36"/>
      <c r="G8" s="36"/>
      <c r="H8" s="36"/>
      <c r="I8" s="36"/>
      <c r="J8" s="36"/>
      <c r="K8" s="36"/>
      <c r="L8" s="36"/>
      <c r="M8" s="36"/>
      <c r="N8" s="36"/>
      <c r="O8" s="36"/>
      <c r="P8" s="36"/>
      <c r="Q8" s="36"/>
      <c r="R8" s="36"/>
      <c r="S8" s="36"/>
      <c r="T8" s="36"/>
      <c r="U8" s="36"/>
      <c r="V8" s="37"/>
      <c r="W8" s="37"/>
      <c r="X8" s="37"/>
      <c r="Y8" s="31"/>
      <c r="Z8" s="30"/>
      <c r="AA8" s="30"/>
      <c r="AB8" s="30"/>
    </row>
    <row r="9" spans="1:32" s="32" customFormat="1" ht="16">
      <c r="A9" s="46" t="s">
        <v>33</v>
      </c>
      <c r="B9" s="47" t="s">
        <v>34</v>
      </c>
      <c r="C9" s="36"/>
      <c r="D9" s="36"/>
      <c r="E9" s="36"/>
      <c r="F9" s="36"/>
      <c r="G9" s="36"/>
      <c r="H9" s="36"/>
      <c r="I9" s="36"/>
      <c r="J9" s="36"/>
      <c r="K9" s="36"/>
      <c r="L9" s="36"/>
      <c r="M9" s="36"/>
      <c r="N9" s="36"/>
      <c r="O9" s="36"/>
      <c r="P9" s="36"/>
      <c r="Q9" s="36"/>
      <c r="R9" s="36"/>
      <c r="S9" s="36"/>
      <c r="T9" s="36"/>
      <c r="U9" s="36"/>
      <c r="V9" s="37"/>
      <c r="W9" s="37"/>
      <c r="X9" s="37"/>
      <c r="Y9" s="31"/>
      <c r="Z9" s="30"/>
      <c r="AA9" s="30"/>
      <c r="AB9" s="30"/>
    </row>
    <row r="10" spans="1:32" s="52" customFormat="1" ht="28">
      <c r="A10" s="48" t="s">
        <v>35</v>
      </c>
      <c r="B10" s="48" t="s">
        <v>36</v>
      </c>
      <c r="C10" s="49" t="s">
        <v>37</v>
      </c>
      <c r="D10" s="49" t="s">
        <v>38</v>
      </c>
      <c r="E10" s="49" t="s">
        <v>39</v>
      </c>
      <c r="F10" s="49" t="s">
        <v>40</v>
      </c>
      <c r="G10" s="49" t="s">
        <v>41</v>
      </c>
      <c r="H10" s="49" t="s">
        <v>42</v>
      </c>
      <c r="I10" s="49" t="s">
        <v>43</v>
      </c>
      <c r="J10" s="49" t="s">
        <v>44</v>
      </c>
      <c r="K10" s="49" t="s">
        <v>45</v>
      </c>
      <c r="L10" s="49" t="s">
        <v>46</v>
      </c>
      <c r="M10" s="49" t="s">
        <v>47</v>
      </c>
      <c r="N10" s="49" t="s">
        <v>48</v>
      </c>
      <c r="O10" s="49" t="s">
        <v>49</v>
      </c>
      <c r="P10" s="49" t="s">
        <v>50</v>
      </c>
      <c r="Q10" s="49" t="s">
        <v>51</v>
      </c>
      <c r="R10" s="49" t="s">
        <v>52</v>
      </c>
      <c r="S10" s="49" t="s">
        <v>53</v>
      </c>
      <c r="T10" s="49" t="s">
        <v>54</v>
      </c>
      <c r="U10" s="50" t="s">
        <v>55</v>
      </c>
      <c r="V10" s="51" t="s">
        <v>56</v>
      </c>
      <c r="W10" s="51" t="s">
        <v>57</v>
      </c>
      <c r="X10" s="51" t="s">
        <v>58</v>
      </c>
      <c r="Y10" s="51" t="s">
        <v>59</v>
      </c>
      <c r="Z10" s="51" t="s">
        <v>60</v>
      </c>
      <c r="AA10" s="49" t="s">
        <v>61</v>
      </c>
      <c r="AB10" s="51" t="s">
        <v>62</v>
      </c>
    </row>
    <row r="11" spans="1:32" s="57" customFormat="1" ht="13">
      <c r="A11" s="53" t="s">
        <v>63</v>
      </c>
      <c r="B11" s="54" t="s">
        <v>64</v>
      </c>
      <c r="C11" s="55">
        <f>Working!D6</f>
        <v>6499.7349999999997</v>
      </c>
      <c r="D11" s="55">
        <f>Working!E6</f>
        <v>8051.473</v>
      </c>
      <c r="E11" s="55">
        <f>Working!F6</f>
        <v>7850.18</v>
      </c>
      <c r="F11" s="55">
        <f>Working!G6</f>
        <v>7542.9560000000001</v>
      </c>
      <c r="G11" s="55">
        <f>Working!H6</f>
        <v>7410.348</v>
      </c>
      <c r="H11" s="55">
        <f>Working!I6</f>
        <v>7899.5540000000001</v>
      </c>
      <c r="I11" s="55">
        <f>Working!J6</f>
        <v>9470.6010000000006</v>
      </c>
      <c r="J11" s="55">
        <f>Working!K6</f>
        <v>7901.7539999999999</v>
      </c>
      <c r="K11" s="55">
        <f>Working!L6</f>
        <v>7443.7889999999998</v>
      </c>
      <c r="L11" s="55">
        <f>Working!M6</f>
        <v>13051.076999999999</v>
      </c>
      <c r="M11" s="55">
        <f>Working!N6</f>
        <v>21240.054</v>
      </c>
      <c r="N11" s="55">
        <f>Working!O6</f>
        <v>24088.416000000001</v>
      </c>
      <c r="O11" s="55">
        <f>Working!P6</f>
        <v>15869.328</v>
      </c>
      <c r="P11" s="55">
        <f>Working!Q6</f>
        <v>12437.218000000001</v>
      </c>
      <c r="Q11" s="55">
        <f>Working!R6</f>
        <v>12794.97</v>
      </c>
      <c r="R11" s="55">
        <f>Working!S6</f>
        <v>15218.352999999999</v>
      </c>
      <c r="S11" s="55">
        <f>Working!T6</f>
        <v>13401.210999999999</v>
      </c>
      <c r="T11" s="55">
        <f>Working!U6</f>
        <v>11181.804</v>
      </c>
      <c r="U11" s="55">
        <f>Working!V6</f>
        <v>12165.976000000001</v>
      </c>
      <c r="V11" s="55">
        <f>Working!W6</f>
        <v>19007.501</v>
      </c>
      <c r="W11" s="55">
        <f>Working!X6</f>
        <v>19147.124</v>
      </c>
      <c r="X11" s="55">
        <f>Working!Y6</f>
        <v>14035.544</v>
      </c>
      <c r="Y11" s="55">
        <f>Working!Z6</f>
        <v>22261.337</v>
      </c>
      <c r="Z11" s="55">
        <f>Working!AA6</f>
        <v>17954.952000000001</v>
      </c>
      <c r="AA11" s="55">
        <f>Working!AB6</f>
        <v>13904.569</v>
      </c>
      <c r="AB11" s="56">
        <f>Working!AC6</f>
        <v>16954.294999999998</v>
      </c>
      <c r="AF11" s="58"/>
    </row>
    <row r="12" spans="1:32" s="57" customFormat="1" ht="13.5" customHeight="1">
      <c r="A12" s="53" t="s">
        <v>63</v>
      </c>
      <c r="B12" s="54" t="s">
        <v>65</v>
      </c>
      <c r="C12" s="55">
        <f>Working!D7</f>
        <v>184344.348</v>
      </c>
      <c r="D12" s="55">
        <f>Working!E7</f>
        <v>168557.06200000001</v>
      </c>
      <c r="E12" s="55">
        <f>Working!F7</f>
        <v>172523.72899999999</v>
      </c>
      <c r="F12" s="55">
        <f>Working!G7</f>
        <v>160318.891</v>
      </c>
      <c r="G12" s="55">
        <f>Working!H7</f>
        <v>161595.492</v>
      </c>
      <c r="H12" s="55">
        <f>Working!I7</f>
        <v>153498.948</v>
      </c>
      <c r="I12" s="55">
        <f>Working!J7</f>
        <v>142200.27299999999</v>
      </c>
      <c r="J12" s="55">
        <f>Working!K7</f>
        <v>140131.86499999999</v>
      </c>
      <c r="K12" s="55">
        <f>Working!L7</f>
        <v>132145.60399999999</v>
      </c>
      <c r="L12" s="55">
        <f>Working!M7</f>
        <v>122924.245</v>
      </c>
      <c r="M12" s="55">
        <f>Working!N7</f>
        <v>118188.841</v>
      </c>
      <c r="N12" s="55">
        <f>Working!O7</f>
        <v>113045.443</v>
      </c>
      <c r="O12" s="55">
        <f>Working!P7</f>
        <v>105028.056</v>
      </c>
      <c r="P12" s="55">
        <f>Working!Q7</f>
        <v>93041.656000000003</v>
      </c>
      <c r="Q12" s="55">
        <f>Working!R7</f>
        <v>89461.184999999998</v>
      </c>
      <c r="R12" s="55">
        <f>Working!S7</f>
        <v>90717.600999999995</v>
      </c>
      <c r="S12" s="55">
        <f>Working!T7</f>
        <v>87089.775999999998</v>
      </c>
      <c r="T12" s="55">
        <f>Working!U7</f>
        <v>86340.256999999998</v>
      </c>
      <c r="U12" s="55">
        <f>Working!V7</f>
        <v>82435.657999999996</v>
      </c>
      <c r="V12" s="55">
        <f>Working!W7</f>
        <v>84951.691999999995</v>
      </c>
      <c r="W12" s="55">
        <f>Working!X7</f>
        <v>78096.259000000005</v>
      </c>
      <c r="X12" s="55">
        <f>Working!Y7</f>
        <v>75401.899999999994</v>
      </c>
      <c r="Y12" s="55">
        <f>Working!Z7</f>
        <v>78516.737999999998</v>
      </c>
      <c r="Z12" s="55">
        <f>Working!AA7</f>
        <v>73684.087</v>
      </c>
      <c r="AA12" s="55">
        <f>Working!AB7</f>
        <v>70293.255000000005</v>
      </c>
      <c r="AB12" s="56">
        <f>Working!AC7</f>
        <v>62509.23</v>
      </c>
      <c r="AF12" s="58"/>
    </row>
    <row r="13" spans="1:32" s="57" customFormat="1" ht="13.5" customHeight="1">
      <c r="A13" s="53" t="s">
        <v>63</v>
      </c>
      <c r="B13" s="54" t="s">
        <v>66</v>
      </c>
      <c r="C13" s="55">
        <f>Working!D8</f>
        <v>86249.524999999994</v>
      </c>
      <c r="D13" s="55">
        <f>Working!E8</f>
        <v>82592.957999999999</v>
      </c>
      <c r="E13" s="55">
        <f>Working!F8</f>
        <v>78163.915999999997</v>
      </c>
      <c r="F13" s="55">
        <f>Working!G8</f>
        <v>80351.013000000006</v>
      </c>
      <c r="G13" s="55">
        <f>Working!H8</f>
        <v>85975.959000000003</v>
      </c>
      <c r="H13" s="55">
        <f>Working!I8</f>
        <v>89000.682000000001</v>
      </c>
      <c r="I13" s="55">
        <f>Working!J8</f>
        <v>85119.501000000004</v>
      </c>
      <c r="J13" s="55">
        <f>Working!K8</f>
        <v>85960.271999999997</v>
      </c>
      <c r="K13" s="55">
        <f>Working!L8</f>
        <v>86814.273000000001</v>
      </c>
      <c r="L13" s="55">
        <f>Working!M8</f>
        <v>79093.557000000001</v>
      </c>
      <c r="M13" s="55">
        <f>Working!N8</f>
        <v>79415.267000000007</v>
      </c>
      <c r="N13" s="55">
        <f>Working!O8</f>
        <v>81413.577000000005</v>
      </c>
      <c r="O13" s="55">
        <f>Working!P8</f>
        <v>78793.611999999994</v>
      </c>
      <c r="P13" s="55">
        <f>Working!Q8</f>
        <v>81868.335999999996</v>
      </c>
      <c r="Q13" s="55">
        <f>Working!R8</f>
        <v>74454.710000000006</v>
      </c>
      <c r="R13" s="55">
        <f>Working!S8</f>
        <v>77953.320999999996</v>
      </c>
      <c r="S13" s="55">
        <f>Working!T8</f>
        <v>78450.172999999995</v>
      </c>
      <c r="T13" s="55">
        <f>Working!U8</f>
        <v>80416.149000000005</v>
      </c>
      <c r="U13" s="55">
        <f>Working!V8</f>
        <v>78410.311000000002</v>
      </c>
      <c r="V13" s="55">
        <f>Working!W8</f>
        <v>75767.304999999993</v>
      </c>
      <c r="W13" s="55">
        <f>Working!X8</f>
        <v>58648.83</v>
      </c>
      <c r="X13" s="55">
        <f>Working!Y8</f>
        <v>63276.707000000002</v>
      </c>
      <c r="Y13" s="55">
        <f>Working!Z8</f>
        <v>70461.357999999993</v>
      </c>
      <c r="Z13" s="55">
        <f>Working!AA8</f>
        <v>69100.558000000005</v>
      </c>
      <c r="AA13" s="55">
        <f>Working!AB8</f>
        <v>70436.150999999998</v>
      </c>
      <c r="AB13" s="56">
        <f>Working!AC8</f>
        <v>72004.881999999998</v>
      </c>
      <c r="AF13" s="58"/>
    </row>
    <row r="14" spans="1:32" s="57" customFormat="1" ht="13.5" customHeight="1">
      <c r="A14" s="53" t="s">
        <v>63</v>
      </c>
      <c r="B14" s="54" t="s">
        <v>67</v>
      </c>
      <c r="C14" s="55">
        <f>Working!D9</f>
        <v>13456.65</v>
      </c>
      <c r="D14" s="55">
        <f>Working!E9</f>
        <v>14332.779</v>
      </c>
      <c r="E14" s="55">
        <f>Working!F9</f>
        <v>12257.987999999999</v>
      </c>
      <c r="F14" s="55">
        <f>Working!G9</f>
        <v>12086.552</v>
      </c>
      <c r="G14" s="55">
        <f>Working!H9</f>
        <v>12451.715</v>
      </c>
      <c r="H14" s="55">
        <f>Working!I9</f>
        <v>12767.421</v>
      </c>
      <c r="I14" s="55">
        <f>Working!J9</f>
        <v>13597.769</v>
      </c>
      <c r="J14" s="55">
        <f>Working!K9</f>
        <v>14598.532999999999</v>
      </c>
      <c r="K14" s="55">
        <f>Working!L9</f>
        <v>12770.232</v>
      </c>
      <c r="L14" s="55">
        <f>Working!M9</f>
        <v>12474.835999999999</v>
      </c>
      <c r="M14" s="55">
        <f>Working!N9</f>
        <v>12765.126</v>
      </c>
      <c r="N14" s="55">
        <f>Working!O9</f>
        <v>12010.852000000001</v>
      </c>
      <c r="O14" s="55">
        <f>Working!P9</f>
        <v>11166.602000000001</v>
      </c>
      <c r="P14" s="55">
        <f>Working!Q9</f>
        <v>9632.8189999999995</v>
      </c>
      <c r="Q14" s="55">
        <f>Working!R9</f>
        <v>11085.731</v>
      </c>
      <c r="R14" s="55">
        <f>Working!S9</f>
        <v>10461.398999999999</v>
      </c>
      <c r="S14" s="55">
        <f>Working!T9</f>
        <v>12053.045</v>
      </c>
      <c r="T14" s="55">
        <f>Working!U9</f>
        <v>11205.803</v>
      </c>
      <c r="U14" s="55">
        <f>Working!V9</f>
        <v>11161.873</v>
      </c>
      <c r="V14" s="55">
        <f>Working!W9</f>
        <v>11743.457</v>
      </c>
      <c r="W14" s="55">
        <f>Working!X9</f>
        <v>9658.6990000000005</v>
      </c>
      <c r="X14" s="55">
        <f>Working!Y9</f>
        <v>9145.1910000000007</v>
      </c>
      <c r="Y14" s="55">
        <f>Working!Z9</f>
        <v>8786.9549999999999</v>
      </c>
      <c r="Z14" s="55">
        <f>Working!AA9</f>
        <v>8525.1679999999997</v>
      </c>
      <c r="AA14" s="55">
        <f>Working!AB9</f>
        <v>8465.7080000000005</v>
      </c>
      <c r="AB14" s="56">
        <f>Working!AC9</f>
        <v>8519.2450000000008</v>
      </c>
      <c r="AF14" s="58"/>
    </row>
    <row r="15" spans="1:32" s="58" customFormat="1" ht="13.5" customHeight="1">
      <c r="A15" s="59" t="s">
        <v>68</v>
      </c>
      <c r="B15" s="38" t="s">
        <v>68</v>
      </c>
      <c r="C15" s="60">
        <f>Working!D10</f>
        <v>290550.25799999997</v>
      </c>
      <c r="D15" s="60">
        <f>Working!E10</f>
        <v>273534.272</v>
      </c>
      <c r="E15" s="60">
        <f>Working!F10</f>
        <v>270795.81300000002</v>
      </c>
      <c r="F15" s="60">
        <f>Working!G10</f>
        <v>260299.41200000001</v>
      </c>
      <c r="G15" s="60">
        <f>Working!H10</f>
        <v>267433.51400000002</v>
      </c>
      <c r="H15" s="60">
        <f>Working!I10</f>
        <v>263166.60499999998</v>
      </c>
      <c r="I15" s="60">
        <f>Working!J10</f>
        <v>250388.144</v>
      </c>
      <c r="J15" s="60">
        <f>Working!K10</f>
        <v>248592.424</v>
      </c>
      <c r="K15" s="60">
        <f>Working!L10</f>
        <v>239173.89799999999</v>
      </c>
      <c r="L15" s="60">
        <f>Working!M10</f>
        <v>227543.715</v>
      </c>
      <c r="M15" s="60">
        <f>Working!N10</f>
        <v>231609.288</v>
      </c>
      <c r="N15" s="60">
        <f>Working!O10</f>
        <v>230558.288</v>
      </c>
      <c r="O15" s="60">
        <f>Working!P10</f>
        <v>210857.598</v>
      </c>
      <c r="P15" s="60">
        <f>Working!Q10</f>
        <v>196980.02900000001</v>
      </c>
      <c r="Q15" s="60">
        <f>Working!R10</f>
        <v>187796.59599999999</v>
      </c>
      <c r="R15" s="60">
        <f>Working!S10</f>
        <v>194350.674</v>
      </c>
      <c r="S15" s="60">
        <f>Working!T10</f>
        <v>190994.20499999999</v>
      </c>
      <c r="T15" s="60">
        <f>Working!U10</f>
        <v>189144.01300000001</v>
      </c>
      <c r="U15" s="60">
        <f>Working!V10</f>
        <v>184173.818</v>
      </c>
      <c r="V15" s="60">
        <f>Working!W10</f>
        <v>191469.95499999999</v>
      </c>
      <c r="W15" s="60">
        <f>Working!X10</f>
        <v>165550.91200000001</v>
      </c>
      <c r="X15" s="60">
        <f>Working!Y10</f>
        <v>161859.342</v>
      </c>
      <c r="Y15" s="60">
        <f>Working!Z10</f>
        <v>180026.38800000001</v>
      </c>
      <c r="Z15" s="60">
        <f>Working!AA10</f>
        <v>169264.76500000001</v>
      </c>
      <c r="AA15" s="60">
        <f>Working!AB10</f>
        <v>163099.68299999999</v>
      </c>
      <c r="AB15" s="61">
        <f>Working!AC10</f>
        <v>159987.652</v>
      </c>
    </row>
    <row r="16" spans="1:32" s="57" customFormat="1" ht="18" customHeight="1">
      <c r="A16" s="53" t="s">
        <v>69</v>
      </c>
      <c r="B16" s="54" t="s">
        <v>70</v>
      </c>
      <c r="C16" s="55">
        <f>Working!D11</f>
        <v>20318.624</v>
      </c>
      <c r="D16" s="55">
        <f>Working!E11</f>
        <v>19559.759999999998</v>
      </c>
      <c r="E16" s="55">
        <f>Working!F11</f>
        <v>17009.198</v>
      </c>
      <c r="F16" s="55">
        <f>Working!G11</f>
        <v>17988.786</v>
      </c>
      <c r="G16" s="55">
        <f>Working!H11</f>
        <v>17826.583999999999</v>
      </c>
      <c r="H16" s="55">
        <f>Working!I11</f>
        <v>17940.508999999998</v>
      </c>
      <c r="I16" s="55">
        <f>Working!J11</f>
        <v>18300.510999999999</v>
      </c>
      <c r="J16" s="55">
        <f>Working!K11</f>
        <v>19144.280999999999</v>
      </c>
      <c r="K16" s="55">
        <f>Working!L11</f>
        <v>18091.132000000001</v>
      </c>
      <c r="L16" s="55">
        <f>Working!M11</f>
        <v>14822.48</v>
      </c>
      <c r="M16" s="55">
        <f>Working!N11</f>
        <v>18235.089</v>
      </c>
      <c r="N16" s="55">
        <f>Working!O11</f>
        <v>16702.014999999999</v>
      </c>
      <c r="O16" s="55">
        <f>Working!P11</f>
        <v>16320.324000000001</v>
      </c>
      <c r="P16" s="55">
        <f>Working!Q11</f>
        <v>20754.350999999999</v>
      </c>
      <c r="Q16" s="55">
        <f>Working!R11</f>
        <v>20782.526000000002</v>
      </c>
      <c r="R16" s="55">
        <f>Working!S11</f>
        <v>17720.308000000001</v>
      </c>
      <c r="S16" s="55">
        <f>Working!T11</f>
        <v>15714.373</v>
      </c>
      <c r="T16" s="55">
        <f>Working!U11</f>
        <v>17052.631000000001</v>
      </c>
      <c r="U16" s="55">
        <f>Working!V11</f>
        <v>15551.995999999999</v>
      </c>
      <c r="V16" s="55">
        <f>Working!W11</f>
        <v>15210.142</v>
      </c>
      <c r="W16" s="55">
        <f>Working!X11</f>
        <v>15610.288</v>
      </c>
      <c r="X16" s="55">
        <f>Working!Y11</f>
        <v>17703.984</v>
      </c>
      <c r="Y16" s="55">
        <f>Working!Z11</f>
        <v>15192.78</v>
      </c>
      <c r="Z16" s="55">
        <f>Working!AA11</f>
        <v>13265.441000000001</v>
      </c>
      <c r="AA16" s="55">
        <f>Working!AB11</f>
        <v>11407.86</v>
      </c>
      <c r="AB16" s="56">
        <f>Working!AC11</f>
        <v>9963.6569999999992</v>
      </c>
      <c r="AF16" s="58"/>
    </row>
    <row r="17" spans="1:32" s="57" customFormat="1" ht="13.5" customHeight="1">
      <c r="A17" s="53" t="s">
        <v>69</v>
      </c>
      <c r="B17" s="54" t="s">
        <v>71</v>
      </c>
      <c r="C17" s="55">
        <f>Working!D12</f>
        <v>27830.276999999998</v>
      </c>
      <c r="D17" s="55">
        <f>Working!E12</f>
        <v>39919.834999999999</v>
      </c>
      <c r="E17" s="55">
        <f>Working!F12</f>
        <v>32998.074000000001</v>
      </c>
      <c r="F17" s="55">
        <f>Working!G12</f>
        <v>37280.728000000003</v>
      </c>
      <c r="G17" s="55">
        <f>Working!H12</f>
        <v>41315.997000000003</v>
      </c>
      <c r="H17" s="55">
        <f>Working!I12</f>
        <v>51787.366000000002</v>
      </c>
      <c r="I17" s="55">
        <f>Working!J12</f>
        <v>57281.96</v>
      </c>
      <c r="J17" s="55">
        <f>Working!K12</f>
        <v>47426.646999999997</v>
      </c>
      <c r="K17" s="55">
        <f>Working!L12</f>
        <v>50514.656999999999</v>
      </c>
      <c r="L17" s="55">
        <f>Working!M12</f>
        <v>39612.493999999999</v>
      </c>
      <c r="M17" s="55">
        <f>Working!N12</f>
        <v>29852.026000000002</v>
      </c>
      <c r="N17" s="55">
        <f>Working!O12</f>
        <v>36909.595999999998</v>
      </c>
      <c r="O17" s="55">
        <f>Working!P12</f>
        <v>47040.152000000002</v>
      </c>
      <c r="P17" s="55">
        <f>Working!Q12</f>
        <v>52186.108</v>
      </c>
      <c r="Q17" s="55">
        <f>Working!R12</f>
        <v>44658.472000000002</v>
      </c>
      <c r="R17" s="55">
        <f>Working!S12</f>
        <v>25341.618999999999</v>
      </c>
      <c r="S17" s="55">
        <f>Working!T12</f>
        <v>12011.141</v>
      </c>
      <c r="T17" s="55">
        <f>Working!U12</f>
        <v>10547.152</v>
      </c>
      <c r="U17" s="55">
        <f>Working!V12</f>
        <v>12929.876</v>
      </c>
      <c r="V17" s="55">
        <f>Working!W12</f>
        <v>8736.5660000000007</v>
      </c>
      <c r="W17" s="55">
        <f>Working!X12</f>
        <v>7642.28</v>
      </c>
      <c r="X17" s="55">
        <f>Working!Y12</f>
        <v>8472.7389999999996</v>
      </c>
      <c r="Y17" s="55">
        <f>Working!Z12</f>
        <v>10174.091</v>
      </c>
      <c r="Z17" s="55">
        <f>Working!AA12</f>
        <v>6719.47</v>
      </c>
      <c r="AA17" s="55">
        <f>Working!AB12</f>
        <v>4796.08</v>
      </c>
      <c r="AB17" s="56">
        <f>Working!AC12</f>
        <v>4358.8729999999996</v>
      </c>
      <c r="AF17" s="58"/>
    </row>
    <row r="18" spans="1:32" s="57" customFormat="1" ht="13.5" customHeight="1">
      <c r="A18" s="53" t="s">
        <v>69</v>
      </c>
      <c r="B18" s="54" t="s">
        <v>72</v>
      </c>
      <c r="C18" s="55">
        <f>Working!D13</f>
        <v>14106.536</v>
      </c>
      <c r="D18" s="55">
        <f>Working!E13</f>
        <v>13026.302</v>
      </c>
      <c r="E18" s="55">
        <f>Working!F13</f>
        <v>13061.468999999999</v>
      </c>
      <c r="F18" s="55">
        <f>Working!G13</f>
        <v>14751.974</v>
      </c>
      <c r="G18" s="55">
        <f>Working!H13</f>
        <v>12924.523999999999</v>
      </c>
      <c r="H18" s="55">
        <f>Working!I13</f>
        <v>13607.652</v>
      </c>
      <c r="I18" s="55">
        <f>Working!J13</f>
        <v>13095.04</v>
      </c>
      <c r="J18" s="55">
        <f>Working!K13</f>
        <v>12745.616</v>
      </c>
      <c r="K18" s="55">
        <f>Working!L13</f>
        <v>13977.72</v>
      </c>
      <c r="L18" s="55">
        <f>Working!M13</f>
        <v>13966.156000000001</v>
      </c>
      <c r="M18" s="55">
        <f>Working!N13</f>
        <v>15024.225</v>
      </c>
      <c r="N18" s="55">
        <f>Working!O13</f>
        <v>13447.603999999999</v>
      </c>
      <c r="O18" s="55">
        <f>Working!P13</f>
        <v>13539.716</v>
      </c>
      <c r="P18" s="55">
        <f>Working!Q13</f>
        <v>13098.776</v>
      </c>
      <c r="Q18" s="55">
        <f>Working!R13</f>
        <v>14126.758</v>
      </c>
      <c r="R18" s="55">
        <f>Working!S13</f>
        <v>13241.637000000001</v>
      </c>
      <c r="S18" s="55">
        <f>Working!T13</f>
        <v>14007.019</v>
      </c>
      <c r="T18" s="55">
        <f>Working!U13</f>
        <v>11315.798000000001</v>
      </c>
      <c r="U18" s="55">
        <f>Working!V13</f>
        <v>11262.207</v>
      </c>
      <c r="V18" s="55">
        <f>Working!W13</f>
        <v>10482.226000000001</v>
      </c>
      <c r="W18" s="55">
        <f>Working!X13</f>
        <v>10209.99</v>
      </c>
      <c r="X18" s="55">
        <f>Working!Y13</f>
        <v>10484.927</v>
      </c>
      <c r="Y18" s="55">
        <f>Working!Z13</f>
        <v>10513.290999999999</v>
      </c>
      <c r="Z18" s="55">
        <f>Working!AA13</f>
        <v>10837.227000000001</v>
      </c>
      <c r="AA18" s="55">
        <f>Working!AB13</f>
        <v>10174.858</v>
      </c>
      <c r="AB18" s="56">
        <f>Working!AC13</f>
        <v>10888.209000000001</v>
      </c>
      <c r="AF18" s="58"/>
    </row>
    <row r="19" spans="1:32" s="57" customFormat="1" ht="13.5" customHeight="1">
      <c r="A19" s="53" t="s">
        <v>69</v>
      </c>
      <c r="B19" s="54" t="s">
        <v>73</v>
      </c>
      <c r="C19" s="55">
        <f>Working!D14</f>
        <v>0</v>
      </c>
      <c r="D19" s="55">
        <f>Working!E14</f>
        <v>0</v>
      </c>
      <c r="E19" s="55">
        <f>Working!F14</f>
        <v>0</v>
      </c>
      <c r="F19" s="55">
        <f>Working!G14</f>
        <v>0</v>
      </c>
      <c r="G19" s="55">
        <f>Working!H14</f>
        <v>0</v>
      </c>
      <c r="H19" s="55">
        <f>Working!I14</f>
        <v>0</v>
      </c>
      <c r="I19" s="55">
        <f>Working!J14</f>
        <v>0</v>
      </c>
      <c r="J19" s="55">
        <f>Working!K14</f>
        <v>0</v>
      </c>
      <c r="K19" s="55">
        <f>Working!L14</f>
        <v>0</v>
      </c>
      <c r="L19" s="55">
        <f>Working!M14</f>
        <v>0</v>
      </c>
      <c r="M19" s="55">
        <f>Working!N14</f>
        <v>0</v>
      </c>
      <c r="N19" s="55">
        <f>Working!O14</f>
        <v>0</v>
      </c>
      <c r="O19" s="55">
        <f>Working!P14</f>
        <v>0</v>
      </c>
      <c r="P19" s="55">
        <f>Working!Q14</f>
        <v>0</v>
      </c>
      <c r="Q19" s="55">
        <f>Working!R14</f>
        <v>0</v>
      </c>
      <c r="R19" s="55">
        <f>Working!S14</f>
        <v>0</v>
      </c>
      <c r="S19" s="55">
        <f>Working!T14</f>
        <v>0</v>
      </c>
      <c r="T19" s="55">
        <f>Working!U14</f>
        <v>0</v>
      </c>
      <c r="U19" s="55">
        <f>Working!V14</f>
        <v>0</v>
      </c>
      <c r="V19" s="55">
        <f>Working!W14</f>
        <v>0</v>
      </c>
      <c r="W19" s="55">
        <f>Working!X14</f>
        <v>0</v>
      </c>
      <c r="X19" s="55">
        <f>Working!Y14</f>
        <v>0</v>
      </c>
      <c r="Y19" s="55">
        <f>Working!Z14</f>
        <v>0</v>
      </c>
      <c r="Z19" s="55">
        <f>Working!AA14</f>
        <v>0</v>
      </c>
      <c r="AA19" s="55">
        <f>Working!AB14</f>
        <v>0</v>
      </c>
      <c r="AB19" s="56">
        <f>Working!AC14</f>
        <v>9935.277</v>
      </c>
      <c r="AF19" s="58"/>
    </row>
    <row r="20" spans="1:32" s="57" customFormat="1" ht="13.5" customHeight="1">
      <c r="A20" s="53" t="s">
        <v>69</v>
      </c>
      <c r="B20" s="54" t="s">
        <v>74</v>
      </c>
      <c r="C20" s="55">
        <f>Working!D15</f>
        <v>41347.061000000002</v>
      </c>
      <c r="D20" s="55">
        <f>Working!E15</f>
        <v>42480.347000000002</v>
      </c>
      <c r="E20" s="55">
        <f>Working!F15</f>
        <v>43673.663</v>
      </c>
      <c r="F20" s="55">
        <f>Working!G15</f>
        <v>44407.472999999998</v>
      </c>
      <c r="G20" s="55">
        <f>Working!H15</f>
        <v>42122.459000000003</v>
      </c>
      <c r="H20" s="55">
        <f>Working!I15</f>
        <v>42232.211000000003</v>
      </c>
      <c r="I20" s="55">
        <f>Working!J15</f>
        <v>44402.502999999997</v>
      </c>
      <c r="J20" s="55">
        <f>Working!K15</f>
        <v>46066.557999999997</v>
      </c>
      <c r="K20" s="55">
        <f>Working!L15</f>
        <v>42272.457999999999</v>
      </c>
      <c r="L20" s="55">
        <f>Working!M15</f>
        <v>30643.374</v>
      </c>
      <c r="M20" s="55">
        <f>Working!N15</f>
        <v>34295.582999999999</v>
      </c>
      <c r="N20" s="55">
        <f>Working!O15</f>
        <v>36348.758999999998</v>
      </c>
      <c r="O20" s="55">
        <f>Working!P15</f>
        <v>33980.889000000003</v>
      </c>
      <c r="P20" s="55">
        <f>Working!Q15</f>
        <v>35377.567000000003</v>
      </c>
      <c r="Q20" s="55">
        <f>Working!R15</f>
        <v>42417.294999999998</v>
      </c>
      <c r="R20" s="55">
        <f>Working!S15</f>
        <v>47760.784</v>
      </c>
      <c r="S20" s="55">
        <f>Working!T15</f>
        <v>50884.663</v>
      </c>
      <c r="T20" s="55">
        <f>Working!U15</f>
        <v>52783.093000000001</v>
      </c>
      <c r="U20" s="55">
        <f>Working!V15</f>
        <v>54237.521000000001</v>
      </c>
      <c r="V20" s="55">
        <f>Working!W15</f>
        <v>57924.860999999997</v>
      </c>
      <c r="W20" s="55">
        <f>Working!X15</f>
        <v>52511.894</v>
      </c>
      <c r="X20" s="55">
        <f>Working!Y15</f>
        <v>59892.792000000001</v>
      </c>
      <c r="Y20" s="55">
        <f>Working!Z15</f>
        <v>57432.372000000003</v>
      </c>
      <c r="Z20" s="55">
        <f>Working!AA15</f>
        <v>53587.434999999998</v>
      </c>
      <c r="AA20" s="55">
        <f>Working!AB15</f>
        <v>54564.773000000001</v>
      </c>
      <c r="AB20" s="56">
        <f>Working!AC15</f>
        <v>43589.870999999999</v>
      </c>
      <c r="AF20" s="58"/>
    </row>
    <row r="21" spans="1:32" s="58" customFormat="1" ht="13.5" customHeight="1">
      <c r="A21" s="59" t="s">
        <v>75</v>
      </c>
      <c r="B21" s="38" t="s">
        <v>75</v>
      </c>
      <c r="C21" s="60">
        <f>Working!D16</f>
        <v>103602.49800000001</v>
      </c>
      <c r="D21" s="60">
        <f>Working!E16</f>
        <v>114986.24400000001</v>
      </c>
      <c r="E21" s="60">
        <f>Working!F16</f>
        <v>106742.40399999999</v>
      </c>
      <c r="F21" s="60">
        <f>Working!G16</f>
        <v>114428.961</v>
      </c>
      <c r="G21" s="60">
        <f>Working!H16</f>
        <v>114189.564</v>
      </c>
      <c r="H21" s="60">
        <f>Working!I16</f>
        <v>125567.738</v>
      </c>
      <c r="I21" s="60">
        <f>Working!J16</f>
        <v>133080.014</v>
      </c>
      <c r="J21" s="60">
        <f>Working!K16</f>
        <v>125383.102</v>
      </c>
      <c r="K21" s="60">
        <f>Working!L16</f>
        <v>124855.967</v>
      </c>
      <c r="L21" s="60">
        <f>Working!M16</f>
        <v>99044.504000000001</v>
      </c>
      <c r="M21" s="60">
        <f>Working!N16</f>
        <v>97406.922999999995</v>
      </c>
      <c r="N21" s="60">
        <f>Working!O16</f>
        <v>103407.974</v>
      </c>
      <c r="O21" s="60">
        <f>Working!P16</f>
        <v>110881.08100000001</v>
      </c>
      <c r="P21" s="60">
        <f>Working!Q16</f>
        <v>121416.802</v>
      </c>
      <c r="Q21" s="60">
        <f>Working!R16</f>
        <v>121985.05100000001</v>
      </c>
      <c r="R21" s="60">
        <f>Working!S16</f>
        <v>104064.348</v>
      </c>
      <c r="S21" s="60">
        <f>Working!T16</f>
        <v>92617.195999999996</v>
      </c>
      <c r="T21" s="60">
        <f>Working!U16</f>
        <v>91698.673999999999</v>
      </c>
      <c r="U21" s="60">
        <f>Working!V16</f>
        <v>93981.6</v>
      </c>
      <c r="V21" s="60">
        <f>Working!W16</f>
        <v>92353.794999999998</v>
      </c>
      <c r="W21" s="60">
        <f>Working!X16</f>
        <v>85974.452000000005</v>
      </c>
      <c r="X21" s="60">
        <f>Working!Y16</f>
        <v>96554.441999999995</v>
      </c>
      <c r="Y21" s="60">
        <f>Working!Z16</f>
        <v>93312.534</v>
      </c>
      <c r="Z21" s="60">
        <f>Working!AA16</f>
        <v>84409.573000000004</v>
      </c>
      <c r="AA21" s="60">
        <f>Working!AB16</f>
        <v>80943.570999999996</v>
      </c>
      <c r="AB21" s="61">
        <f>Working!AC16</f>
        <v>78735.887000000002</v>
      </c>
    </row>
    <row r="22" spans="1:32" s="57" customFormat="1" ht="19" customHeight="1">
      <c r="A22" s="53" t="s">
        <v>76</v>
      </c>
      <c r="B22" s="53" t="s">
        <v>77</v>
      </c>
      <c r="C22" s="55">
        <f>Working!D17</f>
        <v>23042.377999999957</v>
      </c>
      <c r="D22" s="55">
        <f>Working!E17</f>
        <v>22156.338999999931</v>
      </c>
      <c r="E22" s="55">
        <f>Working!F17</f>
        <v>19900.423999999974</v>
      </c>
      <c r="F22" s="55">
        <f>Working!G17</f>
        <v>19855.483999999909</v>
      </c>
      <c r="G22" s="55">
        <f>Working!H17</f>
        <v>21013.068999999959</v>
      </c>
      <c r="H22" s="55">
        <f>Working!I17</f>
        <v>19678.150999999936</v>
      </c>
      <c r="I22" s="55">
        <f>Working!J17</f>
        <v>18547.523999999965</v>
      </c>
      <c r="J22" s="55">
        <f>Working!K17</f>
        <v>19087.890999999905</v>
      </c>
      <c r="K22" s="55">
        <f>Working!L17</f>
        <v>20527.454999999951</v>
      </c>
      <c r="L22" s="55">
        <f>Working!M17</f>
        <v>17971.87999999991</v>
      </c>
      <c r="M22" s="55">
        <f>Working!N17</f>
        <v>19310.915999999939</v>
      </c>
      <c r="N22" s="55">
        <f>Working!O17</f>
        <v>19929.29199999991</v>
      </c>
      <c r="O22" s="55">
        <f>Working!P17</f>
        <v>18565.966</v>
      </c>
      <c r="P22" s="55">
        <f>Working!Q17</f>
        <v>18197.522999999939</v>
      </c>
      <c r="Q22" s="55">
        <f>Working!R17</f>
        <v>19360.495999999985</v>
      </c>
      <c r="R22" s="55">
        <f>Working!S17</f>
        <v>19802.086999999967</v>
      </c>
      <c r="S22" s="55">
        <f>Working!T17</f>
        <v>19929.943999999887</v>
      </c>
      <c r="T22" s="55">
        <f>Working!U17</f>
        <v>19300.555999999993</v>
      </c>
      <c r="U22" s="55">
        <f>Working!V17</f>
        <v>20241.129999999968</v>
      </c>
      <c r="V22" s="55">
        <f>Working!W17</f>
        <v>19594.410999999924</v>
      </c>
      <c r="W22" s="55">
        <f>Working!X17</f>
        <v>17745.918999999954</v>
      </c>
      <c r="X22" s="55">
        <f>Working!Y17</f>
        <v>17568.608000000004</v>
      </c>
      <c r="Y22" s="55">
        <f>Working!Z17</f>
        <v>16613.283999999905</v>
      </c>
      <c r="Z22" s="55">
        <f>Working!AA17</f>
        <v>16566.610999999928</v>
      </c>
      <c r="AA22" s="55">
        <f>Working!AB17</f>
        <v>16037.23299999998</v>
      </c>
      <c r="AB22" s="56">
        <f>Working!AC17</f>
        <v>17760.956271852574</v>
      </c>
      <c r="AF22" s="58"/>
    </row>
    <row r="23" spans="1:32" s="57" customFormat="1" ht="13.5" customHeight="1">
      <c r="A23" s="53" t="s">
        <v>76</v>
      </c>
      <c r="B23" s="53" t="s">
        <v>78</v>
      </c>
      <c r="C23" s="55">
        <f>Working!D18</f>
        <v>26471.083999999941</v>
      </c>
      <c r="D23" s="55">
        <f>Working!E18</f>
        <v>26227.637999999948</v>
      </c>
      <c r="E23" s="55">
        <f>Working!F18</f>
        <v>26765.705999999984</v>
      </c>
      <c r="F23" s="55">
        <f>Working!G18</f>
        <v>25700.435999999991</v>
      </c>
      <c r="G23" s="55">
        <f>Working!H18</f>
        <v>30244.41299999995</v>
      </c>
      <c r="H23" s="55">
        <f>Working!I18</f>
        <v>30082.464999999971</v>
      </c>
      <c r="I23" s="55">
        <f>Working!J18</f>
        <v>31773.798999999904</v>
      </c>
      <c r="J23" s="55">
        <f>Working!K18</f>
        <v>34792.939000000013</v>
      </c>
      <c r="K23" s="55">
        <f>Working!L18</f>
        <v>34293.097000000002</v>
      </c>
      <c r="L23" s="55">
        <f>Working!M18</f>
        <v>30100.976999999937</v>
      </c>
      <c r="M23" s="55">
        <f>Working!N18</f>
        <v>32833.394999999997</v>
      </c>
      <c r="N23" s="55">
        <f>Working!O18</f>
        <v>32899.290999999866</v>
      </c>
      <c r="O23" s="55">
        <f>Working!P18</f>
        <v>31674.314999999981</v>
      </c>
      <c r="P23" s="55">
        <f>Working!Q18</f>
        <v>33407.231999999996</v>
      </c>
      <c r="Q23" s="55">
        <f>Working!R18</f>
        <v>33823.841999999924</v>
      </c>
      <c r="R23" s="55">
        <f>Working!S18</f>
        <v>36814.571999999942</v>
      </c>
      <c r="S23" s="55">
        <f>Working!T18</f>
        <v>38920.834999999926</v>
      </c>
      <c r="T23" s="55">
        <f>Working!U18</f>
        <v>37733.918999999929</v>
      </c>
      <c r="U23" s="55">
        <f>Working!V18</f>
        <v>40276.412999999935</v>
      </c>
      <c r="V23" s="55">
        <f>Working!W18</f>
        <v>39750.895999999979</v>
      </c>
      <c r="W23" s="55">
        <f>Working!X18</f>
        <v>36298.590999999949</v>
      </c>
      <c r="X23" s="55">
        <f>Working!Y18</f>
        <v>36042.448000000011</v>
      </c>
      <c r="Y23" s="55">
        <f>Working!Z18</f>
        <v>35515.446999999927</v>
      </c>
      <c r="Z23" s="55">
        <f>Working!AA18</f>
        <v>36179.138999999908</v>
      </c>
      <c r="AA23" s="55">
        <f>Working!AB18</f>
        <v>38736.84599999994</v>
      </c>
      <c r="AB23" s="56">
        <f>Working!AC18</f>
        <v>42575.66520427975</v>
      </c>
      <c r="AF23" s="58"/>
    </row>
    <row r="24" spans="1:32" s="57" customFormat="1" ht="13.5" customHeight="1">
      <c r="A24" s="53" t="s">
        <v>76</v>
      </c>
      <c r="B24" s="53" t="s">
        <v>79</v>
      </c>
      <c r="C24" s="55">
        <f>Working!D19</f>
        <v>1154.9489999999942</v>
      </c>
      <c r="D24" s="55">
        <f>Working!E19</f>
        <v>1345.9559999999919</v>
      </c>
      <c r="E24" s="55">
        <f>Working!F19</f>
        <v>1188.1769999999926</v>
      </c>
      <c r="F24" s="55">
        <f>Working!G19</f>
        <v>1506.8629999999939</v>
      </c>
      <c r="G24" s="55">
        <f>Working!H19</f>
        <v>1678.3219999999967</v>
      </c>
      <c r="H24" s="55">
        <f>Working!I19</f>
        <v>786.76299999999969</v>
      </c>
      <c r="I24" s="55">
        <f>Working!J19</f>
        <v>580.68699999999944</v>
      </c>
      <c r="J24" s="55">
        <f>Working!K19</f>
        <v>2271.348999999992</v>
      </c>
      <c r="K24" s="55">
        <f>Working!L19</f>
        <v>451.3499999999998</v>
      </c>
      <c r="L24" s="55">
        <f>Working!M19</f>
        <v>540.56799999999976</v>
      </c>
      <c r="M24" s="55">
        <f>Working!N19</f>
        <v>959.20799999999917</v>
      </c>
      <c r="N24" s="55">
        <f>Working!O19</f>
        <v>1164.8379999999918</v>
      </c>
      <c r="O24" s="55">
        <f>Working!P19</f>
        <v>1372.2629999999967</v>
      </c>
      <c r="P24" s="55">
        <f>Working!Q19</f>
        <v>1093.8409999999908</v>
      </c>
      <c r="Q24" s="55">
        <f>Working!R19</f>
        <v>847.91000000000008</v>
      </c>
      <c r="R24" s="55">
        <f>Working!S19</f>
        <v>1367.5669999999946</v>
      </c>
      <c r="S24" s="55">
        <f>Working!T19</f>
        <v>829.89399999999966</v>
      </c>
      <c r="T24" s="55">
        <f>Working!U19</f>
        <v>1193.2209999999968</v>
      </c>
      <c r="U24" s="55">
        <f>Working!V19</f>
        <v>1802.6680000000001</v>
      </c>
      <c r="V24" s="55">
        <f>Working!W19</f>
        <v>1535.0119999999981</v>
      </c>
      <c r="W24" s="55">
        <f>Working!X19</f>
        <v>1339.4709999999986</v>
      </c>
      <c r="X24" s="55">
        <f>Working!Y19</f>
        <v>1430.383999999998</v>
      </c>
      <c r="Y24" s="55">
        <f>Working!Z19</f>
        <v>2303.3479999999945</v>
      </c>
      <c r="Z24" s="55">
        <f>Working!AA19</f>
        <v>1190.3899999999915</v>
      </c>
      <c r="AA24" s="55">
        <f>Working!AB19</f>
        <v>1362.4259999999967</v>
      </c>
      <c r="AB24" s="56">
        <f>Working!AC19</f>
        <v>933.97779863100709</v>
      </c>
      <c r="AF24" s="58"/>
    </row>
    <row r="25" spans="1:32" s="57" customFormat="1" ht="13.5" customHeight="1">
      <c r="A25" s="53" t="s">
        <v>76</v>
      </c>
      <c r="B25" s="53" t="s">
        <v>80</v>
      </c>
      <c r="C25" s="55">
        <f>Working!D20</f>
        <v>902.15699999999981</v>
      </c>
      <c r="D25" s="55">
        <f>Working!E20</f>
        <v>1958.9639999999918</v>
      </c>
      <c r="E25" s="55">
        <f>Working!F20</f>
        <v>3245.9169999999967</v>
      </c>
      <c r="F25" s="55">
        <f>Working!G20</f>
        <v>4216.1260000000002</v>
      </c>
      <c r="G25" s="55">
        <f>Working!H20</f>
        <v>3478.5869999999954</v>
      </c>
      <c r="H25" s="55">
        <f>Working!I20</f>
        <v>3292.6789999999983</v>
      </c>
      <c r="I25" s="55">
        <f>Working!J20</f>
        <v>3457.3709999999983</v>
      </c>
      <c r="J25" s="55">
        <f>Working!K20</f>
        <v>4357.4650000000001</v>
      </c>
      <c r="K25" s="55">
        <f>Working!L20</f>
        <v>4278.1519999999928</v>
      </c>
      <c r="L25" s="55">
        <f>Working!M20</f>
        <v>3397.3569999999927</v>
      </c>
      <c r="M25" s="55">
        <f>Working!N20</f>
        <v>3570.13</v>
      </c>
      <c r="N25" s="55">
        <f>Working!O20</f>
        <v>3709.4839999999963</v>
      </c>
      <c r="O25" s="55">
        <f>Working!P20</f>
        <v>3440.6349999999989</v>
      </c>
      <c r="P25" s="55">
        <f>Working!Q20</f>
        <v>4204.2249999999931</v>
      </c>
      <c r="Q25" s="55">
        <f>Working!R20</f>
        <v>7223.5369999999921</v>
      </c>
      <c r="R25" s="55">
        <f>Working!S20</f>
        <v>5227.3480000000027</v>
      </c>
      <c r="S25" s="55">
        <f>Working!T20</f>
        <v>5650.3979999999965</v>
      </c>
      <c r="T25" s="55">
        <f>Working!U20</f>
        <v>5803.0859999999966</v>
      </c>
      <c r="U25" s="55">
        <f>Working!V20</f>
        <v>6135.5089999999991</v>
      </c>
      <c r="V25" s="55">
        <f>Working!W20</f>
        <v>5884.9349999999949</v>
      </c>
      <c r="W25" s="55">
        <f>Working!X20</f>
        <v>5971.0249999999969</v>
      </c>
      <c r="X25" s="55">
        <f>Working!Y20</f>
        <v>5613.6989999999987</v>
      </c>
      <c r="Y25" s="55">
        <f>Working!Z20</f>
        <v>4657.5619999999954</v>
      </c>
      <c r="Z25" s="55">
        <f>Working!AA20</f>
        <v>4610.4379999999956</v>
      </c>
      <c r="AA25" s="55">
        <f>Working!AB20</f>
        <v>4554.648999999994</v>
      </c>
      <c r="AB25" s="56">
        <f>Working!AC20</f>
        <v>5611.9599595782383</v>
      </c>
      <c r="AF25" s="58"/>
    </row>
    <row r="26" spans="1:32" s="58" customFormat="1" ht="13.5" customHeight="1">
      <c r="A26" s="59" t="s">
        <v>81</v>
      </c>
      <c r="B26" s="59" t="s">
        <v>82</v>
      </c>
      <c r="C26" s="60">
        <f>Working!D21</f>
        <v>51570.567999999999</v>
      </c>
      <c r="D26" s="60">
        <f>Working!E21</f>
        <v>51688.896999999997</v>
      </c>
      <c r="E26" s="60">
        <f>Working!F21</f>
        <v>51100.224000000002</v>
      </c>
      <c r="F26" s="60">
        <f>Working!G21</f>
        <v>51278.909</v>
      </c>
      <c r="G26" s="60">
        <f>Working!H21</f>
        <v>56414.391000000003</v>
      </c>
      <c r="H26" s="60">
        <f>Working!I21</f>
        <v>53840.057999999997</v>
      </c>
      <c r="I26" s="60">
        <f>Working!J21</f>
        <v>54359.381000000001</v>
      </c>
      <c r="J26" s="60">
        <f>Working!K21</f>
        <v>60509.644</v>
      </c>
      <c r="K26" s="60">
        <f>Working!L21</f>
        <v>59550.053999999996</v>
      </c>
      <c r="L26" s="60">
        <f>Working!M21</f>
        <v>52010.781999999999</v>
      </c>
      <c r="M26" s="60">
        <f>Working!N21</f>
        <v>56673.648999999998</v>
      </c>
      <c r="N26" s="60">
        <f>Working!O21</f>
        <v>57702.904999999999</v>
      </c>
      <c r="O26" s="60">
        <f>Working!P21</f>
        <v>55053.178999999996</v>
      </c>
      <c r="P26" s="60">
        <f>Working!Q21</f>
        <v>56902.821000000004</v>
      </c>
      <c r="Q26" s="60">
        <f>Working!R21</f>
        <v>61255.785000000003</v>
      </c>
      <c r="R26" s="60">
        <f>Working!S21</f>
        <v>63211.574000000001</v>
      </c>
      <c r="S26" s="60">
        <f>Working!T21</f>
        <v>65331.071000000004</v>
      </c>
      <c r="T26" s="60">
        <f>Working!U21</f>
        <v>64030.781999999999</v>
      </c>
      <c r="U26" s="60">
        <f>Working!V21</f>
        <v>68455.72</v>
      </c>
      <c r="V26" s="60">
        <f>Working!W21</f>
        <v>66765.254000000001</v>
      </c>
      <c r="W26" s="60">
        <f>Working!X21</f>
        <v>61355.006000000001</v>
      </c>
      <c r="X26" s="60">
        <f>Working!Y21</f>
        <v>60655.139000000003</v>
      </c>
      <c r="Y26" s="60">
        <f>Working!Z21</f>
        <v>59089.641000000003</v>
      </c>
      <c r="Z26" s="60">
        <f>Working!AA21</f>
        <v>58546.578000000001</v>
      </c>
      <c r="AA26" s="60">
        <f>Working!AB21</f>
        <v>60691.154000000002</v>
      </c>
      <c r="AB26" s="61">
        <f>Working!AC21</f>
        <v>66882.558999999994</v>
      </c>
    </row>
    <row r="27" spans="1:32" s="57" customFormat="1" ht="22" customHeight="1">
      <c r="A27" s="54" t="s">
        <v>83</v>
      </c>
      <c r="B27" s="62" t="s">
        <v>84</v>
      </c>
      <c r="C27" s="55">
        <f>Working!D22</f>
        <v>35245.067000000003</v>
      </c>
      <c r="D27" s="55">
        <f>Working!E22</f>
        <v>37179.773000000001</v>
      </c>
      <c r="E27" s="55">
        <f>Working!F22</f>
        <v>38924.122000000003</v>
      </c>
      <c r="F27" s="55">
        <f>Working!G22</f>
        <v>38668.353999999999</v>
      </c>
      <c r="G27" s="55">
        <f>Working!H22</f>
        <v>42945.186999999998</v>
      </c>
      <c r="H27" s="55">
        <f>Working!I22</f>
        <v>45047.527000000002</v>
      </c>
      <c r="I27" s="55">
        <f>Working!J22</f>
        <v>46782.139000000003</v>
      </c>
      <c r="J27" s="55">
        <f>Working!K22</f>
        <v>48010.453000000001</v>
      </c>
      <c r="K27" s="55">
        <f>Working!L22</f>
        <v>48472.345000000001</v>
      </c>
      <c r="L27" s="55">
        <f>Working!M22</f>
        <v>44180.63</v>
      </c>
      <c r="M27" s="55">
        <f>Working!N22</f>
        <v>42404.593999999997</v>
      </c>
      <c r="N27" s="55">
        <f>Working!O22</f>
        <v>42356.076999999997</v>
      </c>
      <c r="O27" s="55">
        <f>Working!P22</f>
        <v>40856.232000000004</v>
      </c>
      <c r="P27" s="55">
        <f>Working!Q22</f>
        <v>41721.222000000002</v>
      </c>
      <c r="Q27" s="55">
        <f>Working!R22</f>
        <v>44199.593000000001</v>
      </c>
      <c r="R27" s="55">
        <f>Working!S22</f>
        <v>45878.642999999996</v>
      </c>
      <c r="S27" s="55">
        <f>Working!T22</f>
        <v>46968.252</v>
      </c>
      <c r="T27" s="55">
        <f>Working!U22</f>
        <v>46445.061000000002</v>
      </c>
      <c r="U27" s="55">
        <f>Working!V22</f>
        <v>44560.067000000003</v>
      </c>
      <c r="V27" s="55">
        <f>Working!W22</f>
        <v>43326.970999999998</v>
      </c>
      <c r="W27" s="55">
        <f>Working!X22</f>
        <v>39703.31</v>
      </c>
      <c r="X27" s="55">
        <f>Working!Y22</f>
        <v>35052.752999999997</v>
      </c>
      <c r="Y27" s="55">
        <f>Working!Z22</f>
        <v>35288.623</v>
      </c>
      <c r="Z27" s="55">
        <f>Working!AA22</f>
        <v>36890.400999999998</v>
      </c>
      <c r="AA27" s="55">
        <f>Working!AB22</f>
        <v>36813.275999999998</v>
      </c>
      <c r="AB27" s="56">
        <f>Working!AC22</f>
        <v>37403.712</v>
      </c>
      <c r="AF27" s="58"/>
    </row>
    <row r="28" spans="1:32" s="57" customFormat="1" ht="13.5" customHeight="1">
      <c r="A28" s="54" t="s">
        <v>83</v>
      </c>
      <c r="B28" s="34" t="s">
        <v>85</v>
      </c>
      <c r="C28" s="55">
        <f>Working!D23</f>
        <v>38250.084999999999</v>
      </c>
      <c r="D28" s="55">
        <f>Working!E23</f>
        <v>35198.663999999997</v>
      </c>
      <c r="E28" s="55">
        <f>Working!F23</f>
        <v>35990.328999999998</v>
      </c>
      <c r="F28" s="55">
        <f>Working!G23</f>
        <v>36466.68</v>
      </c>
      <c r="G28" s="55">
        <f>Working!H23</f>
        <v>37675.476999999999</v>
      </c>
      <c r="H28" s="55">
        <f>Working!I23</f>
        <v>38236.451000000001</v>
      </c>
      <c r="I28" s="55">
        <f>Working!J23</f>
        <v>39275.839</v>
      </c>
      <c r="J28" s="55">
        <f>Working!K23</f>
        <v>38011.873</v>
      </c>
      <c r="K28" s="55">
        <f>Working!L23</f>
        <v>35535.14</v>
      </c>
      <c r="L28" s="55">
        <f>Working!M23</f>
        <v>33705.485999999997</v>
      </c>
      <c r="M28" s="55">
        <f>Working!N23</f>
        <v>36540.167999999998</v>
      </c>
      <c r="N28" s="55">
        <f>Working!O23</f>
        <v>37922.582999999999</v>
      </c>
      <c r="O28" s="55">
        <f>Working!P23</f>
        <v>36903.873</v>
      </c>
      <c r="P28" s="55">
        <f>Working!Q23</f>
        <v>36867.919999999998</v>
      </c>
      <c r="Q28" s="55">
        <f>Working!R23</f>
        <v>38593.762000000002</v>
      </c>
      <c r="R28" s="55">
        <f>Working!S23</f>
        <v>40737.415999999997</v>
      </c>
      <c r="S28" s="55">
        <f>Working!T23</f>
        <v>42303.214</v>
      </c>
      <c r="T28" s="55">
        <f>Working!U23</f>
        <v>43948.228999999999</v>
      </c>
      <c r="U28" s="55">
        <f>Working!V23</f>
        <v>45998.588000000003</v>
      </c>
      <c r="V28" s="55">
        <f>Working!W23</f>
        <v>44906.817000000003</v>
      </c>
      <c r="W28" s="55">
        <f>Working!X23</f>
        <v>45375.603000000003</v>
      </c>
      <c r="X28" s="55">
        <f>Working!Y23</f>
        <v>48843.908000000003</v>
      </c>
      <c r="Y28" s="55">
        <f>Working!Z23</f>
        <v>51034.663999999997</v>
      </c>
      <c r="Z28" s="55">
        <f>Working!AA23</f>
        <v>47104.544000000002</v>
      </c>
      <c r="AA28" s="55">
        <f>Working!AB23</f>
        <v>47679.423999999999</v>
      </c>
      <c r="AB28" s="56">
        <f>Working!AC23</f>
        <v>46424.546999999999</v>
      </c>
      <c r="AF28" s="58"/>
    </row>
    <row r="29" spans="1:32" s="57" customFormat="1" ht="13.5" customHeight="1">
      <c r="A29" s="54" t="s">
        <v>83</v>
      </c>
      <c r="B29" s="53" t="s">
        <v>86</v>
      </c>
      <c r="C29" s="55" t="str">
        <f>Working!D24</f>
        <v>z</v>
      </c>
      <c r="D29" s="55" t="str">
        <f>Working!E24</f>
        <v>z</v>
      </c>
      <c r="E29" s="55" t="str">
        <f>Working!F24</f>
        <v>z</v>
      </c>
      <c r="F29" s="55" t="str">
        <f>Working!G24</f>
        <v>z</v>
      </c>
      <c r="G29" s="55" t="str">
        <f>Working!H24</f>
        <v>z</v>
      </c>
      <c r="H29" s="55" t="str">
        <f>Working!I24</f>
        <v>z</v>
      </c>
      <c r="I29" s="55" t="str">
        <f>Working!J24</f>
        <v>z</v>
      </c>
      <c r="J29" s="55" t="str">
        <f>Working!K24</f>
        <v>z</v>
      </c>
      <c r="K29" s="55" t="str">
        <f>Working!L24</f>
        <v>z</v>
      </c>
      <c r="L29" s="55" t="str">
        <f>Working!M24</f>
        <v>z</v>
      </c>
      <c r="M29" s="55" t="str">
        <f>Working!N24</f>
        <v>z</v>
      </c>
      <c r="N29" s="55" t="str">
        <f>Working!O24</f>
        <v>z</v>
      </c>
      <c r="O29" s="55" t="str">
        <f>Working!P24</f>
        <v>z</v>
      </c>
      <c r="P29" s="55" t="str">
        <f>Working!Q24</f>
        <v>z</v>
      </c>
      <c r="Q29" s="55" t="str">
        <f>Working!R24</f>
        <v>z</v>
      </c>
      <c r="R29" s="55" t="str">
        <f>Working!S24</f>
        <v>z</v>
      </c>
      <c r="S29" s="55" t="str">
        <f>Working!T24</f>
        <v>z</v>
      </c>
      <c r="T29" s="55" t="str">
        <f>Working!U24</f>
        <v>z</v>
      </c>
      <c r="U29" s="55" t="str">
        <f>Working!V24</f>
        <v>z</v>
      </c>
      <c r="V29" s="55" t="str">
        <f>Working!W24</f>
        <v>z</v>
      </c>
      <c r="W29" s="55" t="str">
        <f>Working!X24</f>
        <v>z</v>
      </c>
      <c r="X29" s="55" t="str">
        <f>Working!Y24</f>
        <v>z</v>
      </c>
      <c r="Y29" s="55" t="str">
        <f>Working!Z24</f>
        <v>z</v>
      </c>
      <c r="Z29" s="55" t="str">
        <f>Working!AA24</f>
        <v>z</v>
      </c>
      <c r="AA29" s="55" t="str">
        <f>Working!AB24</f>
        <v>z</v>
      </c>
      <c r="AB29" s="56" t="str">
        <f>Working!AC24</f>
        <v>z</v>
      </c>
      <c r="AF29" s="58"/>
    </row>
    <row r="30" spans="1:32" s="57" customFormat="1" ht="13.5" customHeight="1">
      <c r="A30" s="54" t="s">
        <v>83</v>
      </c>
      <c r="B30" s="53" t="s">
        <v>87</v>
      </c>
      <c r="C30" s="55">
        <f>Working!D25</f>
        <v>4083.1289999999999</v>
      </c>
      <c r="D30" s="55">
        <f>Working!E25</f>
        <v>4023.248</v>
      </c>
      <c r="E30" s="55">
        <f>Working!F25</f>
        <v>4693.2929999999997</v>
      </c>
      <c r="F30" s="55">
        <f>Working!G25</f>
        <v>4839.0249999999996</v>
      </c>
      <c r="G30" s="55">
        <f>Working!H25</f>
        <v>5267.6450000000004</v>
      </c>
      <c r="H30" s="55">
        <f>Working!I25</f>
        <v>5399.7359999999999</v>
      </c>
      <c r="I30" s="55">
        <f>Working!J25</f>
        <v>5565.5789999999997</v>
      </c>
      <c r="J30" s="55">
        <f>Working!K25</f>
        <v>5931.5659999999998</v>
      </c>
      <c r="K30" s="55">
        <f>Working!L25</f>
        <v>5143.5330000000004</v>
      </c>
      <c r="L30" s="55">
        <f>Working!M25</f>
        <v>4003.7310000000002</v>
      </c>
      <c r="M30" s="55">
        <f>Working!N25</f>
        <v>4706.4830000000002</v>
      </c>
      <c r="N30" s="55">
        <f>Working!O25</f>
        <v>5284.3</v>
      </c>
      <c r="O30" s="55">
        <f>Working!P25</f>
        <v>5540.527</v>
      </c>
      <c r="P30" s="55">
        <f>Working!Q25</f>
        <v>6350.9470000000001</v>
      </c>
      <c r="Q30" s="55">
        <f>Working!R25</f>
        <v>6962.3419999999996</v>
      </c>
      <c r="R30" s="55">
        <f>Working!S25</f>
        <v>7033.9160000000002</v>
      </c>
      <c r="S30" s="55">
        <f>Working!T25</f>
        <v>6711.2740000000003</v>
      </c>
      <c r="T30" s="55">
        <f>Working!U25</f>
        <v>6093.8789999999999</v>
      </c>
      <c r="U30" s="55">
        <f>Working!V25</f>
        <v>6667.2910000000002</v>
      </c>
      <c r="V30" s="55">
        <f>Working!W25</f>
        <v>6161.2759999999998</v>
      </c>
      <c r="W30" s="55">
        <f>Working!X25</f>
        <v>4606.933</v>
      </c>
      <c r="X30" s="55">
        <f>Working!Y25</f>
        <v>4272.8130000000001</v>
      </c>
      <c r="Y30" s="55">
        <f>Working!Z25</f>
        <v>4953.3890000000001</v>
      </c>
      <c r="Z30" s="55">
        <f>Working!AA25</f>
        <v>5469.1850000000004</v>
      </c>
      <c r="AA30" s="55">
        <f>Working!AB25</f>
        <v>5343.6840000000002</v>
      </c>
      <c r="AB30" s="56">
        <f>Working!AC25</f>
        <v>5550.3789999999999</v>
      </c>
      <c r="AF30" s="58"/>
    </row>
    <row r="31" spans="1:32" s="57" customFormat="1">
      <c r="A31" s="54" t="s">
        <v>83</v>
      </c>
      <c r="B31" s="63" t="s">
        <v>88</v>
      </c>
      <c r="C31" s="55">
        <f>Working!D26</f>
        <v>6165.89</v>
      </c>
      <c r="D31" s="55">
        <f>Working!E26</f>
        <v>4846.2470000000003</v>
      </c>
      <c r="E31" s="55">
        <f>Working!F26</f>
        <v>5293.5690000000004</v>
      </c>
      <c r="F31" s="55">
        <f>Working!G26</f>
        <v>5505.0140000000001</v>
      </c>
      <c r="G31" s="55">
        <f>Working!H26</f>
        <v>5483.1710000000003</v>
      </c>
      <c r="H31" s="55">
        <f>Working!I26</f>
        <v>10064.44</v>
      </c>
      <c r="I31" s="55">
        <f>Working!J26</f>
        <v>10837.384</v>
      </c>
      <c r="J31" s="55">
        <f>Working!K26</f>
        <v>11098.967000000001</v>
      </c>
      <c r="K31" s="55">
        <f>Working!L26</f>
        <v>10800.483</v>
      </c>
      <c r="L31" s="55">
        <f>Working!M26</f>
        <v>11023.458000000001</v>
      </c>
      <c r="M31" s="55">
        <f>Working!N26</f>
        <v>11204.699000000001</v>
      </c>
      <c r="N31" s="55">
        <f>Working!O26</f>
        <v>11380.065000000001</v>
      </c>
      <c r="O31" s="55">
        <f>Working!P26</f>
        <v>10705.550999999999</v>
      </c>
      <c r="P31" s="55">
        <f>Working!Q26</f>
        <v>9642.2829999999994</v>
      </c>
      <c r="Q31" s="55">
        <f>Working!R26</f>
        <v>9601.3619999999992</v>
      </c>
      <c r="R31" s="55">
        <f>Working!S26</f>
        <v>10014.355</v>
      </c>
      <c r="S31" s="55">
        <f>Working!T26</f>
        <v>10277.418</v>
      </c>
      <c r="T31" s="55">
        <f>Working!U26</f>
        <v>10412.58</v>
      </c>
      <c r="U31" s="55">
        <f>Working!V26</f>
        <v>10244.424000000001</v>
      </c>
      <c r="V31" s="55">
        <f>Working!W26</f>
        <v>9645.82</v>
      </c>
      <c r="W31" s="55">
        <f>Working!X26</f>
        <v>9945.9279999999999</v>
      </c>
      <c r="X31" s="55">
        <f>Working!Y26</f>
        <v>9401.1959999999999</v>
      </c>
      <c r="Y31" s="55">
        <f>Working!Z26</f>
        <v>10104.228999999999</v>
      </c>
      <c r="Z31" s="55">
        <f>Working!AA26</f>
        <v>8630.5169999999998</v>
      </c>
      <c r="AA31" s="55">
        <f>Working!AB26</f>
        <v>9042.5120000000006</v>
      </c>
      <c r="AB31" s="56">
        <f>Working!AC26</f>
        <v>7389.8869999999997</v>
      </c>
      <c r="AF31" s="58"/>
    </row>
    <row r="32" spans="1:32" s="57" customFormat="1" ht="13.5" customHeight="1">
      <c r="A32" s="54" t="s">
        <v>83</v>
      </c>
      <c r="B32" s="53" t="s">
        <v>89</v>
      </c>
      <c r="C32" s="55">
        <f>Working!D27</f>
        <v>569.62699999999995</v>
      </c>
      <c r="D32" s="55">
        <f>Working!E27</f>
        <v>798.73299999999995</v>
      </c>
      <c r="E32" s="55">
        <f>Working!F27</f>
        <v>616.07600000000002</v>
      </c>
      <c r="F32" s="55">
        <f>Working!G27</f>
        <v>649.44200000000001</v>
      </c>
      <c r="G32" s="55">
        <f>Working!H27</f>
        <v>878.05499999999995</v>
      </c>
      <c r="H32" s="55">
        <f>Working!I27</f>
        <v>422.95299999999997</v>
      </c>
      <c r="I32" s="55">
        <f>Working!J27</f>
        <v>1042.8409999999999</v>
      </c>
      <c r="J32" s="55">
        <f>Working!K27</f>
        <v>1024.0119999999999</v>
      </c>
      <c r="K32" s="55">
        <f>Working!L27</f>
        <v>931.66499999999996</v>
      </c>
      <c r="L32" s="55">
        <f>Working!M27</f>
        <v>734.06600000000003</v>
      </c>
      <c r="M32" s="55">
        <f>Working!N27</f>
        <v>625.57299999999998</v>
      </c>
      <c r="N32" s="55">
        <f>Working!O27</f>
        <v>310.97199999999998</v>
      </c>
      <c r="O32" s="55">
        <f>Working!P27</f>
        <v>337.416</v>
      </c>
      <c r="P32" s="55">
        <f>Working!Q27</f>
        <v>471.61200000000002</v>
      </c>
      <c r="Q32" s="55">
        <f>Working!R27</f>
        <v>238.21299999999999</v>
      </c>
      <c r="R32" s="55">
        <f>Working!S27</f>
        <v>113.845</v>
      </c>
      <c r="S32" s="55">
        <f>Working!T27</f>
        <v>181.98099999999999</v>
      </c>
      <c r="T32" s="55">
        <f>Working!U27</f>
        <v>137.53800000000001</v>
      </c>
      <c r="U32" s="55">
        <f>Working!V27</f>
        <v>109.765</v>
      </c>
      <c r="V32" s="55">
        <f>Working!W27</f>
        <v>236.58</v>
      </c>
      <c r="W32" s="55">
        <f>Working!X27</f>
        <v>135.51</v>
      </c>
      <c r="X32" s="55">
        <f>Working!Y27</f>
        <v>299.99799999999999</v>
      </c>
      <c r="Y32" s="55">
        <f>Working!Z27</f>
        <v>221.62100000000001</v>
      </c>
      <c r="Z32" s="55">
        <f>Working!AA27</f>
        <v>242.809</v>
      </c>
      <c r="AA32" s="55">
        <f>Working!AB27</f>
        <v>249.11</v>
      </c>
      <c r="AB32" s="56">
        <f>Working!AC27</f>
        <v>153.77199999999999</v>
      </c>
      <c r="AF32" s="58"/>
    </row>
    <row r="33" spans="1:32" s="57" customFormat="1" ht="13.5" customHeight="1">
      <c r="A33" s="54" t="s">
        <v>83</v>
      </c>
      <c r="B33" s="53" t="s">
        <v>90</v>
      </c>
      <c r="C33" s="55">
        <f>Working!D28</f>
        <v>20.88</v>
      </c>
      <c r="D33" s="55">
        <f>Working!E28</f>
        <v>8.5269999999999992</v>
      </c>
      <c r="E33" s="55">
        <f>Working!F28</f>
        <v>0.434</v>
      </c>
      <c r="F33" s="55">
        <f>Working!G28</f>
        <v>5.3999999999999999E-2</v>
      </c>
      <c r="G33" s="55">
        <f>Working!H28</f>
        <v>7.2999999999999995E-2</v>
      </c>
      <c r="H33" s="55">
        <f>Working!I28</f>
        <v>0</v>
      </c>
      <c r="I33" s="55">
        <f>Working!J28</f>
        <v>0</v>
      </c>
      <c r="J33" s="55">
        <f>Working!K28</f>
        <v>3</v>
      </c>
      <c r="K33" s="55">
        <f>Working!L28</f>
        <v>0</v>
      </c>
      <c r="L33" s="55">
        <f>Working!M28</f>
        <v>0</v>
      </c>
      <c r="M33" s="55">
        <f>Working!N28</f>
        <v>0</v>
      </c>
      <c r="N33" s="55">
        <f>Working!O28</f>
        <v>0</v>
      </c>
      <c r="O33" s="55">
        <f>Working!P28</f>
        <v>0</v>
      </c>
      <c r="P33" s="55">
        <f>Working!Q28</f>
        <v>0</v>
      </c>
      <c r="Q33" s="55">
        <f>Working!R28</f>
        <v>0</v>
      </c>
      <c r="R33" s="55">
        <f>Working!S28</f>
        <v>0</v>
      </c>
      <c r="S33" s="55">
        <f>Working!T28</f>
        <v>0</v>
      </c>
      <c r="T33" s="55">
        <f>Working!U28</f>
        <v>0</v>
      </c>
      <c r="U33" s="55">
        <f>Working!V28</f>
        <v>0</v>
      </c>
      <c r="V33" s="55">
        <f>Working!W28</f>
        <v>0</v>
      </c>
      <c r="W33" s="55">
        <f>Working!X28</f>
        <v>0</v>
      </c>
      <c r="X33" s="55">
        <f>Working!Y28</f>
        <v>0</v>
      </c>
      <c r="Y33" s="55">
        <f>Working!Z28</f>
        <v>0</v>
      </c>
      <c r="Z33" s="55">
        <f>Working!AA28</f>
        <v>0</v>
      </c>
      <c r="AA33" s="55">
        <f>Working!AB28</f>
        <v>0</v>
      </c>
      <c r="AB33" s="56">
        <f>Working!AC28</f>
        <v>0</v>
      </c>
      <c r="AF33" s="58"/>
    </row>
    <row r="34" spans="1:32" s="57" customFormat="1" ht="13.5" customHeight="1">
      <c r="A34" s="54" t="s">
        <v>83</v>
      </c>
      <c r="B34" s="53" t="s">
        <v>91</v>
      </c>
      <c r="C34" s="55">
        <f>Working!D29</f>
        <v>1055.4369999999999</v>
      </c>
      <c r="D34" s="55">
        <f>Working!E29</f>
        <v>1131.942</v>
      </c>
      <c r="E34" s="55">
        <f>Working!F29</f>
        <v>820.68100000000004</v>
      </c>
      <c r="F34" s="55">
        <f>Working!G29</f>
        <v>847.19899999999996</v>
      </c>
      <c r="G34" s="55">
        <f>Working!H29</f>
        <v>554.798</v>
      </c>
      <c r="H34" s="55">
        <f>Working!I29</f>
        <v>1090.463</v>
      </c>
      <c r="I34" s="55">
        <f>Working!J29</f>
        <v>759.07799999999997</v>
      </c>
      <c r="J34" s="55">
        <f>Working!K29</f>
        <v>613.94799999999998</v>
      </c>
      <c r="K34" s="55">
        <f>Working!L29</f>
        <v>531.04899999999998</v>
      </c>
      <c r="L34" s="55">
        <f>Working!M29</f>
        <v>433.416</v>
      </c>
      <c r="M34" s="55">
        <f>Working!N29</f>
        <v>533.32299999999998</v>
      </c>
      <c r="N34" s="55">
        <f>Working!O29</f>
        <v>55.055999999999997</v>
      </c>
      <c r="O34" s="55">
        <f>Working!P29</f>
        <v>1.377</v>
      </c>
      <c r="P34" s="55">
        <f>Working!Q29</f>
        <v>1.391</v>
      </c>
      <c r="Q34" s="55">
        <f>Working!R29</f>
        <v>18.652000000000001</v>
      </c>
      <c r="R34" s="55">
        <f>Working!S29</f>
        <v>4.5999999999999999E-2</v>
      </c>
      <c r="S34" s="55">
        <f>Working!T29</f>
        <v>0</v>
      </c>
      <c r="T34" s="55">
        <f>Working!U29</f>
        <v>0.378</v>
      </c>
      <c r="U34" s="55">
        <f>Working!V29</f>
        <v>0</v>
      </c>
      <c r="V34" s="55">
        <f>Working!W29</f>
        <v>7.7110000000000003</v>
      </c>
      <c r="W34" s="55">
        <f>Working!X29</f>
        <v>4.2460000000000004</v>
      </c>
      <c r="X34" s="55">
        <f>Working!Y29</f>
        <v>90.048000000000002</v>
      </c>
      <c r="Y34" s="55">
        <f>Working!Z29</f>
        <v>193.58799999999999</v>
      </c>
      <c r="Z34" s="55">
        <f>Working!AA29</f>
        <v>263.101</v>
      </c>
      <c r="AA34" s="55">
        <f>Working!AB29</f>
        <v>186.495</v>
      </c>
      <c r="AB34" s="56">
        <f>Working!AC29</f>
        <v>127.29300000000001</v>
      </c>
      <c r="AF34" s="58"/>
    </row>
    <row r="35" spans="1:32" s="58" customFormat="1" ht="13.5" customHeight="1">
      <c r="A35" s="38" t="s">
        <v>92</v>
      </c>
      <c r="B35" s="59" t="s">
        <v>93</v>
      </c>
      <c r="C35" s="60">
        <f>Working!D30</f>
        <v>85390.115000000005</v>
      </c>
      <c r="D35" s="60">
        <f>Working!E30</f>
        <v>83187.134000000005</v>
      </c>
      <c r="E35" s="60">
        <f>Working!F30</f>
        <v>86338.504000000001</v>
      </c>
      <c r="F35" s="60">
        <f>Working!G30</f>
        <v>86975.767999999996</v>
      </c>
      <c r="G35" s="60">
        <f>Working!H30</f>
        <v>92804.406000000003</v>
      </c>
      <c r="H35" s="60">
        <f>Working!I30</f>
        <v>100261.57</v>
      </c>
      <c r="I35" s="60">
        <f>Working!J30</f>
        <v>104262.86</v>
      </c>
      <c r="J35" s="60">
        <f>Working!K30</f>
        <v>104693.819</v>
      </c>
      <c r="K35" s="60">
        <f>Working!L30</f>
        <v>101414.215</v>
      </c>
      <c r="L35" s="60">
        <f>Working!M30</f>
        <v>94080.786999999997</v>
      </c>
      <c r="M35" s="60">
        <f>Working!N30</f>
        <v>96014.84</v>
      </c>
      <c r="N35" s="60">
        <f>Working!O30</f>
        <v>97309.053</v>
      </c>
      <c r="O35" s="60">
        <f>Working!P30</f>
        <v>94344.975999999995</v>
      </c>
      <c r="P35" s="60">
        <f>Working!Q30</f>
        <v>95055.375</v>
      </c>
      <c r="Q35" s="60">
        <f>Working!R30</f>
        <v>99613.923999999999</v>
      </c>
      <c r="R35" s="60">
        <f>Working!S30</f>
        <v>103778.22100000001</v>
      </c>
      <c r="S35" s="60">
        <f>Working!T30</f>
        <v>106442.139</v>
      </c>
      <c r="T35" s="60">
        <f>Working!U30</f>
        <v>107037.66499999999</v>
      </c>
      <c r="U35" s="60">
        <f>Working!V30</f>
        <v>107580.13499999999</v>
      </c>
      <c r="V35" s="60">
        <f>Working!W30</f>
        <v>104285.175</v>
      </c>
      <c r="W35" s="60">
        <f>Working!X30</f>
        <v>99771.53</v>
      </c>
      <c r="X35" s="60">
        <f>Working!Y30</f>
        <v>97960.716</v>
      </c>
      <c r="Y35" s="60">
        <f>Working!Z30</f>
        <v>101796.114</v>
      </c>
      <c r="Z35" s="60">
        <f>Working!AA30</f>
        <v>98600.557000000001</v>
      </c>
      <c r="AA35" s="60">
        <f>Working!AB30</f>
        <v>99314.501000000004</v>
      </c>
      <c r="AB35" s="61">
        <f>Working!AC30</f>
        <v>97049.59</v>
      </c>
    </row>
    <row r="36" spans="1:32" s="57" customFormat="1" ht="19" customHeight="1">
      <c r="A36" s="53" t="s">
        <v>94</v>
      </c>
      <c r="B36" s="53" t="s">
        <v>95</v>
      </c>
      <c r="C36" s="55">
        <f>Working!D31</f>
        <v>9795.1650000000009</v>
      </c>
      <c r="D36" s="55">
        <f>Working!E31</f>
        <v>9404.9290000000001</v>
      </c>
      <c r="E36" s="55">
        <f>Working!F31</f>
        <v>10190.632</v>
      </c>
      <c r="F36" s="55">
        <f>Working!G31</f>
        <v>10248.771000000001</v>
      </c>
      <c r="G36" s="55">
        <f>Working!H31</f>
        <v>10557.540999999999</v>
      </c>
      <c r="H36" s="55">
        <f>Working!I31</f>
        <v>9615.9079999999994</v>
      </c>
      <c r="I36" s="55">
        <f>Working!J31</f>
        <v>8894.2160000000003</v>
      </c>
      <c r="J36" s="55">
        <f>Working!K31</f>
        <v>8986.9150000000009</v>
      </c>
      <c r="K36" s="55">
        <f>Working!L31</f>
        <v>6525.2569999999996</v>
      </c>
      <c r="L36" s="55">
        <f>Working!M31</f>
        <v>5242.6400000000003</v>
      </c>
      <c r="M36" s="55">
        <f>Working!N31</f>
        <v>5588.4160000000002</v>
      </c>
      <c r="N36" s="55">
        <f>Working!O31</f>
        <v>5713.0479999999998</v>
      </c>
      <c r="O36" s="55">
        <f>Working!P31</f>
        <v>4678.5420000000004</v>
      </c>
      <c r="P36" s="55">
        <f>Working!Q31</f>
        <v>7021.9059999999999</v>
      </c>
      <c r="Q36" s="55">
        <f>Working!R31</f>
        <v>5704.0290000000005</v>
      </c>
      <c r="R36" s="55">
        <f>Working!S31</f>
        <v>5861.1109999999999</v>
      </c>
      <c r="S36" s="55">
        <f>Working!T31</f>
        <v>5310.4390000000003</v>
      </c>
      <c r="T36" s="55">
        <f>Working!U31</f>
        <v>5262.4009999999998</v>
      </c>
      <c r="U36" s="55">
        <f>Working!V31</f>
        <v>5253.7280000000001</v>
      </c>
      <c r="V36" s="55">
        <f>Working!W31</f>
        <v>4866.0379999999996</v>
      </c>
      <c r="W36" s="55">
        <f>Working!X31</f>
        <v>4900.9309999999996</v>
      </c>
      <c r="X36" s="55">
        <f>Working!Y31</f>
        <v>5649.0860000000002</v>
      </c>
      <c r="Y36" s="55">
        <f>Working!Z31</f>
        <v>4734.826</v>
      </c>
      <c r="Z36" s="55">
        <f>Working!AA31</f>
        <v>5194.482</v>
      </c>
      <c r="AA36" s="55">
        <f>Working!AB31</f>
        <v>4952.4049999999997</v>
      </c>
      <c r="AB36" s="56">
        <f>Working!AC31</f>
        <v>4494.8140000000003</v>
      </c>
      <c r="AF36" s="58"/>
    </row>
    <row r="37" spans="1:32" s="57" customFormat="1" ht="13.5" customHeight="1">
      <c r="A37" s="53" t="s">
        <v>94</v>
      </c>
      <c r="B37" s="53" t="s">
        <v>96</v>
      </c>
      <c r="C37" s="55">
        <f>Working!D32</f>
        <v>9776.4390000000003</v>
      </c>
      <c r="D37" s="55">
        <f>Working!E32</f>
        <v>9818.1550000000007</v>
      </c>
      <c r="E37" s="55">
        <f>Working!F32</f>
        <v>10261.379000000001</v>
      </c>
      <c r="F37" s="55">
        <f>Working!G32</f>
        <v>8994.8340000000007</v>
      </c>
      <c r="G37" s="55">
        <f>Working!H32</f>
        <v>10057.262000000001</v>
      </c>
      <c r="H37" s="55">
        <f>Working!I32</f>
        <v>10350.99</v>
      </c>
      <c r="I37" s="55">
        <f>Working!J32</f>
        <v>10636.64</v>
      </c>
      <c r="J37" s="55">
        <f>Working!K32</f>
        <v>12236.459000000001</v>
      </c>
      <c r="K37" s="55">
        <f>Working!L32</f>
        <v>10316.886</v>
      </c>
      <c r="L37" s="55">
        <f>Working!M32</f>
        <v>6182.2020000000002</v>
      </c>
      <c r="M37" s="55">
        <f>Working!N32</f>
        <v>6127.5709999999999</v>
      </c>
      <c r="N37" s="55">
        <f>Working!O32</f>
        <v>6935.741</v>
      </c>
      <c r="O37" s="55">
        <f>Working!P32</f>
        <v>7788.5069999999996</v>
      </c>
      <c r="P37" s="55">
        <f>Working!Q32</f>
        <v>8990.6679999999997</v>
      </c>
      <c r="Q37" s="55">
        <f>Working!R32</f>
        <v>9974.6820000000007</v>
      </c>
      <c r="R37" s="55">
        <f>Working!S32</f>
        <v>8848.0810000000001</v>
      </c>
      <c r="S37" s="55">
        <f>Working!T32</f>
        <v>6964.527</v>
      </c>
      <c r="T37" s="55">
        <f>Working!U32</f>
        <v>7258.5379999999996</v>
      </c>
      <c r="U37" s="55">
        <f>Working!V32</f>
        <v>7000.7510000000002</v>
      </c>
      <c r="V37" s="55">
        <f>Working!W32</f>
        <v>6553.0230000000001</v>
      </c>
      <c r="W37" s="55">
        <f>Working!X32</f>
        <v>5571.7020000000002</v>
      </c>
      <c r="X37" s="55">
        <f>Working!Y32</f>
        <v>6628.5050000000001</v>
      </c>
      <c r="Y37" s="55">
        <f>Working!Z32</f>
        <v>5661.4390000000003</v>
      </c>
      <c r="Z37" s="55">
        <f>Working!AA32</f>
        <v>5205.5129999999999</v>
      </c>
      <c r="AA37" s="55">
        <f>Working!AB32</f>
        <v>6958.43</v>
      </c>
      <c r="AB37" s="56">
        <f>Working!AC32</f>
        <v>7841.4080000000004</v>
      </c>
      <c r="AF37" s="58"/>
    </row>
    <row r="38" spans="1:32" s="57" customFormat="1" ht="13.5" customHeight="1">
      <c r="A38" s="53" t="s">
        <v>94</v>
      </c>
      <c r="B38" s="53" t="s">
        <v>97</v>
      </c>
      <c r="C38" s="55">
        <f>Working!D33</f>
        <v>0</v>
      </c>
      <c r="D38" s="55">
        <f>Working!E33</f>
        <v>0</v>
      </c>
      <c r="E38" s="55">
        <f>Working!F33</f>
        <v>0</v>
      </c>
      <c r="F38" s="55">
        <f>Working!G33</f>
        <v>0</v>
      </c>
      <c r="G38" s="55">
        <f>Working!H33</f>
        <v>0</v>
      </c>
      <c r="H38" s="55">
        <f>Working!I33</f>
        <v>0</v>
      </c>
      <c r="I38" s="55">
        <f>Working!J33</f>
        <v>0</v>
      </c>
      <c r="J38" s="55">
        <f>Working!K33</f>
        <v>0</v>
      </c>
      <c r="K38" s="55">
        <f>Working!L33</f>
        <v>0</v>
      </c>
      <c r="L38" s="55">
        <f>Working!M33</f>
        <v>0</v>
      </c>
      <c r="M38" s="55">
        <f>Working!N33</f>
        <v>0</v>
      </c>
      <c r="N38" s="55">
        <f>Working!O33</f>
        <v>0</v>
      </c>
      <c r="O38" s="55">
        <f>Working!P33</f>
        <v>0</v>
      </c>
      <c r="P38" s="55">
        <f>Working!Q33</f>
        <v>0</v>
      </c>
      <c r="Q38" s="55">
        <f>Working!R33</f>
        <v>0</v>
      </c>
      <c r="R38" s="55">
        <f>Working!S33</f>
        <v>0</v>
      </c>
      <c r="S38" s="55">
        <f>Working!T33</f>
        <v>0</v>
      </c>
      <c r="T38" s="55">
        <f>Working!U33</f>
        <v>0</v>
      </c>
      <c r="U38" s="55">
        <f>Working!V33</f>
        <v>0</v>
      </c>
      <c r="V38" s="55">
        <f>Working!W33</f>
        <v>0</v>
      </c>
      <c r="W38" s="55">
        <f>Working!X33</f>
        <v>0</v>
      </c>
      <c r="X38" s="55">
        <f>Working!Y33</f>
        <v>0</v>
      </c>
      <c r="Y38" s="55">
        <f>Working!Z33</f>
        <v>0</v>
      </c>
      <c r="Z38" s="55">
        <f>Working!AA33</f>
        <v>0</v>
      </c>
      <c r="AA38" s="55">
        <f>Working!AB33</f>
        <v>0</v>
      </c>
      <c r="AB38" s="56">
        <f>Working!AC33</f>
        <v>621.50300000000004</v>
      </c>
      <c r="AF38" s="58"/>
    </row>
    <row r="39" spans="1:32" s="57" customFormat="1" ht="13.5" customHeight="1">
      <c r="A39" s="53" t="s">
        <v>94</v>
      </c>
      <c r="B39" s="53" t="s">
        <v>98</v>
      </c>
      <c r="C39" s="55">
        <f>Working!D34</f>
        <v>4926.4970000000003</v>
      </c>
      <c r="D39" s="55">
        <f>Working!E34</f>
        <v>6835.0190000000002</v>
      </c>
      <c r="E39" s="55">
        <f>Working!F34</f>
        <v>6685.3810000000003</v>
      </c>
      <c r="F39" s="55">
        <f>Working!G34</f>
        <v>6749.9070000000002</v>
      </c>
      <c r="G39" s="55">
        <f>Working!H34</f>
        <v>6726.4589999999998</v>
      </c>
      <c r="H39" s="55">
        <f>Working!I34</f>
        <v>7342.2049999999999</v>
      </c>
      <c r="I39" s="55">
        <f>Working!J34</f>
        <v>7141.27</v>
      </c>
      <c r="J39" s="55">
        <f>Working!K34</f>
        <v>6215.027</v>
      </c>
      <c r="K39" s="55">
        <f>Working!L34</f>
        <v>6242.9049999999997</v>
      </c>
      <c r="L39" s="55">
        <f>Working!M34</f>
        <v>5451.4560000000001</v>
      </c>
      <c r="M39" s="55">
        <f>Working!N34</f>
        <v>5067.7939999999999</v>
      </c>
      <c r="N39" s="55">
        <f>Working!O34</f>
        <v>5368.4930000000004</v>
      </c>
      <c r="O39" s="55">
        <f>Working!P34</f>
        <v>5846.2759999999998</v>
      </c>
      <c r="P39" s="55">
        <f>Working!Q34</f>
        <v>5387.4570000000003</v>
      </c>
      <c r="Q39" s="55">
        <f>Working!R34</f>
        <v>5525.7240000000002</v>
      </c>
      <c r="R39" s="55">
        <f>Working!S34</f>
        <v>5615.4589999999998</v>
      </c>
      <c r="S39" s="55">
        <f>Working!T34</f>
        <v>5112.4949999999999</v>
      </c>
      <c r="T39" s="55">
        <f>Working!U34</f>
        <v>6250.6379999999999</v>
      </c>
      <c r="U39" s="55">
        <f>Working!V34</f>
        <v>5610.192</v>
      </c>
      <c r="V39" s="55">
        <f>Working!W34</f>
        <v>5446.1040000000003</v>
      </c>
      <c r="W39" s="55">
        <f>Working!X34</f>
        <v>5869.2309999999998</v>
      </c>
      <c r="X39" s="55">
        <f>Working!Y34</f>
        <v>6078.5039999999999</v>
      </c>
      <c r="Y39" s="55">
        <f>Working!Z34</f>
        <v>5029.8860000000004</v>
      </c>
      <c r="Z39" s="55">
        <f>Working!AA34</f>
        <v>4637.0330000000004</v>
      </c>
      <c r="AA39" s="55">
        <f>Working!AB34</f>
        <v>5056.9660000000003</v>
      </c>
      <c r="AB39" s="56">
        <f>Working!AC34</f>
        <v>3925.8209999999999</v>
      </c>
      <c r="AF39" s="58"/>
    </row>
    <row r="40" spans="1:32" s="58" customFormat="1" ht="13.5" customHeight="1">
      <c r="A40" s="59" t="s">
        <v>99</v>
      </c>
      <c r="B40" s="59" t="s">
        <v>100</v>
      </c>
      <c r="C40" s="60">
        <f>Working!D35</f>
        <v>24498.100999999999</v>
      </c>
      <c r="D40" s="60">
        <f>Working!E35</f>
        <v>26058.102999999999</v>
      </c>
      <c r="E40" s="60">
        <f>Working!F35</f>
        <v>27137.392</v>
      </c>
      <c r="F40" s="60">
        <f>Working!G35</f>
        <v>25993.511999999999</v>
      </c>
      <c r="G40" s="60">
        <f>Working!H35</f>
        <v>27341.261999999999</v>
      </c>
      <c r="H40" s="60">
        <f>Working!I35</f>
        <v>27309.102999999999</v>
      </c>
      <c r="I40" s="60">
        <f>Working!J35</f>
        <v>26672.126</v>
      </c>
      <c r="J40" s="60">
        <f>Working!K35</f>
        <v>27438.401000000002</v>
      </c>
      <c r="K40" s="60">
        <f>Working!L35</f>
        <v>23085.047999999999</v>
      </c>
      <c r="L40" s="60">
        <f>Working!M35</f>
        <v>16876.297999999999</v>
      </c>
      <c r="M40" s="60">
        <f>Working!N35</f>
        <v>16783.780999999999</v>
      </c>
      <c r="N40" s="60">
        <f>Working!O35</f>
        <v>18017.281999999999</v>
      </c>
      <c r="O40" s="60">
        <f>Working!P35</f>
        <v>18313.325000000001</v>
      </c>
      <c r="P40" s="60">
        <f>Working!Q35</f>
        <v>21400.030999999999</v>
      </c>
      <c r="Q40" s="60">
        <f>Working!R35</f>
        <v>21204.435000000001</v>
      </c>
      <c r="R40" s="60">
        <f>Working!S35</f>
        <v>20324.651000000002</v>
      </c>
      <c r="S40" s="60">
        <f>Working!T35</f>
        <v>17387.460999999999</v>
      </c>
      <c r="T40" s="60">
        <f>Working!U35</f>
        <v>18771.577000000001</v>
      </c>
      <c r="U40" s="60">
        <f>Working!V35</f>
        <v>17864.670999999998</v>
      </c>
      <c r="V40" s="60">
        <f>Working!W35</f>
        <v>16865.165000000001</v>
      </c>
      <c r="W40" s="60">
        <f>Working!X35</f>
        <v>16341.864</v>
      </c>
      <c r="X40" s="60">
        <f>Working!Y35</f>
        <v>18356.095000000001</v>
      </c>
      <c r="Y40" s="60">
        <f>Working!Z35</f>
        <v>15426.151</v>
      </c>
      <c r="Z40" s="60">
        <f>Working!AA35</f>
        <v>15037.028</v>
      </c>
      <c r="AA40" s="60">
        <f>Working!AB35</f>
        <v>16967.800999999999</v>
      </c>
      <c r="AB40" s="61">
        <f>Working!AC35</f>
        <v>16883.545999999998</v>
      </c>
    </row>
    <row r="41" spans="1:32" s="32" customFormat="1" ht="18.75" customHeight="1">
      <c r="A41" s="64" t="s">
        <v>101</v>
      </c>
      <c r="B41" s="64" t="s">
        <v>101</v>
      </c>
      <c r="C41" s="65">
        <f>Working!D36</f>
        <v>555611.54</v>
      </c>
      <c r="D41" s="65">
        <f>Working!E36</f>
        <v>549454.65</v>
      </c>
      <c r="E41" s="65">
        <f>Working!F36</f>
        <v>542114.33700000006</v>
      </c>
      <c r="F41" s="65">
        <f>Working!G36</f>
        <v>538976.56200000003</v>
      </c>
      <c r="G41" s="65">
        <f>Working!H36</f>
        <v>558183.1370000001</v>
      </c>
      <c r="H41" s="65">
        <f>Working!I36</f>
        <v>570145.07400000002</v>
      </c>
      <c r="I41" s="65">
        <f>Working!J36</f>
        <v>568762.52500000002</v>
      </c>
      <c r="J41" s="65">
        <f>Working!K36</f>
        <v>566617.39</v>
      </c>
      <c r="K41" s="65">
        <f>Working!L36</f>
        <v>548079.18200000003</v>
      </c>
      <c r="L41" s="65">
        <f>Working!M36</f>
        <v>489556.08600000001</v>
      </c>
      <c r="M41" s="65">
        <f>Working!N36</f>
        <v>498488.48099999997</v>
      </c>
      <c r="N41" s="65">
        <f>Working!O36</f>
        <v>506995.50199999998</v>
      </c>
      <c r="O41" s="65">
        <f>Working!P36</f>
        <v>489450.15899999999</v>
      </c>
      <c r="P41" s="65">
        <f>Working!Q36</f>
        <v>491755.05799999996</v>
      </c>
      <c r="Q41" s="65">
        <f>Working!R36</f>
        <v>491855.79099999997</v>
      </c>
      <c r="R41" s="65">
        <f>Working!S36</f>
        <v>485729.46799999999</v>
      </c>
      <c r="S41" s="65">
        <f>Working!T36</f>
        <v>472772.07199999993</v>
      </c>
      <c r="T41" s="65">
        <f>Working!U36</f>
        <v>470682.71100000001</v>
      </c>
      <c r="U41" s="65">
        <f>Working!V36</f>
        <v>472055.94400000002</v>
      </c>
      <c r="V41" s="65">
        <f>Working!W36</f>
        <v>471739.34399999992</v>
      </c>
      <c r="W41" s="65">
        <f>Working!X36</f>
        <v>428993.76400000002</v>
      </c>
      <c r="X41" s="65">
        <f>Working!Y36</f>
        <v>435385.734</v>
      </c>
      <c r="Y41" s="65">
        <f>Working!Z36</f>
        <v>449650.82799999998</v>
      </c>
      <c r="Z41" s="65">
        <f>Working!AA36</f>
        <v>425858.50100000005</v>
      </c>
      <c r="AA41" s="65">
        <f>Working!AB36</f>
        <v>421016.70999999996</v>
      </c>
      <c r="AB41" s="66">
        <f>Working!AC36</f>
        <v>419539.234</v>
      </c>
      <c r="AF41" s="58"/>
    </row>
    <row r="42" spans="1:32" s="57" customFormat="1" ht="18" customHeight="1">
      <c r="A42" s="54" t="s">
        <v>102</v>
      </c>
      <c r="B42" s="54" t="s">
        <v>103</v>
      </c>
      <c r="C42" s="55">
        <f>Working!D37</f>
        <v>304923.88500000001</v>
      </c>
      <c r="D42" s="55">
        <f>Working!E37</f>
        <v>299121.32799999998</v>
      </c>
      <c r="E42" s="55">
        <f>Working!F37</f>
        <v>291535.89899999998</v>
      </c>
      <c r="F42" s="55">
        <f>Working!G37</f>
        <v>285493.58799999999</v>
      </c>
      <c r="G42" s="55">
        <f>Working!H37</f>
        <v>296297.79599999997</v>
      </c>
      <c r="H42" s="55">
        <f>Working!I37</f>
        <v>302186.55</v>
      </c>
      <c r="I42" s="55">
        <f>Working!J37</f>
        <v>294072.33500000002</v>
      </c>
      <c r="J42" s="55">
        <f>Working!K37</f>
        <v>281420.538</v>
      </c>
      <c r="K42" s="55">
        <f>Working!L37</f>
        <v>276918.32299999997</v>
      </c>
      <c r="L42" s="55">
        <f>Working!M37</f>
        <v>254681.37299999999</v>
      </c>
      <c r="M42" s="55">
        <f>Working!N37</f>
        <v>248696.18799999999</v>
      </c>
      <c r="N42" s="55">
        <f>Working!O37</f>
        <v>255457.03200000001</v>
      </c>
      <c r="O42" s="55">
        <f>Working!P37</f>
        <v>246731.14799999999</v>
      </c>
      <c r="P42" s="55">
        <f>Working!Q37</f>
        <v>239533.318</v>
      </c>
      <c r="Q42" s="55">
        <f>Working!R37</f>
        <v>221369.337</v>
      </c>
      <c r="R42" s="55">
        <f>Working!S37</f>
        <v>209230.894</v>
      </c>
      <c r="S42" s="55">
        <f>Working!T37</f>
        <v>190952.30100000001</v>
      </c>
      <c r="T42" s="55">
        <f>Working!U37</f>
        <v>188485.36199999999</v>
      </c>
      <c r="U42" s="55">
        <f>Working!V37</f>
        <v>185941.821</v>
      </c>
      <c r="V42" s="55">
        <f>Working!W37</f>
        <v>188463.06400000001</v>
      </c>
      <c r="W42" s="55">
        <f>Working!X37</f>
        <v>163534.49299999999</v>
      </c>
      <c r="X42" s="55">
        <f>Working!Y37</f>
        <v>161186.89000000001</v>
      </c>
      <c r="Y42" s="55">
        <f>Working!Z37</f>
        <v>181413.524</v>
      </c>
      <c r="Z42" s="55">
        <f>Working!AA37</f>
        <v>167459.06700000001</v>
      </c>
      <c r="AA42" s="55">
        <f>Working!AB37</f>
        <v>159430.05499999999</v>
      </c>
      <c r="AB42" s="56">
        <f>Working!AC37</f>
        <v>155827.28</v>
      </c>
      <c r="AF42" s="58"/>
    </row>
    <row r="43" spans="1:32" s="57" customFormat="1" ht="13.5" customHeight="1">
      <c r="A43" s="54" t="s">
        <v>102</v>
      </c>
      <c r="B43" s="54" t="s">
        <v>104</v>
      </c>
      <c r="C43" s="55">
        <f>Working!D38</f>
        <v>89228.870999999999</v>
      </c>
      <c r="D43" s="55">
        <f>Working!E38</f>
        <v>89399.187999999995</v>
      </c>
      <c r="E43" s="55">
        <f>Working!F38</f>
        <v>86002.317999999999</v>
      </c>
      <c r="F43" s="55">
        <f>Working!G38</f>
        <v>89234.785000000003</v>
      </c>
      <c r="G43" s="55">
        <f>Working!H38</f>
        <v>85325.282000000007</v>
      </c>
      <c r="H43" s="55">
        <f>Working!I38</f>
        <v>86547.793000000005</v>
      </c>
      <c r="I43" s="55">
        <f>Working!J38</f>
        <v>89395.823000000004</v>
      </c>
      <c r="J43" s="55">
        <f>Working!K38</f>
        <v>92554.987999999998</v>
      </c>
      <c r="K43" s="55">
        <f>Working!L38</f>
        <v>87111.542000000001</v>
      </c>
      <c r="L43" s="55">
        <f>Working!M38</f>
        <v>71906.846000000005</v>
      </c>
      <c r="M43" s="55">
        <f>Working!N38</f>
        <v>80320.023000000001</v>
      </c>
      <c r="N43" s="55">
        <f>Working!O38</f>
        <v>78509.23</v>
      </c>
      <c r="O43" s="55">
        <f>Working!P38</f>
        <v>75007.531000000003</v>
      </c>
      <c r="P43" s="55">
        <f>Working!Q38</f>
        <v>78863.513000000006</v>
      </c>
      <c r="Q43" s="55">
        <f>Working!R38</f>
        <v>88412.31</v>
      </c>
      <c r="R43" s="55">
        <f>Working!S38</f>
        <v>89184.127999999997</v>
      </c>
      <c r="S43" s="55">
        <f>Working!T38</f>
        <v>92659.1</v>
      </c>
      <c r="T43" s="55">
        <f>Working!U38</f>
        <v>92357.324999999997</v>
      </c>
      <c r="U43" s="55">
        <f>Working!V38</f>
        <v>92213.596999999994</v>
      </c>
      <c r="V43" s="55">
        <f>Working!W38</f>
        <v>95360.686000000002</v>
      </c>
      <c r="W43" s="55">
        <f>Working!X38</f>
        <v>87990.870999999999</v>
      </c>
      <c r="X43" s="55">
        <f>Working!Y38</f>
        <v>97226.894</v>
      </c>
      <c r="Y43" s="55">
        <f>Working!Z38</f>
        <v>91925.398000000001</v>
      </c>
      <c r="Z43" s="55">
        <f>Working!AA38</f>
        <v>86215.270999999993</v>
      </c>
      <c r="AA43" s="55">
        <f>Working!AB38</f>
        <v>84613.198999999993</v>
      </c>
      <c r="AB43" s="56">
        <f>Working!AC38</f>
        <v>72960.982000000004</v>
      </c>
      <c r="AF43" s="58"/>
    </row>
    <row r="44" spans="1:32" s="58" customFormat="1" ht="13.5" customHeight="1">
      <c r="A44" s="38" t="s">
        <v>102</v>
      </c>
      <c r="B44" s="38" t="s">
        <v>102</v>
      </c>
      <c r="C44" s="60">
        <f>Working!D39</f>
        <v>394152.75599999999</v>
      </c>
      <c r="D44" s="60">
        <f>Working!E39</f>
        <v>388520.516</v>
      </c>
      <c r="E44" s="60">
        <f>Working!F39</f>
        <v>377538.217</v>
      </c>
      <c r="F44" s="60">
        <f>Working!G39</f>
        <v>374728.37300000002</v>
      </c>
      <c r="G44" s="60">
        <f>Working!H39</f>
        <v>381623.07799999998</v>
      </c>
      <c r="H44" s="60">
        <f>Working!I39</f>
        <v>388734.34299999999</v>
      </c>
      <c r="I44" s="60">
        <f>Working!J39</f>
        <v>383468.158</v>
      </c>
      <c r="J44" s="60">
        <f>Working!K39</f>
        <v>373975.52600000001</v>
      </c>
      <c r="K44" s="60">
        <f>Working!L39</f>
        <v>364029.86499999999</v>
      </c>
      <c r="L44" s="60">
        <f>Working!M39</f>
        <v>326588.21899999998</v>
      </c>
      <c r="M44" s="60">
        <f>Working!N39</f>
        <v>329016.21100000001</v>
      </c>
      <c r="N44" s="60">
        <f>Working!O39</f>
        <v>333966.26199999999</v>
      </c>
      <c r="O44" s="60">
        <f>Working!P39</f>
        <v>321738.679</v>
      </c>
      <c r="P44" s="60">
        <f>Working!Q39</f>
        <v>318396.83100000001</v>
      </c>
      <c r="Q44" s="60">
        <f>Working!R39</f>
        <v>309781.647</v>
      </c>
      <c r="R44" s="60">
        <f>Working!S39</f>
        <v>298415.022</v>
      </c>
      <c r="S44" s="60">
        <f>Working!T39</f>
        <v>283611.40100000001</v>
      </c>
      <c r="T44" s="60">
        <f>Working!U39</f>
        <v>280842.68699999998</v>
      </c>
      <c r="U44" s="60">
        <f>Working!V39</f>
        <v>278155.41800000001</v>
      </c>
      <c r="V44" s="60">
        <f>Working!W39</f>
        <v>283823.75</v>
      </c>
      <c r="W44" s="60">
        <f>Working!X39</f>
        <v>251525.364</v>
      </c>
      <c r="X44" s="60">
        <f>Working!Y39</f>
        <v>258413.78400000001</v>
      </c>
      <c r="Y44" s="60">
        <f>Working!Z39</f>
        <v>273338.92200000002</v>
      </c>
      <c r="Z44" s="60">
        <f>Working!AA39</f>
        <v>253674.33799999999</v>
      </c>
      <c r="AA44" s="60">
        <f>Working!AB39</f>
        <v>244043.25399999999</v>
      </c>
      <c r="AB44" s="61">
        <f>Working!AC39</f>
        <v>228788.26199999999</v>
      </c>
    </row>
    <row r="45" spans="1:32" s="57" customFormat="1" ht="19" customHeight="1">
      <c r="A45" s="54" t="s">
        <v>105</v>
      </c>
      <c r="B45" s="62" t="s">
        <v>106</v>
      </c>
      <c r="C45" s="55">
        <f>Working!D40</f>
        <v>51570.567999999999</v>
      </c>
      <c r="D45" s="55">
        <f>Working!E40</f>
        <v>51688.896999999997</v>
      </c>
      <c r="E45" s="55">
        <f>Working!F40</f>
        <v>51100.224000000002</v>
      </c>
      <c r="F45" s="55">
        <f>Working!G40</f>
        <v>51278.909</v>
      </c>
      <c r="G45" s="55">
        <f>Working!H40</f>
        <v>56414.391000000003</v>
      </c>
      <c r="H45" s="55">
        <f>Working!I40</f>
        <v>53840.057999999997</v>
      </c>
      <c r="I45" s="55">
        <f>Working!J40</f>
        <v>54359.381000000001</v>
      </c>
      <c r="J45" s="55">
        <f>Working!K40</f>
        <v>60509.644</v>
      </c>
      <c r="K45" s="55">
        <f>Working!L40</f>
        <v>59550.053999999996</v>
      </c>
      <c r="L45" s="55">
        <f>Working!M40</f>
        <v>52010.781999999999</v>
      </c>
      <c r="M45" s="55">
        <f>Working!N40</f>
        <v>56673.648999999998</v>
      </c>
      <c r="N45" s="55">
        <f>Working!O40</f>
        <v>57702.904999999999</v>
      </c>
      <c r="O45" s="55">
        <f>Working!P40</f>
        <v>55053.178999999996</v>
      </c>
      <c r="P45" s="55">
        <f>Working!Q40</f>
        <v>56902.821000000004</v>
      </c>
      <c r="Q45" s="55">
        <f>Working!R40</f>
        <v>61255.785000000003</v>
      </c>
      <c r="R45" s="55">
        <f>Working!S40</f>
        <v>63211.574000000001</v>
      </c>
      <c r="S45" s="55">
        <f>Working!T40</f>
        <v>65331.071000000004</v>
      </c>
      <c r="T45" s="55">
        <f>Working!U40</f>
        <v>64030.781999999999</v>
      </c>
      <c r="U45" s="55">
        <f>Working!V40</f>
        <v>68455.72</v>
      </c>
      <c r="V45" s="55">
        <f>Working!W40</f>
        <v>66765.254000000001</v>
      </c>
      <c r="W45" s="55">
        <f>Working!X40</f>
        <v>61355.006000000001</v>
      </c>
      <c r="X45" s="55">
        <f>Working!Y40</f>
        <v>60655.139000000003</v>
      </c>
      <c r="Y45" s="55">
        <f>Working!Z40</f>
        <v>59089.641000000003</v>
      </c>
      <c r="Z45" s="55">
        <f>Working!AA40</f>
        <v>58546.578000000001</v>
      </c>
      <c r="AA45" s="55">
        <f>Working!AB40</f>
        <v>60691.154000000002</v>
      </c>
      <c r="AB45" s="56">
        <f>Working!AC40</f>
        <v>66882.558999999994</v>
      </c>
      <c r="AF45" s="58"/>
    </row>
    <row r="46" spans="1:32" s="57" customFormat="1" ht="13.5" customHeight="1">
      <c r="A46" s="54" t="s">
        <v>105</v>
      </c>
      <c r="B46" s="62" t="s">
        <v>107</v>
      </c>
      <c r="C46" s="55">
        <f>Working!D41</f>
        <v>79661.042000000001</v>
      </c>
      <c r="D46" s="55">
        <f>Working!E41</f>
        <v>77224.684000000008</v>
      </c>
      <c r="E46" s="55">
        <f>Working!F41</f>
        <v>80208.02</v>
      </c>
      <c r="F46" s="55">
        <f>Working!G41</f>
        <v>80640.047999999995</v>
      </c>
      <c r="G46" s="55">
        <f>Working!H41</f>
        <v>86103.834999999992</v>
      </c>
      <c r="H46" s="55">
        <f>Working!I41</f>
        <v>93348.418000000005</v>
      </c>
      <c r="I46" s="55">
        <f>Working!J41</f>
        <v>96895.362000000008</v>
      </c>
      <c r="J46" s="55">
        <f>Working!K41</f>
        <v>97121.293000000005</v>
      </c>
      <c r="K46" s="55">
        <f>Working!L41</f>
        <v>94807.967999999993</v>
      </c>
      <c r="L46" s="55">
        <f>Working!M41</f>
        <v>88909.573999999993</v>
      </c>
      <c r="M46" s="55">
        <f>Working!N41</f>
        <v>90149.460999999981</v>
      </c>
      <c r="N46" s="55">
        <f>Working!O41</f>
        <v>91658.725000000006</v>
      </c>
      <c r="O46" s="55">
        <f>Working!P41</f>
        <v>88465.656000000017</v>
      </c>
      <c r="P46" s="55">
        <f>Working!Q41</f>
        <v>88231.424999999988</v>
      </c>
      <c r="Q46" s="55">
        <f>Working!R41</f>
        <v>92394.717000000004</v>
      </c>
      <c r="R46" s="55">
        <f>Working!S41</f>
        <v>96630.41399999999</v>
      </c>
      <c r="S46" s="55">
        <f>Working!T41</f>
        <v>99548.884000000005</v>
      </c>
      <c r="T46" s="55">
        <f>Working!U41</f>
        <v>100805.87000000001</v>
      </c>
      <c r="U46" s="55">
        <f>Working!V41</f>
        <v>100803.079</v>
      </c>
      <c r="V46" s="55">
        <f>Working!W41</f>
        <v>97879.608000000007</v>
      </c>
      <c r="W46" s="55">
        <f>Working!X41</f>
        <v>95024.841</v>
      </c>
      <c r="X46" s="55">
        <f>Working!Y41</f>
        <v>93297.856999999989</v>
      </c>
      <c r="Y46" s="55">
        <f>Working!Z41</f>
        <v>96427.516000000003</v>
      </c>
      <c r="Z46" s="55">
        <f>Working!AA41</f>
        <v>92625.462</v>
      </c>
      <c r="AA46" s="55">
        <f>Working!AB41</f>
        <v>93535.212</v>
      </c>
      <c r="AB46" s="56">
        <f>Working!AC41</f>
        <v>91218.145999999993</v>
      </c>
      <c r="AF46" s="58"/>
    </row>
    <row r="47" spans="1:32" s="58" customFormat="1" ht="13.5" customHeight="1">
      <c r="A47" s="38" t="s">
        <v>108</v>
      </c>
      <c r="B47" s="38" t="s">
        <v>108</v>
      </c>
      <c r="C47" s="60">
        <f>Working!D42</f>
        <v>131231.60999999999</v>
      </c>
      <c r="D47" s="60">
        <f>Working!E42</f>
        <v>128913.58100000001</v>
      </c>
      <c r="E47" s="60">
        <f>Working!F42</f>
        <v>131308.24400000001</v>
      </c>
      <c r="F47" s="60">
        <f>Working!G42</f>
        <v>131918.95699999999</v>
      </c>
      <c r="G47" s="60">
        <f>Working!H42</f>
        <v>142518.226</v>
      </c>
      <c r="H47" s="60">
        <f>Working!I42</f>
        <v>147188.476</v>
      </c>
      <c r="I47" s="60">
        <f>Working!J42</f>
        <v>151254.74300000002</v>
      </c>
      <c r="J47" s="60">
        <f>Working!K42</f>
        <v>157630.93700000001</v>
      </c>
      <c r="K47" s="60">
        <f>Working!L42</f>
        <v>154358.022</v>
      </c>
      <c r="L47" s="60">
        <f>Working!M42</f>
        <v>140920.356</v>
      </c>
      <c r="M47" s="60">
        <f>Working!N42</f>
        <v>146823.10999999999</v>
      </c>
      <c r="N47" s="60">
        <f>Working!O42</f>
        <v>149361.63</v>
      </c>
      <c r="O47" s="60">
        <f>Working!P42</f>
        <v>143518.83500000002</v>
      </c>
      <c r="P47" s="60">
        <f>Working!Q42</f>
        <v>145134.24599999998</v>
      </c>
      <c r="Q47" s="60">
        <f>Working!R42</f>
        <v>153650.50200000001</v>
      </c>
      <c r="R47" s="60">
        <f>Working!S42</f>
        <v>159841.98799999998</v>
      </c>
      <c r="S47" s="60">
        <f>Working!T42</f>
        <v>164879.95500000002</v>
      </c>
      <c r="T47" s="60">
        <f>Working!U42</f>
        <v>164836.652</v>
      </c>
      <c r="U47" s="60">
        <f>Working!V42</f>
        <v>169258.799</v>
      </c>
      <c r="V47" s="60">
        <f>Working!W42</f>
        <v>164644.86200000002</v>
      </c>
      <c r="W47" s="60">
        <f>Working!X42</f>
        <v>156379.84700000001</v>
      </c>
      <c r="X47" s="60">
        <f>Working!Y42</f>
        <v>153952.99599999998</v>
      </c>
      <c r="Y47" s="60">
        <f>Working!Z42</f>
        <v>155517.15700000001</v>
      </c>
      <c r="Z47" s="60">
        <f>Working!AA42</f>
        <v>151172.04</v>
      </c>
      <c r="AA47" s="60">
        <f>Working!AB42</f>
        <v>154226.36600000001</v>
      </c>
      <c r="AB47" s="61">
        <f>Working!AC42</f>
        <v>158100.70499999999</v>
      </c>
    </row>
    <row r="48" spans="1:32" s="32" customFormat="1" ht="12.25" customHeight="1">
      <c r="A48" s="67"/>
      <c r="B48" s="68"/>
      <c r="C48" s="69"/>
      <c r="D48" s="69"/>
      <c r="E48" s="69"/>
      <c r="F48" s="69"/>
      <c r="G48" s="69"/>
      <c r="H48" s="37"/>
      <c r="I48" s="37"/>
      <c r="J48" s="37"/>
      <c r="K48" s="37"/>
      <c r="L48" s="37"/>
      <c r="M48" s="37"/>
      <c r="N48" s="37"/>
      <c r="O48" s="37"/>
      <c r="P48" s="37"/>
      <c r="Q48" s="37"/>
      <c r="R48" s="37"/>
      <c r="S48" s="37"/>
      <c r="T48" s="37"/>
      <c r="U48" s="37"/>
      <c r="V48" s="37"/>
      <c r="W48" s="37"/>
      <c r="X48" s="37"/>
      <c r="Y48" s="30"/>
      <c r="Z48" s="30"/>
      <c r="AA48" s="30"/>
      <c r="AB48" s="30"/>
    </row>
    <row r="49" spans="1:28" s="70" customFormat="1" ht="12" customHeight="1">
      <c r="B49" s="54"/>
      <c r="C49" s="39"/>
      <c r="D49" s="39"/>
      <c r="E49" s="39"/>
      <c r="F49" s="39"/>
      <c r="G49" s="39"/>
      <c r="H49" s="39"/>
      <c r="I49" s="39"/>
      <c r="J49" s="39"/>
      <c r="K49" s="39"/>
      <c r="L49" s="39"/>
      <c r="M49" s="39"/>
      <c r="N49" s="39"/>
      <c r="O49" s="39"/>
      <c r="P49" s="39"/>
      <c r="Q49" s="39"/>
      <c r="R49" s="39"/>
      <c r="S49" s="71"/>
      <c r="T49" s="72"/>
      <c r="U49" s="72"/>
      <c r="V49" s="73"/>
      <c r="W49" s="72"/>
      <c r="X49" s="72"/>
      <c r="Y49" s="72"/>
      <c r="Z49" s="72"/>
      <c r="AA49" s="72"/>
      <c r="AB49" s="72"/>
    </row>
    <row r="50" spans="1:28" s="70" customFormat="1" ht="12" customHeight="1">
      <c r="B50" s="54"/>
      <c r="C50" s="39"/>
      <c r="D50" s="39"/>
      <c r="E50" s="39"/>
      <c r="F50" s="39"/>
      <c r="G50" s="39"/>
      <c r="H50" s="39"/>
      <c r="I50" s="39"/>
      <c r="J50" s="39"/>
      <c r="K50" s="39"/>
      <c r="L50" s="39"/>
      <c r="M50" s="39"/>
      <c r="N50" s="39"/>
      <c r="O50" s="39"/>
      <c r="P50" s="39"/>
      <c r="Q50" s="39"/>
      <c r="R50" s="39"/>
      <c r="S50" s="71"/>
      <c r="T50" s="72"/>
      <c r="U50" s="72"/>
      <c r="V50" s="73"/>
      <c r="W50" s="72"/>
      <c r="X50" s="72"/>
      <c r="Y50" s="72"/>
      <c r="Z50" s="72"/>
      <c r="AA50" s="72"/>
      <c r="AB50" s="72"/>
    </row>
    <row r="51" spans="1:28" s="70" customFormat="1" ht="12" customHeight="1">
      <c r="B51" s="54"/>
      <c r="C51" s="39"/>
      <c r="D51" s="39"/>
      <c r="E51" s="39"/>
      <c r="F51" s="39"/>
      <c r="G51" s="39"/>
      <c r="H51" s="39"/>
      <c r="I51" s="39"/>
      <c r="J51" s="39"/>
      <c r="K51" s="39"/>
      <c r="L51" s="39"/>
      <c r="M51" s="39"/>
      <c r="N51" s="39"/>
      <c r="O51" s="39"/>
      <c r="P51" s="39"/>
      <c r="Q51" s="39"/>
      <c r="R51" s="39"/>
      <c r="S51" s="71"/>
      <c r="T51" s="72"/>
      <c r="U51" s="72"/>
      <c r="V51" s="73"/>
      <c r="W51" s="72"/>
      <c r="X51" s="72"/>
      <c r="Y51" s="72"/>
      <c r="Z51" s="72"/>
      <c r="AA51" s="72"/>
      <c r="AB51" s="72"/>
    </row>
    <row r="52" spans="1:28" s="70" customFormat="1" ht="12" customHeight="1">
      <c r="B52" s="53"/>
      <c r="C52" s="39"/>
      <c r="D52" s="39"/>
      <c r="E52" s="39"/>
      <c r="F52" s="39"/>
      <c r="G52" s="39"/>
      <c r="H52" s="39"/>
      <c r="I52" s="39"/>
      <c r="J52" s="39"/>
      <c r="K52" s="39"/>
      <c r="L52" s="39"/>
      <c r="M52" s="39"/>
      <c r="N52" s="39"/>
      <c r="O52" s="39"/>
      <c r="P52" s="39"/>
      <c r="Q52" s="39"/>
      <c r="R52" s="39"/>
      <c r="S52" s="71"/>
      <c r="T52" s="72"/>
      <c r="U52" s="72"/>
      <c r="V52" s="73"/>
      <c r="W52" s="72"/>
      <c r="X52" s="72"/>
      <c r="Y52" s="72"/>
      <c r="Z52" s="72"/>
      <c r="AA52" s="72"/>
      <c r="AB52" s="72"/>
    </row>
    <row r="53" spans="1:28" s="70" customFormat="1" ht="12" customHeight="1">
      <c r="B53" s="54"/>
      <c r="C53" s="39"/>
      <c r="D53" s="39"/>
      <c r="E53" s="39"/>
      <c r="F53" s="39"/>
      <c r="G53" s="39"/>
      <c r="H53" s="39"/>
      <c r="I53" s="39"/>
      <c r="J53" s="39"/>
      <c r="K53" s="39"/>
      <c r="L53" s="39"/>
      <c r="M53" s="39"/>
      <c r="N53" s="39"/>
      <c r="O53" s="39"/>
      <c r="P53" s="39"/>
      <c r="Q53" s="39"/>
      <c r="R53" s="39"/>
      <c r="S53" s="71"/>
      <c r="T53" s="72"/>
      <c r="U53" s="72"/>
      <c r="V53" s="73"/>
      <c r="W53" s="72"/>
      <c r="X53" s="72"/>
      <c r="Y53" s="72"/>
      <c r="Z53" s="72"/>
      <c r="AA53" s="74"/>
      <c r="AB53" s="72"/>
    </row>
    <row r="54" spans="1:28" s="81" customFormat="1" ht="12" customHeight="1">
      <c r="A54" s="75"/>
      <c r="B54" s="76"/>
      <c r="C54" s="77"/>
      <c r="D54" s="77"/>
      <c r="E54" s="77"/>
      <c r="F54" s="77"/>
      <c r="G54" s="77"/>
      <c r="H54" s="77"/>
      <c r="I54" s="77"/>
      <c r="J54" s="78"/>
      <c r="K54" s="78"/>
      <c r="L54" s="78"/>
      <c r="M54" s="78"/>
      <c r="N54" s="78"/>
      <c r="O54" s="78"/>
      <c r="P54" s="78"/>
      <c r="Q54" s="78"/>
      <c r="R54" s="78"/>
      <c r="S54" s="78"/>
      <c r="T54" s="78"/>
      <c r="U54" s="79"/>
      <c r="V54" s="80"/>
      <c r="W54" s="80"/>
      <c r="X54" s="79"/>
      <c r="Y54" s="79"/>
      <c r="Z54" s="79"/>
      <c r="AA54" s="79"/>
      <c r="AB54" s="79"/>
    </row>
    <row r="55" spans="1:28" s="81" customFormat="1" ht="12" customHeight="1">
      <c r="A55" s="82"/>
      <c r="B55" s="83"/>
      <c r="C55" s="78"/>
      <c r="D55" s="78"/>
      <c r="E55" s="78"/>
      <c r="F55" s="78"/>
      <c r="G55" s="78"/>
      <c r="H55" s="78"/>
      <c r="I55" s="78"/>
      <c r="J55" s="78"/>
      <c r="K55" s="78"/>
      <c r="L55" s="78"/>
      <c r="M55" s="78"/>
      <c r="N55" s="78"/>
      <c r="O55" s="78"/>
      <c r="P55" s="78"/>
      <c r="Q55" s="78"/>
      <c r="R55" s="78"/>
      <c r="S55" s="78"/>
      <c r="T55" s="78"/>
      <c r="U55" s="79"/>
      <c r="V55" s="80"/>
      <c r="W55" s="80"/>
      <c r="X55" s="79"/>
      <c r="Y55" s="79"/>
      <c r="Z55" s="79"/>
      <c r="AA55" s="79"/>
      <c r="AB55" s="79"/>
    </row>
    <row r="56" spans="1:28" ht="12" customHeight="1">
      <c r="A56" s="82"/>
      <c r="B56" s="53"/>
      <c r="C56" s="39"/>
      <c r="D56" s="39"/>
      <c r="E56" s="39"/>
      <c r="F56" s="39"/>
      <c r="G56" s="39"/>
      <c r="H56" s="39"/>
      <c r="I56" s="39"/>
      <c r="J56" s="39"/>
      <c r="K56" s="39"/>
      <c r="L56" s="39"/>
      <c r="M56" s="39"/>
      <c r="N56" s="39"/>
      <c r="O56" s="39"/>
      <c r="P56" s="39"/>
      <c r="Q56" s="39"/>
      <c r="R56" s="39"/>
      <c r="S56" s="39"/>
      <c r="T56" s="39"/>
    </row>
    <row r="57" spans="1:28" s="34" customFormat="1" ht="12" customHeight="1">
      <c r="A57" s="86"/>
      <c r="B57" s="87"/>
      <c r="C57" s="88"/>
      <c r="D57" s="89"/>
      <c r="E57" s="88"/>
      <c r="F57" s="88"/>
      <c r="G57" s="89"/>
      <c r="H57" s="89"/>
      <c r="I57" s="88"/>
      <c r="J57" s="89"/>
      <c r="K57" s="88"/>
      <c r="L57" s="89"/>
      <c r="M57" s="88"/>
      <c r="N57" s="88"/>
      <c r="O57" s="39"/>
      <c r="P57" s="39"/>
      <c r="Q57" s="39"/>
      <c r="R57" s="39"/>
      <c r="S57" s="39"/>
      <c r="T57" s="39"/>
      <c r="U57" s="84"/>
      <c r="V57" s="84"/>
      <c r="W57" s="84"/>
      <c r="X57" s="84"/>
      <c r="Y57" s="35"/>
      <c r="Z57" s="35"/>
      <c r="AA57" s="35"/>
      <c r="AB57" s="35"/>
    </row>
    <row r="58" spans="1:28" s="34" customFormat="1" ht="12" customHeight="1">
      <c r="A58" s="90"/>
      <c r="B58" s="91"/>
      <c r="C58" s="92"/>
      <c r="D58" s="93"/>
      <c r="E58" s="92"/>
      <c r="F58" s="92"/>
      <c r="G58" s="93"/>
      <c r="H58" s="93"/>
      <c r="I58" s="92"/>
      <c r="J58" s="93"/>
      <c r="K58" s="92"/>
      <c r="L58" s="93"/>
      <c r="M58" s="92"/>
      <c r="N58" s="92"/>
      <c r="O58" s="94"/>
      <c r="P58" s="94"/>
      <c r="Q58" s="94"/>
      <c r="R58" s="94"/>
      <c r="S58" s="94"/>
      <c r="T58" s="94"/>
      <c r="U58" s="84"/>
      <c r="V58" s="84"/>
      <c r="W58" s="84"/>
      <c r="X58" s="84"/>
      <c r="Y58" s="35"/>
      <c r="Z58" s="35"/>
      <c r="AA58" s="35"/>
      <c r="AB58" s="35"/>
    </row>
    <row r="59" spans="1:28" s="34" customFormat="1" ht="12" customHeight="1">
      <c r="A59" s="75"/>
      <c r="B59" s="91"/>
      <c r="C59" s="92"/>
      <c r="D59" s="93"/>
      <c r="E59" s="92"/>
      <c r="F59" s="92"/>
      <c r="G59" s="93"/>
      <c r="H59" s="93"/>
      <c r="I59" s="92"/>
      <c r="J59" s="93"/>
      <c r="K59" s="92"/>
      <c r="L59" s="93"/>
      <c r="M59" s="92"/>
      <c r="N59" s="92"/>
      <c r="O59" s="94"/>
      <c r="P59" s="94"/>
      <c r="Q59" s="94"/>
      <c r="R59" s="94"/>
      <c r="S59" s="94"/>
      <c r="T59" s="94"/>
      <c r="U59" s="84"/>
      <c r="V59" s="84"/>
      <c r="W59" s="84"/>
      <c r="X59" s="84"/>
      <c r="Y59" s="35"/>
      <c r="Z59" s="35"/>
      <c r="AA59" s="35"/>
      <c r="AB59" s="35"/>
    </row>
    <row r="60" spans="1:28" s="34" customFormat="1" ht="12" customHeight="1">
      <c r="A60" s="95"/>
      <c r="B60" s="91"/>
      <c r="C60" s="92"/>
      <c r="D60" s="93"/>
      <c r="E60" s="92"/>
      <c r="F60" s="92"/>
      <c r="G60" s="93"/>
      <c r="H60" s="93"/>
      <c r="I60" s="92"/>
      <c r="J60" s="93"/>
      <c r="K60" s="92"/>
      <c r="L60" s="93"/>
      <c r="M60" s="92"/>
      <c r="N60" s="92"/>
      <c r="O60" s="84"/>
      <c r="P60" s="84"/>
      <c r="Q60" s="84"/>
      <c r="R60" s="84"/>
      <c r="S60" s="84"/>
      <c r="T60" s="84"/>
      <c r="U60" s="84"/>
      <c r="V60" s="84"/>
      <c r="W60" s="84"/>
      <c r="X60" s="84"/>
      <c r="Y60" s="35"/>
      <c r="Z60" s="35"/>
      <c r="AA60" s="35"/>
      <c r="AB60" s="35"/>
    </row>
    <row r="61" spans="1:28" s="34" customFormat="1" ht="12" customHeight="1">
      <c r="A61" s="96"/>
      <c r="B61" s="91"/>
      <c r="C61" s="92"/>
      <c r="D61" s="93"/>
      <c r="E61" s="92"/>
      <c r="F61" s="92"/>
      <c r="G61" s="93"/>
      <c r="H61" s="93"/>
      <c r="I61" s="92"/>
      <c r="J61" s="93"/>
      <c r="K61" s="92"/>
      <c r="L61" s="93"/>
      <c r="M61" s="92"/>
      <c r="N61" s="92"/>
      <c r="O61" s="84"/>
      <c r="P61" s="84"/>
      <c r="Q61" s="84"/>
      <c r="R61" s="84"/>
      <c r="S61" s="84"/>
      <c r="T61" s="84"/>
      <c r="U61" s="84"/>
      <c r="V61" s="84"/>
      <c r="W61" s="84"/>
      <c r="X61" s="84"/>
      <c r="Y61" s="35"/>
      <c r="Z61" s="35"/>
      <c r="AA61" s="35"/>
      <c r="AB61" s="35"/>
    </row>
    <row r="62" spans="1:28" s="34" customFormat="1" ht="12" customHeight="1">
      <c r="A62" s="96"/>
      <c r="B62" s="91"/>
      <c r="C62" s="92"/>
      <c r="D62" s="93"/>
      <c r="E62" s="92"/>
      <c r="F62" s="92"/>
      <c r="G62" s="93"/>
      <c r="H62" s="93"/>
      <c r="I62" s="92"/>
      <c r="J62" s="93"/>
      <c r="K62" s="92"/>
      <c r="L62" s="93"/>
      <c r="M62" s="92"/>
      <c r="N62" s="92"/>
      <c r="O62" s="84"/>
      <c r="P62" s="84"/>
      <c r="Q62" s="84"/>
      <c r="R62" s="84"/>
      <c r="S62" s="84"/>
      <c r="T62" s="84"/>
      <c r="U62" s="84"/>
      <c r="V62" s="84"/>
      <c r="W62" s="84"/>
      <c r="X62" s="84"/>
      <c r="Y62" s="35"/>
      <c r="Z62" s="35"/>
      <c r="AA62" s="35"/>
      <c r="AB62" s="35"/>
    </row>
    <row r="63" spans="1:28" ht="12" customHeight="1">
      <c r="A63" s="97"/>
    </row>
    <row r="64" spans="1:28" ht="12" customHeight="1">
      <c r="A64" s="98"/>
    </row>
  </sheetData>
  <dataValidations count="3">
    <dataValidation type="list" allowBlank="1" showInputMessage="1" showErrorMessage="1" sqref="B7" xr:uid="{C3AA4FEB-0BEE-6949-B458-C9DCDBE2BC3A}">
      <formula1>"Both Directions,Inwards,Outwards"</formula1>
    </dataValidation>
    <dataValidation type="list" allowBlank="1" showInputMessage="1" showErrorMessage="1" sqref="B8" xr:uid="{9B1125D0-2E3E-1248-BCF1-5EFF140C8163}">
      <formula1>"Tonnage,Units,TEU"</formula1>
    </dataValidation>
    <dataValidation type="list" allowBlank="1" showInputMessage="1" showErrorMessage="1" sqref="B9" xr:uid="{9A0B832A-3EE1-7742-B832-A4C81AF95D7A}">
      <formula1>"All Routes,International,Domestic,Unspecified"</formula1>
    </dataValidation>
  </dataValidations>
  <pageMargins left="0.25" right="0.25" top="0.75" bottom="0.75" header="0.3" footer="0.3"/>
  <pageSetup paperSize="0" fitToHeight="0" orientation="landscape" horizontalDpi="0" verticalDpi="0" copies="0"/>
  <headerFooter alignWithMargins="0">
    <oddHeader xml:space="preserve">&amp;C&amp;"Calibri,Regular"&amp;10&amp;K000000 OFFICIAL-SENSITIVE&amp;1#
</oddHeader>
    <oddFooter>&amp;C
&amp;1#&amp;"Calibri,Regular"&amp;10&amp;K000000 OFFICIAL-SENSITIVE</oddFooter>
  </headerFooter>
  <tableParts count="1">
    <tablePart r:id="rId1"/>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D6E9-5532-BC4B-A9F9-A95303A70440}">
  <dimension ref="A1:E15"/>
  <sheetViews>
    <sheetView workbookViewId="0"/>
  </sheetViews>
  <sheetFormatPr baseColWidth="10" defaultColWidth="11.1640625" defaultRowHeight="13.25"/>
  <cols>
    <col min="1" max="1" width="18.5" style="99" customWidth="1"/>
    <col min="2" max="2" width="100.6640625" style="99" customWidth="1"/>
    <col min="3" max="3" width="11.1640625" style="99" customWidth="1"/>
    <col min="4" max="16384" width="11.1640625" style="99"/>
  </cols>
  <sheetData>
    <row r="1" spans="1:5" ht="17" customHeight="1">
      <c r="A1" s="21" t="s">
        <v>109</v>
      </c>
    </row>
    <row r="2" spans="1:5" ht="13.75" customHeight="1">
      <c r="A2" s="24" t="s">
        <v>16</v>
      </c>
    </row>
    <row r="3" spans="1:5" ht="28" customHeight="1">
      <c r="A3" s="107" t="s">
        <v>110</v>
      </c>
      <c r="B3" s="107"/>
    </row>
    <row r="4" spans="1:5" ht="22" customHeight="1">
      <c r="A4" s="100" t="s">
        <v>111</v>
      </c>
      <c r="B4" s="100" t="s">
        <v>112</v>
      </c>
    </row>
    <row r="5" spans="1:5" ht="14">
      <c r="A5" s="101" t="s">
        <v>113</v>
      </c>
      <c r="B5" s="102" t="s">
        <v>114</v>
      </c>
    </row>
    <row r="6" spans="1:5" ht="46.75" customHeight="1">
      <c r="A6" s="101" t="s">
        <v>115</v>
      </c>
      <c r="B6" s="102" t="s">
        <v>116</v>
      </c>
    </row>
    <row r="7" spans="1:5" ht="34" customHeight="1">
      <c r="A7" s="101" t="s">
        <v>117</v>
      </c>
      <c r="B7" s="102" t="s">
        <v>118</v>
      </c>
    </row>
    <row r="8" spans="1:5" ht="43.5" customHeight="1">
      <c r="A8" s="101" t="s">
        <v>119</v>
      </c>
      <c r="B8" s="103" t="s">
        <v>120</v>
      </c>
    </row>
    <row r="9" spans="1:5" ht="21" customHeight="1">
      <c r="A9" s="101" t="s">
        <v>121</v>
      </c>
      <c r="B9" s="104" t="s">
        <v>122</v>
      </c>
    </row>
    <row r="10" spans="1:5" ht="23" customHeight="1">
      <c r="A10" s="101" t="s">
        <v>123</v>
      </c>
      <c r="B10" s="104" t="s">
        <v>124</v>
      </c>
    </row>
    <row r="11" spans="1:5" ht="42">
      <c r="A11" s="101" t="s">
        <v>125</v>
      </c>
      <c r="B11" s="104" t="s">
        <v>126</v>
      </c>
    </row>
    <row r="12" spans="1:5" ht="13">
      <c r="E12" s="105"/>
    </row>
    <row r="13" spans="1:5" ht="13">
      <c r="E13" s="105"/>
    </row>
    <row r="14" spans="1:5" ht="13">
      <c r="E14" s="105"/>
    </row>
    <row r="15" spans="1:5" ht="13">
      <c r="B15" s="106"/>
      <c r="E15" s="105"/>
    </row>
  </sheetData>
  <mergeCells count="1">
    <mergeCell ref="A3:B3"/>
  </mergeCells>
  <pageMargins left="0.7" right="0.7" top="0.75" bottom="0.75" header="0.3" footer="0.3"/>
  <pageSetup paperSize="0" fitToWidth="0" fitToHeight="0" orientation="portrait" horizontalDpi="0" verticalDpi="0" copies="0"/>
  <headerFooter>
    <oddHeader xml:space="preserve">&amp;C&amp;"Calibri,Regular"&amp;10&amp;K000000 OFFICIAL-SENSITIVE&amp;1#
</oddHeader>
    <oddFooter>&amp;C
&amp;1#&amp;"Calibri,Regular"&amp;10&amp;K000000 OFFICIAL-SENSITIVE</oddFooter>
  </headerFooter>
  <tableParts count="1">
    <tablePart r:id="rId1"/>
  </tableParts>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46071-636A-F448-92EE-23AD5E271782}">
  <dimension ref="A1:H4467"/>
  <sheetViews>
    <sheetView workbookViewId="0"/>
  </sheetViews>
  <sheetFormatPr baseColWidth="10" defaultColWidth="11.6640625" defaultRowHeight="13.75"/>
  <cols>
    <col min="1" max="1" width="9.33203125" style="23" customWidth="1"/>
    <col min="2" max="2" width="18.33203125" style="23" customWidth="1"/>
    <col min="3" max="3" width="15" style="23" customWidth="1"/>
    <col min="4" max="4" width="29.5" style="23" customWidth="1"/>
    <col min="5" max="5" width="25.1640625" style="23" customWidth="1"/>
    <col min="6" max="6" width="12.33203125" style="23" customWidth="1"/>
    <col min="7" max="7" width="24" style="23" customWidth="1"/>
    <col min="8" max="8" width="17.1640625" style="23" customWidth="1"/>
    <col min="9" max="9" width="11.6640625" style="23" customWidth="1"/>
    <col min="10" max="16384" width="11.6640625" style="23"/>
  </cols>
  <sheetData>
    <row r="1" spans="1:8" ht="16">
      <c r="A1" s="21" t="s">
        <v>127</v>
      </c>
      <c r="B1" s="108"/>
      <c r="C1" s="108"/>
      <c r="D1" s="108"/>
    </row>
    <row r="2" spans="1:8" ht="14">
      <c r="A2" s="24" t="s">
        <v>16</v>
      </c>
      <c r="B2" s="108"/>
      <c r="C2" s="108"/>
      <c r="D2" s="108"/>
    </row>
    <row r="3" spans="1:8" ht="14">
      <c r="A3" s="108" t="s">
        <v>128</v>
      </c>
      <c r="B3" s="108"/>
      <c r="C3" s="108"/>
      <c r="D3" s="108"/>
    </row>
    <row r="4" spans="1:8" ht="14">
      <c r="A4" s="109" t="s">
        <v>129</v>
      </c>
      <c r="B4" s="109" t="s">
        <v>130</v>
      </c>
      <c r="C4" s="109" t="s">
        <v>29</v>
      </c>
      <c r="D4" s="109" t="s">
        <v>32</v>
      </c>
      <c r="E4" s="109" t="s">
        <v>131</v>
      </c>
      <c r="F4" s="109" t="s">
        <v>132</v>
      </c>
      <c r="G4" s="109" t="s">
        <v>133</v>
      </c>
      <c r="H4" s="109" t="s">
        <v>134</v>
      </c>
    </row>
    <row r="5" spans="1:8" ht="14">
      <c r="A5" s="108">
        <v>2000</v>
      </c>
      <c r="B5" s="108">
        <v>11</v>
      </c>
      <c r="C5" s="108" t="s">
        <v>30</v>
      </c>
      <c r="D5" s="108">
        <v>2374.68751520563</v>
      </c>
      <c r="E5" s="108">
        <v>0</v>
      </c>
      <c r="F5" s="108" t="s">
        <v>135</v>
      </c>
      <c r="G5" s="108"/>
      <c r="H5" s="108">
        <v>1</v>
      </c>
    </row>
    <row r="6" spans="1:8" ht="14">
      <c r="A6" s="108">
        <v>2000</v>
      </c>
      <c r="B6" s="108">
        <v>11</v>
      </c>
      <c r="C6" s="108" t="s">
        <v>30</v>
      </c>
      <c r="D6" s="108">
        <v>4115.3065798322496</v>
      </c>
      <c r="E6" s="108">
        <v>0</v>
      </c>
      <c r="F6" s="108" t="s">
        <v>136</v>
      </c>
      <c r="G6" s="108"/>
      <c r="H6" s="108">
        <v>1</v>
      </c>
    </row>
    <row r="7" spans="1:8" ht="14">
      <c r="A7" s="108">
        <v>2000</v>
      </c>
      <c r="B7" s="108">
        <v>11</v>
      </c>
      <c r="C7" s="108" t="s">
        <v>30</v>
      </c>
      <c r="D7" s="108">
        <v>9.7409049621103296</v>
      </c>
      <c r="E7" s="108">
        <v>0</v>
      </c>
      <c r="F7" s="108" t="s">
        <v>137</v>
      </c>
      <c r="G7" s="108"/>
      <c r="H7" s="108">
        <v>1</v>
      </c>
    </row>
    <row r="8" spans="1:8" ht="14">
      <c r="A8" s="108">
        <v>2000</v>
      </c>
      <c r="B8" s="108">
        <v>11</v>
      </c>
      <c r="C8" s="108" t="s">
        <v>138</v>
      </c>
      <c r="D8" s="108">
        <v>1185.77791511183</v>
      </c>
      <c r="E8" s="108">
        <v>0</v>
      </c>
      <c r="F8" s="108" t="s">
        <v>135</v>
      </c>
      <c r="G8" s="108"/>
      <c r="H8" s="108">
        <v>1</v>
      </c>
    </row>
    <row r="9" spans="1:8" ht="14">
      <c r="A9" s="108">
        <v>2000</v>
      </c>
      <c r="B9" s="108">
        <v>11</v>
      </c>
      <c r="C9" s="108" t="s">
        <v>138</v>
      </c>
      <c r="D9" s="108">
        <v>580.06664442030103</v>
      </c>
      <c r="E9" s="108">
        <v>0</v>
      </c>
      <c r="F9" s="108" t="s">
        <v>136</v>
      </c>
      <c r="G9" s="108"/>
      <c r="H9" s="108">
        <v>1</v>
      </c>
    </row>
    <row r="10" spans="1:8" ht="14">
      <c r="A10" s="108">
        <v>2000</v>
      </c>
      <c r="B10" s="108">
        <v>11</v>
      </c>
      <c r="C10" s="108" t="s">
        <v>138</v>
      </c>
      <c r="D10" s="108">
        <v>1.0524404678652799</v>
      </c>
      <c r="E10" s="108">
        <v>0</v>
      </c>
      <c r="F10" s="108" t="s">
        <v>137</v>
      </c>
      <c r="G10" s="108"/>
      <c r="H10" s="108">
        <v>1</v>
      </c>
    </row>
    <row r="11" spans="1:8" ht="14">
      <c r="A11" s="108">
        <v>2000</v>
      </c>
      <c r="B11" s="108">
        <v>11</v>
      </c>
      <c r="C11" s="108" t="s">
        <v>139</v>
      </c>
      <c r="D11" s="108">
        <v>3535.2399354119498</v>
      </c>
      <c r="E11" s="108">
        <v>0</v>
      </c>
      <c r="F11" s="108" t="s">
        <v>136</v>
      </c>
      <c r="G11" s="108"/>
      <c r="H11" s="108">
        <v>1</v>
      </c>
    </row>
    <row r="12" spans="1:8" ht="14">
      <c r="A12" s="108">
        <v>2000</v>
      </c>
      <c r="B12" s="108">
        <v>11</v>
      </c>
      <c r="C12" s="108" t="s">
        <v>139</v>
      </c>
      <c r="D12" s="108">
        <v>8.68846449424505</v>
      </c>
      <c r="E12" s="108">
        <v>0</v>
      </c>
      <c r="F12" s="108" t="s">
        <v>137</v>
      </c>
      <c r="G12" s="108"/>
      <c r="H12" s="108">
        <v>1</v>
      </c>
    </row>
    <row r="13" spans="1:8" ht="14">
      <c r="A13" s="108">
        <v>2000</v>
      </c>
      <c r="B13" s="108">
        <v>11</v>
      </c>
      <c r="C13" s="108" t="s">
        <v>139</v>
      </c>
      <c r="D13" s="108">
        <v>1188.90960009379</v>
      </c>
      <c r="E13" s="108">
        <v>0</v>
      </c>
      <c r="F13" s="108" t="s">
        <v>135</v>
      </c>
      <c r="G13" s="108"/>
      <c r="H13" s="108">
        <v>1</v>
      </c>
    </row>
    <row r="14" spans="1:8" ht="14">
      <c r="A14" s="108">
        <v>2000</v>
      </c>
      <c r="B14" s="108">
        <v>12</v>
      </c>
      <c r="C14" s="108" t="s">
        <v>30</v>
      </c>
      <c r="D14" s="108">
        <v>101.146</v>
      </c>
      <c r="E14" s="108">
        <v>0</v>
      </c>
      <c r="F14" s="108" t="s">
        <v>137</v>
      </c>
      <c r="G14" s="108"/>
      <c r="H14" s="108">
        <v>1</v>
      </c>
    </row>
    <row r="15" spans="1:8" ht="14">
      <c r="A15" s="108">
        <v>2000</v>
      </c>
      <c r="B15" s="108">
        <v>12</v>
      </c>
      <c r="C15" s="108" t="s">
        <v>30</v>
      </c>
      <c r="D15" s="108">
        <v>61409.376593958201</v>
      </c>
      <c r="E15" s="108">
        <v>0</v>
      </c>
      <c r="F15" s="108" t="s">
        <v>135</v>
      </c>
      <c r="G15" s="108"/>
      <c r="H15" s="108">
        <v>1</v>
      </c>
    </row>
    <row r="16" spans="1:8" ht="14">
      <c r="A16" s="108">
        <v>2000</v>
      </c>
      <c r="B16" s="108">
        <v>12</v>
      </c>
      <c r="C16" s="108" t="s">
        <v>30</v>
      </c>
      <c r="D16" s="108">
        <v>122833.825406041</v>
      </c>
      <c r="E16" s="108">
        <v>0</v>
      </c>
      <c r="F16" s="108" t="s">
        <v>136</v>
      </c>
      <c r="G16" s="108"/>
      <c r="H16" s="108">
        <v>1</v>
      </c>
    </row>
    <row r="17" spans="1:8" ht="14">
      <c r="A17" s="108">
        <v>2000</v>
      </c>
      <c r="B17" s="108">
        <v>12</v>
      </c>
      <c r="C17" s="108" t="s">
        <v>138</v>
      </c>
      <c r="D17" s="108">
        <v>39953.245739894497</v>
      </c>
      <c r="E17" s="108">
        <v>0</v>
      </c>
      <c r="F17" s="108" t="s">
        <v>136</v>
      </c>
      <c r="G17" s="108"/>
      <c r="H17" s="108">
        <v>1</v>
      </c>
    </row>
    <row r="18" spans="1:8" ht="14">
      <c r="A18" s="108">
        <v>2000</v>
      </c>
      <c r="B18" s="108">
        <v>12</v>
      </c>
      <c r="C18" s="108" t="s">
        <v>138</v>
      </c>
      <c r="D18" s="108">
        <v>42880.861260105397</v>
      </c>
      <c r="E18" s="108">
        <v>0</v>
      </c>
      <c r="F18" s="108" t="s">
        <v>135</v>
      </c>
      <c r="G18" s="108"/>
      <c r="H18" s="108">
        <v>1</v>
      </c>
    </row>
    <row r="19" spans="1:8" ht="14">
      <c r="A19" s="108">
        <v>2000</v>
      </c>
      <c r="B19" s="108">
        <v>12</v>
      </c>
      <c r="C19" s="108" t="s">
        <v>138</v>
      </c>
      <c r="D19" s="108">
        <v>90.146000000000001</v>
      </c>
      <c r="E19" s="108">
        <v>0</v>
      </c>
      <c r="F19" s="108" t="s">
        <v>137</v>
      </c>
      <c r="G19" s="108"/>
      <c r="H19" s="108">
        <v>1</v>
      </c>
    </row>
    <row r="20" spans="1:8" ht="14">
      <c r="A20" s="108">
        <v>2000</v>
      </c>
      <c r="B20" s="108">
        <v>12</v>
      </c>
      <c r="C20" s="108" t="s">
        <v>139</v>
      </c>
      <c r="D20" s="108">
        <v>18528.515333852702</v>
      </c>
      <c r="E20" s="108">
        <v>0</v>
      </c>
      <c r="F20" s="108" t="s">
        <v>135</v>
      </c>
      <c r="G20" s="108"/>
      <c r="H20" s="108">
        <v>1</v>
      </c>
    </row>
    <row r="21" spans="1:8" ht="14">
      <c r="A21" s="108">
        <v>2000</v>
      </c>
      <c r="B21" s="108">
        <v>12</v>
      </c>
      <c r="C21" s="108" t="s">
        <v>139</v>
      </c>
      <c r="D21" s="108">
        <v>82880.579666147198</v>
      </c>
      <c r="E21" s="108">
        <v>0</v>
      </c>
      <c r="F21" s="108" t="s">
        <v>136</v>
      </c>
      <c r="G21" s="108"/>
      <c r="H21" s="108">
        <v>1</v>
      </c>
    </row>
    <row r="22" spans="1:8" ht="14">
      <c r="A22" s="108">
        <v>2000</v>
      </c>
      <c r="B22" s="108">
        <v>12</v>
      </c>
      <c r="C22" s="108" t="s">
        <v>139</v>
      </c>
      <c r="D22" s="108">
        <v>11</v>
      </c>
      <c r="E22" s="108">
        <v>0</v>
      </c>
      <c r="F22" s="108" t="s">
        <v>137</v>
      </c>
      <c r="G22" s="108"/>
      <c r="H22" s="108">
        <v>1</v>
      </c>
    </row>
    <row r="23" spans="1:8" ht="14">
      <c r="A23" s="108">
        <v>2000</v>
      </c>
      <c r="B23" s="108">
        <v>13</v>
      </c>
      <c r="C23" s="108" t="s">
        <v>30</v>
      </c>
      <c r="D23" s="108">
        <v>89.084454721489905</v>
      </c>
      <c r="E23" s="108">
        <v>0</v>
      </c>
      <c r="F23" s="108" t="s">
        <v>137</v>
      </c>
      <c r="G23" s="108"/>
      <c r="H23" s="108">
        <v>1</v>
      </c>
    </row>
    <row r="24" spans="1:8" ht="14">
      <c r="A24" s="108">
        <v>2000</v>
      </c>
      <c r="B24" s="108">
        <v>13</v>
      </c>
      <c r="C24" s="108" t="s">
        <v>30</v>
      </c>
      <c r="D24" s="108">
        <v>50381.124329152197</v>
      </c>
      <c r="E24" s="108">
        <v>0</v>
      </c>
      <c r="F24" s="108" t="s">
        <v>136</v>
      </c>
      <c r="G24" s="108"/>
      <c r="H24" s="108">
        <v>1</v>
      </c>
    </row>
    <row r="25" spans="1:8" ht="14">
      <c r="A25" s="108">
        <v>2000</v>
      </c>
      <c r="B25" s="108">
        <v>13</v>
      </c>
      <c r="C25" s="108" t="s">
        <v>30</v>
      </c>
      <c r="D25" s="108">
        <v>35779.316216126201</v>
      </c>
      <c r="E25" s="108">
        <v>0</v>
      </c>
      <c r="F25" s="108" t="s">
        <v>135</v>
      </c>
      <c r="G25" s="108"/>
      <c r="H25" s="108">
        <v>1</v>
      </c>
    </row>
    <row r="26" spans="1:8" ht="14">
      <c r="A26" s="108">
        <v>2000</v>
      </c>
      <c r="B26" s="108">
        <v>13</v>
      </c>
      <c r="C26" s="108" t="s">
        <v>138</v>
      </c>
      <c r="D26" s="108">
        <v>22770.6468001748</v>
      </c>
      <c r="E26" s="108">
        <v>0</v>
      </c>
      <c r="F26" s="108" t="s">
        <v>136</v>
      </c>
      <c r="G26" s="108"/>
      <c r="H26" s="108">
        <v>1</v>
      </c>
    </row>
    <row r="27" spans="1:8" ht="14">
      <c r="A27" s="108">
        <v>2000</v>
      </c>
      <c r="B27" s="108">
        <v>13</v>
      </c>
      <c r="C27" s="108" t="s">
        <v>138</v>
      </c>
      <c r="D27" s="108">
        <v>40.453231409888701</v>
      </c>
      <c r="E27" s="108">
        <v>0</v>
      </c>
      <c r="F27" s="108" t="s">
        <v>137</v>
      </c>
      <c r="G27" s="108"/>
      <c r="H27" s="108">
        <v>1</v>
      </c>
    </row>
    <row r="28" spans="1:8" ht="14">
      <c r="A28" s="108">
        <v>2000</v>
      </c>
      <c r="B28" s="108">
        <v>13</v>
      </c>
      <c r="C28" s="108" t="s">
        <v>138</v>
      </c>
      <c r="D28" s="108">
        <v>14720.5609684152</v>
      </c>
      <c r="E28" s="108">
        <v>0</v>
      </c>
      <c r="F28" s="108" t="s">
        <v>135</v>
      </c>
      <c r="G28" s="108"/>
      <c r="H28" s="108">
        <v>1</v>
      </c>
    </row>
    <row r="29" spans="1:8" ht="14">
      <c r="A29" s="108">
        <v>2000</v>
      </c>
      <c r="B29" s="108">
        <v>13</v>
      </c>
      <c r="C29" s="108" t="s">
        <v>139</v>
      </c>
      <c r="D29" s="108">
        <v>27610.477528977299</v>
      </c>
      <c r="E29" s="108">
        <v>0</v>
      </c>
      <c r="F29" s="108" t="s">
        <v>136</v>
      </c>
      <c r="G29" s="108"/>
      <c r="H29" s="108">
        <v>1</v>
      </c>
    </row>
    <row r="30" spans="1:8" ht="14">
      <c r="A30" s="108">
        <v>2000</v>
      </c>
      <c r="B30" s="108">
        <v>13</v>
      </c>
      <c r="C30" s="108" t="s">
        <v>139</v>
      </c>
      <c r="D30" s="108">
        <v>48.631223311601197</v>
      </c>
      <c r="E30" s="108">
        <v>0</v>
      </c>
      <c r="F30" s="108" t="s">
        <v>137</v>
      </c>
      <c r="G30" s="108"/>
      <c r="H30" s="108">
        <v>1</v>
      </c>
    </row>
    <row r="31" spans="1:8" ht="14">
      <c r="A31" s="108">
        <v>2000</v>
      </c>
      <c r="B31" s="108">
        <v>13</v>
      </c>
      <c r="C31" s="108" t="s">
        <v>139</v>
      </c>
      <c r="D31" s="108">
        <v>21058.755247711</v>
      </c>
      <c r="E31" s="108">
        <v>0</v>
      </c>
      <c r="F31" s="108" t="s">
        <v>135</v>
      </c>
      <c r="G31" s="108"/>
      <c r="H31" s="108">
        <v>1</v>
      </c>
    </row>
    <row r="32" spans="1:8" ht="14">
      <c r="A32" s="108">
        <v>2000</v>
      </c>
      <c r="B32" s="108">
        <v>19</v>
      </c>
      <c r="C32" s="108" t="s">
        <v>30</v>
      </c>
      <c r="D32" s="108">
        <v>24.510110866432999</v>
      </c>
      <c r="E32" s="108">
        <v>0</v>
      </c>
      <c r="F32" s="108" t="s">
        <v>137</v>
      </c>
      <c r="G32" s="108"/>
      <c r="H32" s="108">
        <v>1</v>
      </c>
    </row>
    <row r="33" spans="1:8" ht="14">
      <c r="A33" s="108">
        <v>2000</v>
      </c>
      <c r="B33" s="108">
        <v>19</v>
      </c>
      <c r="C33" s="108" t="s">
        <v>30</v>
      </c>
      <c r="D33" s="108">
        <v>10722.781242119399</v>
      </c>
      <c r="E33" s="108">
        <v>0</v>
      </c>
      <c r="F33" s="108" t="s">
        <v>136</v>
      </c>
      <c r="G33" s="108"/>
      <c r="H33" s="108">
        <v>1</v>
      </c>
    </row>
    <row r="34" spans="1:8" ht="14">
      <c r="A34" s="108">
        <v>2000</v>
      </c>
      <c r="B34" s="108">
        <v>19</v>
      </c>
      <c r="C34" s="108" t="s">
        <v>30</v>
      </c>
      <c r="D34" s="108">
        <v>2709.3586470141599</v>
      </c>
      <c r="E34" s="108">
        <v>0</v>
      </c>
      <c r="F34" s="108" t="s">
        <v>135</v>
      </c>
      <c r="G34" s="108"/>
      <c r="H34" s="108">
        <v>1</v>
      </c>
    </row>
    <row r="35" spans="1:8" ht="14">
      <c r="A35" s="108">
        <v>2000</v>
      </c>
      <c r="B35" s="108">
        <v>19</v>
      </c>
      <c r="C35" s="108" t="s">
        <v>138</v>
      </c>
      <c r="D35" s="108">
        <v>13.150332770397901</v>
      </c>
      <c r="E35" s="108">
        <v>0</v>
      </c>
      <c r="F35" s="108" t="s">
        <v>137</v>
      </c>
      <c r="G35" s="108"/>
      <c r="H35" s="108">
        <v>1</v>
      </c>
    </row>
    <row r="36" spans="1:8" ht="14">
      <c r="A36" s="108">
        <v>2000</v>
      </c>
      <c r="B36" s="108">
        <v>19</v>
      </c>
      <c r="C36" s="108" t="s">
        <v>138</v>
      </c>
      <c r="D36" s="108">
        <v>1397.38493651932</v>
      </c>
      <c r="E36" s="108">
        <v>0</v>
      </c>
      <c r="F36" s="108" t="s">
        <v>135</v>
      </c>
      <c r="G36" s="108"/>
      <c r="H36" s="108">
        <v>1</v>
      </c>
    </row>
    <row r="37" spans="1:8" ht="14">
      <c r="A37" s="108">
        <v>2000</v>
      </c>
      <c r="B37" s="108">
        <v>19</v>
      </c>
      <c r="C37" s="108" t="s">
        <v>138</v>
      </c>
      <c r="D37" s="108">
        <v>6507.9687307102704</v>
      </c>
      <c r="E37" s="108">
        <v>0</v>
      </c>
      <c r="F37" s="108" t="s">
        <v>136</v>
      </c>
      <c r="G37" s="108"/>
      <c r="H37" s="108">
        <v>1</v>
      </c>
    </row>
    <row r="38" spans="1:8" ht="14">
      <c r="A38" s="108">
        <v>2000</v>
      </c>
      <c r="B38" s="108">
        <v>19</v>
      </c>
      <c r="C38" s="108" t="s">
        <v>139</v>
      </c>
      <c r="D38" s="108">
        <v>1311.9737104948399</v>
      </c>
      <c r="E38" s="108">
        <v>0</v>
      </c>
      <c r="F38" s="108" t="s">
        <v>135</v>
      </c>
      <c r="G38" s="108"/>
      <c r="H38" s="108">
        <v>1</v>
      </c>
    </row>
    <row r="39" spans="1:8" ht="14">
      <c r="A39" s="108">
        <v>2000</v>
      </c>
      <c r="B39" s="108">
        <v>19</v>
      </c>
      <c r="C39" s="108" t="s">
        <v>139</v>
      </c>
      <c r="D39" s="108">
        <v>4214.8125114091199</v>
      </c>
      <c r="E39" s="108">
        <v>0</v>
      </c>
      <c r="F39" s="108" t="s">
        <v>136</v>
      </c>
      <c r="G39" s="108"/>
      <c r="H39" s="108">
        <v>1</v>
      </c>
    </row>
    <row r="40" spans="1:8" ht="14">
      <c r="A40" s="108">
        <v>2000</v>
      </c>
      <c r="B40" s="108">
        <v>19</v>
      </c>
      <c r="C40" s="108" t="s">
        <v>139</v>
      </c>
      <c r="D40" s="108">
        <v>11.3597780960351</v>
      </c>
      <c r="E40" s="108">
        <v>0</v>
      </c>
      <c r="F40" s="108" t="s">
        <v>137</v>
      </c>
      <c r="G40" s="108"/>
      <c r="H40" s="108">
        <v>1</v>
      </c>
    </row>
    <row r="41" spans="1:8" ht="14">
      <c r="A41" s="108">
        <v>2000</v>
      </c>
      <c r="B41" s="108">
        <v>21</v>
      </c>
      <c r="C41" s="108" t="s">
        <v>30</v>
      </c>
      <c r="D41" s="108">
        <v>10.5531281812699</v>
      </c>
      <c r="E41" s="108">
        <v>0</v>
      </c>
      <c r="F41" s="108" t="s">
        <v>135</v>
      </c>
      <c r="G41" s="108"/>
      <c r="H41" s="108">
        <v>1</v>
      </c>
    </row>
    <row r="42" spans="1:8" ht="14">
      <c r="A42" s="108">
        <v>2000</v>
      </c>
      <c r="B42" s="108">
        <v>21</v>
      </c>
      <c r="C42" s="108" t="s">
        <v>30</v>
      </c>
      <c r="D42" s="108">
        <v>117.59576816633</v>
      </c>
      <c r="E42" s="108">
        <v>0</v>
      </c>
      <c r="F42" s="108" t="s">
        <v>137</v>
      </c>
      <c r="G42" s="108"/>
      <c r="H42" s="108">
        <v>1</v>
      </c>
    </row>
    <row r="43" spans="1:8" ht="14">
      <c r="A43" s="108">
        <v>2000</v>
      </c>
      <c r="B43" s="108">
        <v>21</v>
      </c>
      <c r="C43" s="108" t="s">
        <v>30</v>
      </c>
      <c r="D43" s="108">
        <v>20190.475103652399</v>
      </c>
      <c r="E43" s="108">
        <v>0</v>
      </c>
      <c r="F43" s="108" t="s">
        <v>136</v>
      </c>
      <c r="G43" s="108"/>
      <c r="H43" s="108">
        <v>1</v>
      </c>
    </row>
    <row r="44" spans="1:8" ht="14">
      <c r="A44" s="108">
        <v>2000</v>
      </c>
      <c r="B44" s="108">
        <v>21</v>
      </c>
      <c r="C44" s="108" t="s">
        <v>138</v>
      </c>
      <c r="D44" s="108">
        <v>20125.2011036523</v>
      </c>
      <c r="E44" s="108">
        <v>0</v>
      </c>
      <c r="F44" s="108" t="s">
        <v>136</v>
      </c>
      <c r="G44" s="108"/>
      <c r="H44" s="108">
        <v>1</v>
      </c>
    </row>
    <row r="45" spans="1:8" ht="14">
      <c r="A45" s="108">
        <v>2000</v>
      </c>
      <c r="B45" s="108">
        <v>21</v>
      </c>
      <c r="C45" s="108" t="s">
        <v>138</v>
      </c>
      <c r="D45" s="108">
        <v>10.5531281812699</v>
      </c>
      <c r="E45" s="108">
        <v>0</v>
      </c>
      <c r="F45" s="108" t="s">
        <v>135</v>
      </c>
      <c r="G45" s="108"/>
      <c r="H45" s="108">
        <v>1</v>
      </c>
    </row>
    <row r="46" spans="1:8" ht="14">
      <c r="A46" s="108">
        <v>2000</v>
      </c>
      <c r="B46" s="108">
        <v>21</v>
      </c>
      <c r="C46" s="108" t="s">
        <v>138</v>
      </c>
      <c r="D46" s="108">
        <v>3.7767681663305699</v>
      </c>
      <c r="E46" s="108">
        <v>0</v>
      </c>
      <c r="F46" s="108" t="s">
        <v>137</v>
      </c>
      <c r="G46" s="108"/>
      <c r="H46" s="108">
        <v>1</v>
      </c>
    </row>
    <row r="47" spans="1:8" ht="14">
      <c r="A47" s="108">
        <v>2000</v>
      </c>
      <c r="B47" s="108">
        <v>21</v>
      </c>
      <c r="C47" s="108" t="s">
        <v>139</v>
      </c>
      <c r="D47" s="108">
        <v>65.274000000000001</v>
      </c>
      <c r="E47" s="108">
        <v>0</v>
      </c>
      <c r="F47" s="108" t="s">
        <v>136</v>
      </c>
      <c r="G47" s="108"/>
      <c r="H47" s="108">
        <v>1</v>
      </c>
    </row>
    <row r="48" spans="1:8" ht="14">
      <c r="A48" s="108">
        <v>2000</v>
      </c>
      <c r="B48" s="108">
        <v>21</v>
      </c>
      <c r="C48" s="108" t="s">
        <v>139</v>
      </c>
      <c r="D48" s="108">
        <v>113.819</v>
      </c>
      <c r="E48" s="108">
        <v>0</v>
      </c>
      <c r="F48" s="108" t="s">
        <v>137</v>
      </c>
      <c r="G48" s="108"/>
      <c r="H48" s="108">
        <v>1</v>
      </c>
    </row>
    <row r="49" spans="1:8" ht="14">
      <c r="A49" s="108">
        <v>2000</v>
      </c>
      <c r="B49" s="108">
        <v>22</v>
      </c>
      <c r="C49" s="108" t="s">
        <v>30</v>
      </c>
      <c r="D49" s="108">
        <v>24645.462062157501</v>
      </c>
      <c r="E49" s="108">
        <v>0</v>
      </c>
      <c r="F49" s="108" t="s">
        <v>136</v>
      </c>
      <c r="G49" s="108"/>
      <c r="H49" s="108">
        <v>1</v>
      </c>
    </row>
    <row r="50" spans="1:8" ht="14">
      <c r="A50" s="108">
        <v>2000</v>
      </c>
      <c r="B50" s="108">
        <v>22</v>
      </c>
      <c r="C50" s="108" t="s">
        <v>30</v>
      </c>
      <c r="D50" s="108">
        <v>283.00709837985403</v>
      </c>
      <c r="E50" s="108">
        <v>0</v>
      </c>
      <c r="F50" s="108" t="s">
        <v>137</v>
      </c>
      <c r="G50" s="108"/>
      <c r="H50" s="108">
        <v>1</v>
      </c>
    </row>
    <row r="51" spans="1:8" ht="14">
      <c r="A51" s="108">
        <v>2000</v>
      </c>
      <c r="B51" s="108">
        <v>22</v>
      </c>
      <c r="C51" s="108" t="s">
        <v>30</v>
      </c>
      <c r="D51" s="108">
        <v>2901.80783946262</v>
      </c>
      <c r="E51" s="108">
        <v>0</v>
      </c>
      <c r="F51" s="108" t="s">
        <v>135</v>
      </c>
      <c r="G51" s="108"/>
      <c r="H51" s="108">
        <v>1</v>
      </c>
    </row>
    <row r="52" spans="1:8" ht="14">
      <c r="A52" s="108">
        <v>2000</v>
      </c>
      <c r="B52" s="108">
        <v>22</v>
      </c>
      <c r="C52" s="108" t="s">
        <v>138</v>
      </c>
      <c r="D52" s="108">
        <v>23586.6274587837</v>
      </c>
      <c r="E52" s="108">
        <v>0</v>
      </c>
      <c r="F52" s="108" t="s">
        <v>136</v>
      </c>
      <c r="G52" s="108"/>
      <c r="H52" s="108">
        <v>1</v>
      </c>
    </row>
    <row r="53" spans="1:8" ht="14">
      <c r="A53" s="108">
        <v>2000</v>
      </c>
      <c r="B53" s="108">
        <v>22</v>
      </c>
      <c r="C53" s="108" t="s">
        <v>138</v>
      </c>
      <c r="D53" s="108">
        <v>1638.2479417999</v>
      </c>
      <c r="E53" s="108">
        <v>0</v>
      </c>
      <c r="F53" s="108" t="s">
        <v>135</v>
      </c>
      <c r="G53" s="108"/>
      <c r="H53" s="108">
        <v>1</v>
      </c>
    </row>
    <row r="54" spans="1:8" ht="14">
      <c r="A54" s="108">
        <v>2000</v>
      </c>
      <c r="B54" s="108">
        <v>22</v>
      </c>
      <c r="C54" s="108" t="s">
        <v>138</v>
      </c>
      <c r="D54" s="108">
        <v>17.271599416317699</v>
      </c>
      <c r="E54" s="108">
        <v>0</v>
      </c>
      <c r="F54" s="108" t="s">
        <v>137</v>
      </c>
      <c r="G54" s="108"/>
      <c r="H54" s="108">
        <v>1</v>
      </c>
    </row>
    <row r="55" spans="1:8" ht="14">
      <c r="A55" s="108">
        <v>2000</v>
      </c>
      <c r="B55" s="108">
        <v>22</v>
      </c>
      <c r="C55" s="108" t="s">
        <v>139</v>
      </c>
      <c r="D55" s="108">
        <v>1263.55989766271</v>
      </c>
      <c r="E55" s="108">
        <v>0</v>
      </c>
      <c r="F55" s="108" t="s">
        <v>135</v>
      </c>
      <c r="G55" s="108"/>
      <c r="H55" s="108">
        <v>1</v>
      </c>
    </row>
    <row r="56" spans="1:8" ht="14">
      <c r="A56" s="108">
        <v>2000</v>
      </c>
      <c r="B56" s="108">
        <v>22</v>
      </c>
      <c r="C56" s="108" t="s">
        <v>139</v>
      </c>
      <c r="D56" s="108">
        <v>1058.83460337374</v>
      </c>
      <c r="E56" s="108">
        <v>0</v>
      </c>
      <c r="F56" s="108" t="s">
        <v>136</v>
      </c>
      <c r="G56" s="108"/>
      <c r="H56" s="108">
        <v>1</v>
      </c>
    </row>
    <row r="57" spans="1:8" ht="14">
      <c r="A57" s="108">
        <v>2000</v>
      </c>
      <c r="B57" s="108">
        <v>22</v>
      </c>
      <c r="C57" s="108" t="s">
        <v>139</v>
      </c>
      <c r="D57" s="108">
        <v>265.73549896353597</v>
      </c>
      <c r="E57" s="108">
        <v>0</v>
      </c>
      <c r="F57" s="108" t="s">
        <v>137</v>
      </c>
      <c r="G57" s="108"/>
      <c r="H57" s="108">
        <v>1</v>
      </c>
    </row>
    <row r="58" spans="1:8" ht="14">
      <c r="A58" s="108">
        <v>2000</v>
      </c>
      <c r="B58" s="108">
        <v>23</v>
      </c>
      <c r="C58" s="108" t="s">
        <v>30</v>
      </c>
      <c r="D58" s="108">
        <v>12722.6414878708</v>
      </c>
      <c r="E58" s="108">
        <v>0</v>
      </c>
      <c r="F58" s="108" t="s">
        <v>136</v>
      </c>
      <c r="G58" s="108"/>
      <c r="H58" s="108">
        <v>1</v>
      </c>
    </row>
    <row r="59" spans="1:8" ht="14">
      <c r="A59" s="108">
        <v>2000</v>
      </c>
      <c r="B59" s="108">
        <v>23</v>
      </c>
      <c r="C59" s="108" t="s">
        <v>30</v>
      </c>
      <c r="D59" s="108">
        <v>170.49774037127</v>
      </c>
      <c r="E59" s="108">
        <v>0</v>
      </c>
      <c r="F59" s="108" t="s">
        <v>137</v>
      </c>
      <c r="G59" s="108"/>
      <c r="H59" s="108">
        <v>1</v>
      </c>
    </row>
    <row r="60" spans="1:8" ht="14">
      <c r="A60" s="108">
        <v>2000</v>
      </c>
      <c r="B60" s="108">
        <v>23</v>
      </c>
      <c r="C60" s="108" t="s">
        <v>30</v>
      </c>
      <c r="D60" s="108">
        <v>1213.3967717578601</v>
      </c>
      <c r="E60" s="108">
        <v>0</v>
      </c>
      <c r="F60" s="108" t="s">
        <v>135</v>
      </c>
      <c r="G60" s="108"/>
      <c r="H60" s="108">
        <v>1</v>
      </c>
    </row>
    <row r="61" spans="1:8" ht="14">
      <c r="A61" s="108">
        <v>2000</v>
      </c>
      <c r="B61" s="108">
        <v>23</v>
      </c>
      <c r="C61" s="108" t="s">
        <v>138</v>
      </c>
      <c r="D61" s="108">
        <v>168.131289383888</v>
      </c>
      <c r="E61" s="108">
        <v>0</v>
      </c>
      <c r="F61" s="108" t="s">
        <v>137</v>
      </c>
      <c r="G61" s="108"/>
      <c r="H61" s="108">
        <v>1</v>
      </c>
    </row>
    <row r="62" spans="1:8" ht="14">
      <c r="A62" s="108">
        <v>2000</v>
      </c>
      <c r="B62" s="108">
        <v>23</v>
      </c>
      <c r="C62" s="108" t="s">
        <v>138</v>
      </c>
      <c r="D62" s="108">
        <v>8073.9770368645804</v>
      </c>
      <c r="E62" s="108">
        <v>0</v>
      </c>
      <c r="F62" s="108" t="s">
        <v>136</v>
      </c>
      <c r="G62" s="108"/>
      <c r="H62" s="108">
        <v>1</v>
      </c>
    </row>
    <row r="63" spans="1:8" ht="14">
      <c r="A63" s="108">
        <v>2000</v>
      </c>
      <c r="B63" s="108">
        <v>23</v>
      </c>
      <c r="C63" s="108" t="s">
        <v>138</v>
      </c>
      <c r="D63" s="108">
        <v>692.74967375152801</v>
      </c>
      <c r="E63" s="108">
        <v>0</v>
      </c>
      <c r="F63" s="108" t="s">
        <v>135</v>
      </c>
      <c r="G63" s="108"/>
      <c r="H63" s="108">
        <v>1</v>
      </c>
    </row>
    <row r="64" spans="1:8" ht="14">
      <c r="A64" s="108">
        <v>2000</v>
      </c>
      <c r="B64" s="108">
        <v>23</v>
      </c>
      <c r="C64" s="108" t="s">
        <v>139</v>
      </c>
      <c r="D64" s="108">
        <v>2.3664509873822199</v>
      </c>
      <c r="E64" s="108">
        <v>0</v>
      </c>
      <c r="F64" s="108" t="s">
        <v>137</v>
      </c>
      <c r="G64" s="108"/>
      <c r="H64" s="108">
        <v>1</v>
      </c>
    </row>
    <row r="65" spans="1:8" ht="14">
      <c r="A65" s="108">
        <v>2000</v>
      </c>
      <c r="B65" s="108">
        <v>23</v>
      </c>
      <c r="C65" s="108" t="s">
        <v>139</v>
      </c>
      <c r="D65" s="108">
        <v>4648.6644510062797</v>
      </c>
      <c r="E65" s="108">
        <v>0</v>
      </c>
      <c r="F65" s="108" t="s">
        <v>136</v>
      </c>
      <c r="G65" s="108"/>
      <c r="H65" s="108">
        <v>1</v>
      </c>
    </row>
    <row r="66" spans="1:8" ht="14">
      <c r="A66" s="108">
        <v>2000</v>
      </c>
      <c r="B66" s="108">
        <v>23</v>
      </c>
      <c r="C66" s="108" t="s">
        <v>139</v>
      </c>
      <c r="D66" s="108">
        <v>520.64709800633398</v>
      </c>
      <c r="E66" s="108">
        <v>0</v>
      </c>
      <c r="F66" s="108" t="s">
        <v>135</v>
      </c>
      <c r="G66" s="108"/>
      <c r="H66" s="108">
        <v>1</v>
      </c>
    </row>
    <row r="67" spans="1:8" ht="14">
      <c r="A67" s="108">
        <v>2000</v>
      </c>
      <c r="B67" s="108">
        <v>29</v>
      </c>
      <c r="C67" s="108" t="s">
        <v>30</v>
      </c>
      <c r="D67" s="108">
        <v>20883.938647921201</v>
      </c>
      <c r="E67" s="108">
        <v>0</v>
      </c>
      <c r="F67" s="108" t="s">
        <v>136</v>
      </c>
      <c r="G67" s="108"/>
      <c r="H67" s="108">
        <v>1</v>
      </c>
    </row>
    <row r="68" spans="1:8" ht="14">
      <c r="A68" s="108">
        <v>2000</v>
      </c>
      <c r="B68" s="108">
        <v>29</v>
      </c>
      <c r="C68" s="108" t="s">
        <v>30</v>
      </c>
      <c r="D68" s="108">
        <v>6.5210243317955099</v>
      </c>
      <c r="E68" s="108">
        <v>0</v>
      </c>
      <c r="F68" s="108" t="s">
        <v>137</v>
      </c>
      <c r="G68" s="108"/>
      <c r="H68" s="108">
        <v>1</v>
      </c>
    </row>
    <row r="69" spans="1:8" ht="14">
      <c r="A69" s="108">
        <v>2000</v>
      </c>
      <c r="B69" s="108">
        <v>29</v>
      </c>
      <c r="C69" s="108" t="s">
        <v>30</v>
      </c>
      <c r="D69" s="108">
        <v>20456.601327746899</v>
      </c>
      <c r="E69" s="108">
        <v>0</v>
      </c>
      <c r="F69" s="108" t="s">
        <v>135</v>
      </c>
      <c r="G69" s="108"/>
      <c r="H69" s="108">
        <v>1</v>
      </c>
    </row>
    <row r="70" spans="1:8" ht="14">
      <c r="A70" s="108">
        <v>2000</v>
      </c>
      <c r="B70" s="108">
        <v>29</v>
      </c>
      <c r="C70" s="108" t="s">
        <v>138</v>
      </c>
      <c r="D70" s="108">
        <v>2.5249485024116201</v>
      </c>
      <c r="E70" s="108">
        <v>0</v>
      </c>
      <c r="F70" s="108" t="s">
        <v>137</v>
      </c>
      <c r="G70" s="108"/>
      <c r="H70" s="108">
        <v>1</v>
      </c>
    </row>
    <row r="71" spans="1:8" ht="14">
      <c r="A71" s="108">
        <v>2000</v>
      </c>
      <c r="B71" s="108">
        <v>29</v>
      </c>
      <c r="C71" s="108" t="s">
        <v>138</v>
      </c>
      <c r="D71" s="108">
        <v>10790.517424748899</v>
      </c>
      <c r="E71" s="108">
        <v>0</v>
      </c>
      <c r="F71" s="108" t="s">
        <v>136</v>
      </c>
      <c r="G71" s="108"/>
      <c r="H71" s="108">
        <v>1</v>
      </c>
    </row>
    <row r="72" spans="1:8" ht="14">
      <c r="A72" s="108">
        <v>2000</v>
      </c>
      <c r="B72" s="108">
        <v>29</v>
      </c>
      <c r="C72" s="108" t="s">
        <v>138</v>
      </c>
      <c r="D72" s="108">
        <v>16155.037626748601</v>
      </c>
      <c r="E72" s="108">
        <v>0</v>
      </c>
      <c r="F72" s="108" t="s">
        <v>135</v>
      </c>
      <c r="G72" s="108"/>
      <c r="H72" s="108">
        <v>1</v>
      </c>
    </row>
    <row r="73" spans="1:8" ht="14">
      <c r="A73" s="108">
        <v>2000</v>
      </c>
      <c r="B73" s="108">
        <v>29</v>
      </c>
      <c r="C73" s="108" t="s">
        <v>139</v>
      </c>
      <c r="D73" s="108">
        <v>10093.4212231723</v>
      </c>
      <c r="E73" s="108">
        <v>0</v>
      </c>
      <c r="F73" s="108" t="s">
        <v>136</v>
      </c>
      <c r="G73" s="108"/>
      <c r="H73" s="108">
        <v>1</v>
      </c>
    </row>
    <row r="74" spans="1:8" ht="14">
      <c r="A74" s="108">
        <v>2000</v>
      </c>
      <c r="B74" s="108">
        <v>29</v>
      </c>
      <c r="C74" s="108" t="s">
        <v>139</v>
      </c>
      <c r="D74" s="108">
        <v>4301.5637009982402</v>
      </c>
      <c r="E74" s="108">
        <v>0</v>
      </c>
      <c r="F74" s="108" t="s">
        <v>135</v>
      </c>
      <c r="G74" s="108"/>
      <c r="H74" s="108">
        <v>1</v>
      </c>
    </row>
    <row r="75" spans="1:8" ht="14">
      <c r="A75" s="108">
        <v>2000</v>
      </c>
      <c r="B75" s="108">
        <v>29</v>
      </c>
      <c r="C75" s="108" t="s">
        <v>139</v>
      </c>
      <c r="D75" s="108">
        <v>3.9960758293838801</v>
      </c>
      <c r="E75" s="108">
        <v>0</v>
      </c>
      <c r="F75" s="108" t="s">
        <v>137</v>
      </c>
      <c r="G75" s="108"/>
      <c r="H75" s="108">
        <v>1</v>
      </c>
    </row>
    <row r="76" spans="1:8" ht="14">
      <c r="A76" s="108">
        <v>2000</v>
      </c>
      <c r="B76" s="108">
        <v>31</v>
      </c>
      <c r="C76" s="108" t="s">
        <v>30</v>
      </c>
      <c r="D76" s="108">
        <v>75.417659621842304</v>
      </c>
      <c r="E76" s="108">
        <v>42.386476033897999</v>
      </c>
      <c r="F76" s="108" t="s">
        <v>137</v>
      </c>
      <c r="G76" s="108">
        <v>42.386477959999901</v>
      </c>
      <c r="H76" s="108">
        <v>1</v>
      </c>
    </row>
    <row r="77" spans="1:8" ht="14">
      <c r="A77" s="108">
        <v>2000</v>
      </c>
      <c r="B77" s="108">
        <v>31</v>
      </c>
      <c r="C77" s="108" t="s">
        <v>30</v>
      </c>
      <c r="D77" s="108">
        <v>870.28506273961398</v>
      </c>
      <c r="E77" s="108">
        <v>91.6520416201069</v>
      </c>
      <c r="F77" s="108" t="s">
        <v>135</v>
      </c>
      <c r="G77" s="108">
        <v>91.652044825000004</v>
      </c>
      <c r="H77" s="108">
        <v>1</v>
      </c>
    </row>
    <row r="78" spans="1:8" ht="14">
      <c r="A78" s="108">
        <v>2000</v>
      </c>
      <c r="B78" s="108">
        <v>31</v>
      </c>
      <c r="C78" s="108" t="s">
        <v>30</v>
      </c>
      <c r="D78" s="108">
        <v>22096.6752776385</v>
      </c>
      <c r="E78" s="108">
        <v>1766.96848234599</v>
      </c>
      <c r="F78" s="108" t="s">
        <v>136</v>
      </c>
      <c r="G78" s="108">
        <v>1766.96850895639</v>
      </c>
      <c r="H78" s="108">
        <v>1</v>
      </c>
    </row>
    <row r="79" spans="1:8" ht="14">
      <c r="A79" s="108">
        <v>2000</v>
      </c>
      <c r="B79" s="108">
        <v>31</v>
      </c>
      <c r="C79" s="108" t="s">
        <v>138</v>
      </c>
      <c r="D79" s="108">
        <v>490.84768658823202</v>
      </c>
      <c r="E79" s="108">
        <v>45.936767102873098</v>
      </c>
      <c r="F79" s="108" t="s">
        <v>135</v>
      </c>
      <c r="G79" s="108">
        <v>45.936776826999903</v>
      </c>
      <c r="H79" s="108">
        <v>1</v>
      </c>
    </row>
    <row r="80" spans="1:8" ht="14">
      <c r="A80" s="108">
        <v>2000</v>
      </c>
      <c r="B80" s="108">
        <v>31</v>
      </c>
      <c r="C80" s="108" t="s">
        <v>138</v>
      </c>
      <c r="D80" s="108">
        <v>12037.1049677092</v>
      </c>
      <c r="E80" s="108">
        <v>911.44949155240295</v>
      </c>
      <c r="F80" s="108" t="s">
        <v>136</v>
      </c>
      <c r="G80" s="108">
        <v>911.44956270940304</v>
      </c>
      <c r="H80" s="108">
        <v>1</v>
      </c>
    </row>
    <row r="81" spans="1:8" ht="14">
      <c r="A81" s="108">
        <v>2000</v>
      </c>
      <c r="B81" s="108">
        <v>31</v>
      </c>
      <c r="C81" s="108" t="s">
        <v>138</v>
      </c>
      <c r="D81" s="108">
        <v>15.479345702467899</v>
      </c>
      <c r="E81" s="108">
        <v>4.4157413447209697</v>
      </c>
      <c r="F81" s="108" t="s">
        <v>137</v>
      </c>
      <c r="G81" s="108">
        <v>4.4157415799999997</v>
      </c>
      <c r="H81" s="108">
        <v>1</v>
      </c>
    </row>
    <row r="82" spans="1:8" ht="14">
      <c r="A82" s="108">
        <v>2000</v>
      </c>
      <c r="B82" s="108">
        <v>31</v>
      </c>
      <c r="C82" s="108" t="s">
        <v>139</v>
      </c>
      <c r="D82" s="108">
        <v>59.938313919374302</v>
      </c>
      <c r="E82" s="108">
        <v>37.970734689177</v>
      </c>
      <c r="F82" s="108" t="s">
        <v>137</v>
      </c>
      <c r="G82" s="108">
        <v>37.970736379999998</v>
      </c>
      <c r="H82" s="108">
        <v>1</v>
      </c>
    </row>
    <row r="83" spans="1:8" ht="14">
      <c r="A83" s="108">
        <v>2000</v>
      </c>
      <c r="B83" s="108">
        <v>31</v>
      </c>
      <c r="C83" s="108" t="s">
        <v>139</v>
      </c>
      <c r="D83" s="108">
        <v>10059.5703099292</v>
      </c>
      <c r="E83" s="108">
        <v>855.51899079358998</v>
      </c>
      <c r="F83" s="108" t="s">
        <v>136</v>
      </c>
      <c r="G83" s="108">
        <v>855.51894624699798</v>
      </c>
      <c r="H83" s="108">
        <v>1</v>
      </c>
    </row>
    <row r="84" spans="1:8" ht="14">
      <c r="A84" s="108">
        <v>2000</v>
      </c>
      <c r="B84" s="108">
        <v>31</v>
      </c>
      <c r="C84" s="108" t="s">
        <v>139</v>
      </c>
      <c r="D84" s="108">
        <v>379.43737615138099</v>
      </c>
      <c r="E84" s="108">
        <v>45.715274517233802</v>
      </c>
      <c r="F84" s="108" t="s">
        <v>135</v>
      </c>
      <c r="G84" s="108">
        <v>45.715267998000002</v>
      </c>
      <c r="H84" s="108">
        <v>1</v>
      </c>
    </row>
    <row r="85" spans="1:8" ht="14">
      <c r="A85" s="108">
        <v>2000</v>
      </c>
      <c r="B85" s="108">
        <v>32</v>
      </c>
      <c r="C85" s="108" t="s">
        <v>30</v>
      </c>
      <c r="D85" s="108">
        <v>1184.0291541930101</v>
      </c>
      <c r="E85" s="108">
        <v>121.585010308763</v>
      </c>
      <c r="F85" s="108" t="s">
        <v>135</v>
      </c>
      <c r="G85" s="108">
        <v>243.16995841400001</v>
      </c>
      <c r="H85" s="108">
        <v>1</v>
      </c>
    </row>
    <row r="86" spans="1:8" ht="14">
      <c r="A86" s="108">
        <v>2000</v>
      </c>
      <c r="B86" s="108">
        <v>32</v>
      </c>
      <c r="C86" s="108" t="s">
        <v>30</v>
      </c>
      <c r="D86" s="108">
        <v>25273.468104065301</v>
      </c>
      <c r="E86" s="108">
        <v>2064.88195077715</v>
      </c>
      <c r="F86" s="108" t="s">
        <v>136</v>
      </c>
      <c r="G86" s="108">
        <v>4129.7636725290104</v>
      </c>
      <c r="H86" s="108">
        <v>1</v>
      </c>
    </row>
    <row r="87" spans="1:8" ht="14">
      <c r="A87" s="108">
        <v>2000</v>
      </c>
      <c r="B87" s="108">
        <v>32</v>
      </c>
      <c r="C87" s="108" t="s">
        <v>30</v>
      </c>
      <c r="D87" s="108">
        <v>13.586741741631601</v>
      </c>
      <c r="E87" s="108">
        <v>64.393038914084599</v>
      </c>
      <c r="F87" s="108" t="s">
        <v>137</v>
      </c>
      <c r="G87" s="108">
        <v>128.78609516</v>
      </c>
      <c r="H87" s="108">
        <v>1</v>
      </c>
    </row>
    <row r="88" spans="1:8" ht="14">
      <c r="A88" s="108">
        <v>2000</v>
      </c>
      <c r="B88" s="108">
        <v>32</v>
      </c>
      <c r="C88" s="108" t="s">
        <v>138</v>
      </c>
      <c r="D88" s="108">
        <v>14547.174239072399</v>
      </c>
      <c r="E88" s="108">
        <v>1082.15568449071</v>
      </c>
      <c r="F88" s="108" t="s">
        <v>136</v>
      </c>
      <c r="G88" s="108">
        <v>2164.3112178490001</v>
      </c>
      <c r="H88" s="108">
        <v>1</v>
      </c>
    </row>
    <row r="89" spans="1:8" ht="14">
      <c r="A89" s="108">
        <v>2000</v>
      </c>
      <c r="B89" s="108">
        <v>32</v>
      </c>
      <c r="C89" s="108" t="s">
        <v>138</v>
      </c>
      <c r="D89" s="108">
        <v>606.91791164046504</v>
      </c>
      <c r="E89" s="108">
        <v>58.003028650516697</v>
      </c>
      <c r="F89" s="108" t="s">
        <v>135</v>
      </c>
      <c r="G89" s="108">
        <v>116.006052475</v>
      </c>
      <c r="H89" s="108">
        <v>1</v>
      </c>
    </row>
    <row r="90" spans="1:8" ht="14">
      <c r="A90" s="108">
        <v>2000</v>
      </c>
      <c r="B90" s="108">
        <v>32</v>
      </c>
      <c r="C90" s="108" t="s">
        <v>138</v>
      </c>
      <c r="D90" s="108">
        <v>11.46284928705</v>
      </c>
      <c r="E90" s="108">
        <v>1.15028685877325</v>
      </c>
      <c r="F90" s="108" t="s">
        <v>137</v>
      </c>
      <c r="G90" s="108">
        <v>2.3005745499999999</v>
      </c>
      <c r="H90" s="108">
        <v>1</v>
      </c>
    </row>
    <row r="91" spans="1:8" ht="14">
      <c r="A91" s="108">
        <v>2000</v>
      </c>
      <c r="B91" s="108">
        <v>32</v>
      </c>
      <c r="C91" s="108" t="s">
        <v>139</v>
      </c>
      <c r="D91" s="108">
        <v>10726.2938649928</v>
      </c>
      <c r="E91" s="108">
        <v>982.72626628644196</v>
      </c>
      <c r="F91" s="108" t="s">
        <v>136</v>
      </c>
      <c r="G91" s="108">
        <v>1965.4524546800001</v>
      </c>
      <c r="H91" s="108">
        <v>1</v>
      </c>
    </row>
    <row r="92" spans="1:8" ht="14">
      <c r="A92" s="108">
        <v>2000</v>
      </c>
      <c r="B92" s="108">
        <v>32</v>
      </c>
      <c r="C92" s="108" t="s">
        <v>139</v>
      </c>
      <c r="D92" s="108">
        <v>577.11124255255299</v>
      </c>
      <c r="E92" s="108">
        <v>63.581981658246498</v>
      </c>
      <c r="F92" s="108" t="s">
        <v>135</v>
      </c>
      <c r="G92" s="108">
        <v>127.16390593899899</v>
      </c>
      <c r="H92" s="108">
        <v>1</v>
      </c>
    </row>
    <row r="93" spans="1:8" ht="14">
      <c r="A93" s="108">
        <v>2000</v>
      </c>
      <c r="B93" s="108">
        <v>32</v>
      </c>
      <c r="C93" s="108" t="s">
        <v>139</v>
      </c>
      <c r="D93" s="108">
        <v>2.1238924545815898</v>
      </c>
      <c r="E93" s="108">
        <v>63.242752055311399</v>
      </c>
      <c r="F93" s="108" t="s">
        <v>137</v>
      </c>
      <c r="G93" s="108">
        <v>126.48552060999999</v>
      </c>
      <c r="H93" s="108">
        <v>1</v>
      </c>
    </row>
    <row r="94" spans="1:8" ht="14">
      <c r="A94" s="108">
        <v>2000</v>
      </c>
      <c r="B94" s="108">
        <v>33</v>
      </c>
      <c r="C94" s="108" t="s">
        <v>30</v>
      </c>
      <c r="D94" s="108">
        <v>0.224</v>
      </c>
      <c r="E94" s="108">
        <v>0.71310526315789402</v>
      </c>
      <c r="F94" s="108" t="s">
        <v>137</v>
      </c>
      <c r="G94" s="108">
        <v>1.0696578800000001</v>
      </c>
      <c r="H94" s="108">
        <v>1</v>
      </c>
    </row>
    <row r="95" spans="1:8" ht="14">
      <c r="A95" s="108">
        <v>2000</v>
      </c>
      <c r="B95" s="108">
        <v>33</v>
      </c>
      <c r="C95" s="108" t="s">
        <v>30</v>
      </c>
      <c r="D95" s="108">
        <v>33.626804556594003</v>
      </c>
      <c r="E95" s="108">
        <v>5.4760049954329499</v>
      </c>
      <c r="F95" s="108" t="s">
        <v>135</v>
      </c>
      <c r="G95" s="108">
        <v>8.2140080720000004</v>
      </c>
      <c r="H95" s="108">
        <v>1</v>
      </c>
    </row>
    <row r="96" spans="1:8" ht="14">
      <c r="A96" s="108">
        <v>2000</v>
      </c>
      <c r="B96" s="108">
        <v>33</v>
      </c>
      <c r="C96" s="108" t="s">
        <v>30</v>
      </c>
      <c r="D96" s="108">
        <v>1121.0981954434001</v>
      </c>
      <c r="E96" s="108">
        <v>92.863889741409096</v>
      </c>
      <c r="F96" s="108" t="s">
        <v>136</v>
      </c>
      <c r="G96" s="108">
        <v>139.295840142</v>
      </c>
      <c r="H96" s="108">
        <v>1</v>
      </c>
    </row>
    <row r="97" spans="1:8" ht="14">
      <c r="A97" s="108">
        <v>2000</v>
      </c>
      <c r="B97" s="108">
        <v>33</v>
      </c>
      <c r="C97" s="108" t="s">
        <v>138</v>
      </c>
      <c r="D97" s="108">
        <v>18.027351108940401</v>
      </c>
      <c r="E97" s="108">
        <v>2.6829325380587199</v>
      </c>
      <c r="F97" s="108" t="s">
        <v>135</v>
      </c>
      <c r="G97" s="108">
        <v>4.02439882</v>
      </c>
      <c r="H97" s="108">
        <v>1</v>
      </c>
    </row>
    <row r="98" spans="1:8" ht="14">
      <c r="A98" s="108">
        <v>2000</v>
      </c>
      <c r="B98" s="108">
        <v>33</v>
      </c>
      <c r="C98" s="108" t="s">
        <v>138</v>
      </c>
      <c r="D98" s="108">
        <v>696.725648891059</v>
      </c>
      <c r="E98" s="108">
        <v>37.414067461941201</v>
      </c>
      <c r="F98" s="108" t="s">
        <v>136</v>
      </c>
      <c r="G98" s="108">
        <v>56.121112638</v>
      </c>
      <c r="H98" s="108">
        <v>1</v>
      </c>
    </row>
    <row r="99" spans="1:8" ht="14">
      <c r="A99" s="108">
        <v>2000</v>
      </c>
      <c r="B99" s="108">
        <v>33</v>
      </c>
      <c r="C99" s="108" t="s">
        <v>139</v>
      </c>
      <c r="D99" s="108">
        <v>15.599453447653501</v>
      </c>
      <c r="E99" s="108">
        <v>2.7930724573742198</v>
      </c>
      <c r="F99" s="108" t="s">
        <v>135</v>
      </c>
      <c r="G99" s="108">
        <v>4.1896092520000003</v>
      </c>
      <c r="H99" s="108">
        <v>1</v>
      </c>
    </row>
    <row r="100" spans="1:8" ht="14">
      <c r="A100" s="108">
        <v>2000</v>
      </c>
      <c r="B100" s="108">
        <v>33</v>
      </c>
      <c r="C100" s="108" t="s">
        <v>139</v>
      </c>
      <c r="D100" s="108">
        <v>424.37254655234602</v>
      </c>
      <c r="E100" s="108">
        <v>55.449822279467803</v>
      </c>
      <c r="F100" s="108" t="s">
        <v>136</v>
      </c>
      <c r="G100" s="108">
        <v>83.174727503999904</v>
      </c>
      <c r="H100" s="108">
        <v>1</v>
      </c>
    </row>
    <row r="101" spans="1:8" ht="14">
      <c r="A101" s="108">
        <v>2000</v>
      </c>
      <c r="B101" s="108">
        <v>33</v>
      </c>
      <c r="C101" s="108" t="s">
        <v>139</v>
      </c>
      <c r="D101" s="108">
        <v>0.224</v>
      </c>
      <c r="E101" s="108">
        <v>0.71310526315789402</v>
      </c>
      <c r="F101" s="108" t="s">
        <v>137</v>
      </c>
      <c r="G101" s="108">
        <v>1.0696578800000001</v>
      </c>
      <c r="H101" s="108">
        <v>1</v>
      </c>
    </row>
    <row r="102" spans="1:8" ht="14">
      <c r="A102" s="108">
        <v>2000</v>
      </c>
      <c r="B102" s="108">
        <v>34</v>
      </c>
      <c r="C102" s="108" t="s">
        <v>30</v>
      </c>
      <c r="D102" s="108">
        <v>891.11219425975298</v>
      </c>
      <c r="E102" s="108">
        <v>66.781078154042007</v>
      </c>
      <c r="F102" s="108" t="s">
        <v>136</v>
      </c>
      <c r="G102" s="108">
        <v>150.257399939999</v>
      </c>
      <c r="H102" s="108">
        <v>1</v>
      </c>
    </row>
    <row r="103" spans="1:8" ht="14">
      <c r="A103" s="108">
        <v>2000</v>
      </c>
      <c r="B103" s="108">
        <v>34</v>
      </c>
      <c r="C103" s="108" t="s">
        <v>30</v>
      </c>
      <c r="D103" s="108">
        <v>2.4053314564729599E-2</v>
      </c>
      <c r="E103" s="108">
        <v>1.49424100667926</v>
      </c>
      <c r="F103" s="108" t="s">
        <v>137</v>
      </c>
      <c r="G103" s="108">
        <v>3.3620425999999899</v>
      </c>
      <c r="H103" s="108">
        <v>1</v>
      </c>
    </row>
    <row r="104" spans="1:8" ht="14">
      <c r="A104" s="108">
        <v>2000</v>
      </c>
      <c r="B104" s="108">
        <v>34</v>
      </c>
      <c r="C104" s="108" t="s">
        <v>30</v>
      </c>
      <c r="D104" s="108">
        <v>11.020752425682099</v>
      </c>
      <c r="E104" s="108">
        <v>2.1706808392786798</v>
      </c>
      <c r="F104" s="108" t="s">
        <v>135</v>
      </c>
      <c r="G104" s="108">
        <v>4.8840326000000003</v>
      </c>
      <c r="H104" s="108">
        <v>1</v>
      </c>
    </row>
    <row r="105" spans="1:8" ht="14">
      <c r="A105" s="108">
        <v>2000</v>
      </c>
      <c r="B105" s="108">
        <v>34</v>
      </c>
      <c r="C105" s="108" t="s">
        <v>138</v>
      </c>
      <c r="D105" s="108">
        <v>561.01099138293</v>
      </c>
      <c r="E105" s="108">
        <v>35.536959774988603</v>
      </c>
      <c r="F105" s="108" t="s">
        <v>136</v>
      </c>
      <c r="G105" s="108">
        <v>79.958157489999905</v>
      </c>
      <c r="H105" s="108">
        <v>1</v>
      </c>
    </row>
    <row r="106" spans="1:8" ht="14">
      <c r="A106" s="108">
        <v>2000</v>
      </c>
      <c r="B106" s="108">
        <v>34</v>
      </c>
      <c r="C106" s="108" t="s">
        <v>138</v>
      </c>
      <c r="D106" s="108">
        <v>8.5329553025044795</v>
      </c>
      <c r="E106" s="108">
        <v>1.2608823784152401</v>
      </c>
      <c r="F106" s="108" t="s">
        <v>135</v>
      </c>
      <c r="G106" s="108">
        <v>2.83698556</v>
      </c>
      <c r="H106" s="108">
        <v>1</v>
      </c>
    </row>
    <row r="107" spans="1:8" ht="14">
      <c r="A107" s="108">
        <v>2000</v>
      </c>
      <c r="B107" s="108">
        <v>34</v>
      </c>
      <c r="C107" s="108" t="s">
        <v>138</v>
      </c>
      <c r="D107" s="108">
        <v>2.4053314564729599E-2</v>
      </c>
      <c r="E107" s="108">
        <v>8.1578465961061001E-3</v>
      </c>
      <c r="F107" s="108" t="s">
        <v>137</v>
      </c>
      <c r="G107" s="108">
        <v>1.8355150000000001E-2</v>
      </c>
      <c r="H107" s="108">
        <v>1</v>
      </c>
    </row>
    <row r="108" spans="1:8" ht="14">
      <c r="A108" s="108">
        <v>2000</v>
      </c>
      <c r="B108" s="108">
        <v>34</v>
      </c>
      <c r="C108" s="108" t="s">
        <v>139</v>
      </c>
      <c r="D108" s="108">
        <v>0</v>
      </c>
      <c r="E108" s="108">
        <v>1.4860831600831601</v>
      </c>
      <c r="F108" s="108" t="s">
        <v>137</v>
      </c>
      <c r="G108" s="108">
        <v>3.3436874499999898</v>
      </c>
      <c r="H108" s="108">
        <v>1</v>
      </c>
    </row>
    <row r="109" spans="1:8" ht="14">
      <c r="A109" s="108">
        <v>2000</v>
      </c>
      <c r="B109" s="108">
        <v>34</v>
      </c>
      <c r="C109" s="108" t="s">
        <v>139</v>
      </c>
      <c r="D109" s="108">
        <v>330.10120287682201</v>
      </c>
      <c r="E109" s="108">
        <v>31.244118379053401</v>
      </c>
      <c r="F109" s="108" t="s">
        <v>136</v>
      </c>
      <c r="G109" s="108">
        <v>70.299242449999994</v>
      </c>
      <c r="H109" s="108">
        <v>1</v>
      </c>
    </row>
    <row r="110" spans="1:8" ht="14">
      <c r="A110" s="108">
        <v>2000</v>
      </c>
      <c r="B110" s="108">
        <v>34</v>
      </c>
      <c r="C110" s="108" t="s">
        <v>139</v>
      </c>
      <c r="D110" s="108">
        <v>2.4877971231777001</v>
      </c>
      <c r="E110" s="108">
        <v>0.90979846086343097</v>
      </c>
      <c r="F110" s="108" t="s">
        <v>135</v>
      </c>
      <c r="G110" s="108">
        <v>2.0470470399999998</v>
      </c>
      <c r="H110" s="108">
        <v>1</v>
      </c>
    </row>
    <row r="111" spans="1:8" ht="14">
      <c r="A111" s="108">
        <v>2000</v>
      </c>
      <c r="B111" s="108">
        <v>51</v>
      </c>
      <c r="C111" s="108" t="s">
        <v>30</v>
      </c>
      <c r="D111" s="108">
        <v>7172.88373453447</v>
      </c>
      <c r="E111" s="108">
        <v>606.76381568282295</v>
      </c>
      <c r="F111" s="108" t="s">
        <v>135</v>
      </c>
      <c r="G111" s="108"/>
      <c r="H111" s="108">
        <v>1</v>
      </c>
    </row>
    <row r="112" spans="1:8" ht="14">
      <c r="A112" s="108">
        <v>2000</v>
      </c>
      <c r="B112" s="108">
        <v>51</v>
      </c>
      <c r="C112" s="108" t="s">
        <v>30</v>
      </c>
      <c r="D112" s="108">
        <v>28043.723265465502</v>
      </c>
      <c r="E112" s="108">
        <v>2439.4891843171699</v>
      </c>
      <c r="F112" s="108" t="s">
        <v>136</v>
      </c>
      <c r="G112" s="108"/>
      <c r="H112" s="108">
        <v>1</v>
      </c>
    </row>
    <row r="113" spans="1:8" ht="14">
      <c r="A113" s="108">
        <v>2000</v>
      </c>
      <c r="B113" s="108">
        <v>51</v>
      </c>
      <c r="C113" s="108" t="s">
        <v>30</v>
      </c>
      <c r="D113" s="108">
        <v>28.46</v>
      </c>
      <c r="E113" s="108">
        <v>19.132000000000001</v>
      </c>
      <c r="F113" s="108" t="s">
        <v>137</v>
      </c>
      <c r="G113" s="108"/>
      <c r="H113" s="108">
        <v>1</v>
      </c>
    </row>
    <row r="114" spans="1:8" ht="14">
      <c r="A114" s="108">
        <v>2000</v>
      </c>
      <c r="B114" s="108">
        <v>51</v>
      </c>
      <c r="C114" s="108" t="s">
        <v>138</v>
      </c>
      <c r="D114" s="108">
        <v>28.385999999999999</v>
      </c>
      <c r="E114" s="108">
        <v>19.125</v>
      </c>
      <c r="F114" s="108" t="s">
        <v>137</v>
      </c>
      <c r="G114" s="108"/>
      <c r="H114" s="108">
        <v>1</v>
      </c>
    </row>
    <row r="115" spans="1:8" ht="14">
      <c r="A115" s="108">
        <v>2000</v>
      </c>
      <c r="B115" s="108">
        <v>51</v>
      </c>
      <c r="C115" s="108" t="s">
        <v>138</v>
      </c>
      <c r="D115" s="108">
        <v>3729.5081106050302</v>
      </c>
      <c r="E115" s="108">
        <v>302.504789142211</v>
      </c>
      <c r="F115" s="108" t="s">
        <v>135</v>
      </c>
      <c r="G115" s="108"/>
      <c r="H115" s="108">
        <v>1</v>
      </c>
    </row>
    <row r="116" spans="1:8" ht="14">
      <c r="A116" s="108">
        <v>2000</v>
      </c>
      <c r="B116" s="108">
        <v>51</v>
      </c>
      <c r="C116" s="108" t="s">
        <v>138</v>
      </c>
      <c r="D116" s="108">
        <v>15875.6378893949</v>
      </c>
      <c r="E116" s="108">
        <v>1210.4332108577801</v>
      </c>
      <c r="F116" s="108" t="s">
        <v>136</v>
      </c>
      <c r="G116" s="108"/>
      <c r="H116" s="108">
        <v>1</v>
      </c>
    </row>
    <row r="117" spans="1:8" ht="14">
      <c r="A117" s="108">
        <v>2000</v>
      </c>
      <c r="B117" s="108">
        <v>51</v>
      </c>
      <c r="C117" s="108" t="s">
        <v>139</v>
      </c>
      <c r="D117" s="108">
        <v>7.3999999999999996E-2</v>
      </c>
      <c r="E117" s="108">
        <v>7.0000000000000001E-3</v>
      </c>
      <c r="F117" s="108" t="s">
        <v>137</v>
      </c>
      <c r="G117" s="108"/>
      <c r="H117" s="108">
        <v>1</v>
      </c>
    </row>
    <row r="118" spans="1:8" ht="14">
      <c r="A118" s="108">
        <v>2000</v>
      </c>
      <c r="B118" s="108">
        <v>51</v>
      </c>
      <c r="C118" s="108" t="s">
        <v>139</v>
      </c>
      <c r="D118" s="108">
        <v>3443.3756239294298</v>
      </c>
      <c r="E118" s="108">
        <v>304.25902654061201</v>
      </c>
      <c r="F118" s="108" t="s">
        <v>135</v>
      </c>
      <c r="G118" s="108"/>
      <c r="H118" s="108">
        <v>1</v>
      </c>
    </row>
    <row r="119" spans="1:8" ht="14">
      <c r="A119" s="108">
        <v>2000</v>
      </c>
      <c r="B119" s="108">
        <v>51</v>
      </c>
      <c r="C119" s="108" t="s">
        <v>139</v>
      </c>
      <c r="D119" s="108">
        <v>12168.085376070499</v>
      </c>
      <c r="E119" s="108">
        <v>1229.0559734593801</v>
      </c>
      <c r="F119" s="108" t="s">
        <v>136</v>
      </c>
      <c r="G119" s="108"/>
      <c r="H119" s="108">
        <v>1</v>
      </c>
    </row>
    <row r="120" spans="1:8" ht="14">
      <c r="A120" s="108">
        <v>2000</v>
      </c>
      <c r="B120" s="108">
        <v>52</v>
      </c>
      <c r="C120" s="108" t="s">
        <v>30</v>
      </c>
      <c r="D120" s="108">
        <v>0</v>
      </c>
      <c r="E120" s="108">
        <v>1E-3</v>
      </c>
      <c r="F120" s="108" t="s">
        <v>137</v>
      </c>
      <c r="G120" s="108"/>
      <c r="H120" s="108">
        <v>1</v>
      </c>
    </row>
    <row r="121" spans="1:8" ht="14">
      <c r="A121" s="108">
        <v>2000</v>
      </c>
      <c r="B121" s="108">
        <v>52</v>
      </c>
      <c r="C121" s="108" t="s">
        <v>30</v>
      </c>
      <c r="D121" s="108">
        <v>0</v>
      </c>
      <c r="E121" s="108">
        <v>1329.30586002219</v>
      </c>
      <c r="F121" s="108" t="s">
        <v>135</v>
      </c>
      <c r="G121" s="108"/>
      <c r="H121" s="108">
        <v>1</v>
      </c>
    </row>
    <row r="122" spans="1:8" ht="14">
      <c r="A122" s="108">
        <v>2000</v>
      </c>
      <c r="B122" s="108">
        <v>52</v>
      </c>
      <c r="C122" s="108" t="s">
        <v>30</v>
      </c>
      <c r="D122" s="108">
        <v>0</v>
      </c>
      <c r="E122" s="108">
        <v>5146.7291399777996</v>
      </c>
      <c r="F122" s="108" t="s">
        <v>136</v>
      </c>
      <c r="G122" s="108"/>
      <c r="H122" s="108">
        <v>1</v>
      </c>
    </row>
    <row r="123" spans="1:8" ht="14">
      <c r="A123" s="108">
        <v>2000</v>
      </c>
      <c r="B123" s="108">
        <v>52</v>
      </c>
      <c r="C123" s="108" t="s">
        <v>138</v>
      </c>
      <c r="D123" s="108">
        <v>0</v>
      </c>
      <c r="E123" s="108">
        <v>667.46347487360902</v>
      </c>
      <c r="F123" s="108" t="s">
        <v>135</v>
      </c>
      <c r="G123" s="108"/>
      <c r="H123" s="108">
        <v>1</v>
      </c>
    </row>
    <row r="124" spans="1:8" ht="14">
      <c r="A124" s="108">
        <v>2000</v>
      </c>
      <c r="B124" s="108">
        <v>52</v>
      </c>
      <c r="C124" s="108" t="s">
        <v>138</v>
      </c>
      <c r="D124" s="108">
        <v>0</v>
      </c>
      <c r="E124" s="108">
        <v>2571.5795251263899</v>
      </c>
      <c r="F124" s="108" t="s">
        <v>136</v>
      </c>
      <c r="G124" s="108"/>
      <c r="H124" s="108">
        <v>1</v>
      </c>
    </row>
    <row r="125" spans="1:8" ht="14">
      <c r="A125" s="108">
        <v>2000</v>
      </c>
      <c r="B125" s="108">
        <v>52</v>
      </c>
      <c r="C125" s="108" t="s">
        <v>139</v>
      </c>
      <c r="D125" s="108">
        <v>0</v>
      </c>
      <c r="E125" s="108">
        <v>661.842385148581</v>
      </c>
      <c r="F125" s="108" t="s">
        <v>135</v>
      </c>
      <c r="G125" s="108"/>
      <c r="H125" s="108">
        <v>1</v>
      </c>
    </row>
    <row r="126" spans="1:8" ht="14">
      <c r="A126" s="108">
        <v>2000</v>
      </c>
      <c r="B126" s="108">
        <v>52</v>
      </c>
      <c r="C126" s="108" t="s">
        <v>139</v>
      </c>
      <c r="D126" s="108">
        <v>0</v>
      </c>
      <c r="E126" s="108">
        <v>2575.1496148514102</v>
      </c>
      <c r="F126" s="108" t="s">
        <v>136</v>
      </c>
      <c r="G126" s="108"/>
      <c r="H126" s="108">
        <v>1</v>
      </c>
    </row>
    <row r="127" spans="1:8" ht="14">
      <c r="A127" s="108">
        <v>2000</v>
      </c>
      <c r="B127" s="108">
        <v>52</v>
      </c>
      <c r="C127" s="108" t="s">
        <v>139</v>
      </c>
      <c r="D127" s="108">
        <v>0</v>
      </c>
      <c r="E127" s="108">
        <v>1E-3</v>
      </c>
      <c r="F127" s="108" t="s">
        <v>137</v>
      </c>
      <c r="G127" s="108"/>
      <c r="H127" s="108">
        <v>1</v>
      </c>
    </row>
    <row r="128" spans="1:8" ht="14">
      <c r="A128" s="108">
        <v>2000</v>
      </c>
      <c r="B128" s="108">
        <v>53</v>
      </c>
      <c r="C128" s="108" t="s">
        <v>30</v>
      </c>
      <c r="D128" s="108">
        <v>0</v>
      </c>
      <c r="E128" s="108">
        <v>14.8380706113889</v>
      </c>
      <c r="F128" s="108" t="s">
        <v>135</v>
      </c>
      <c r="G128" s="108"/>
      <c r="H128" s="108">
        <v>1</v>
      </c>
    </row>
    <row r="129" spans="1:8" ht="14">
      <c r="A129" s="108">
        <v>2000</v>
      </c>
      <c r="B129" s="108">
        <v>53</v>
      </c>
      <c r="C129" s="108" t="s">
        <v>30</v>
      </c>
      <c r="D129" s="108">
        <v>0</v>
      </c>
      <c r="E129" s="108">
        <v>13.837999999999999</v>
      </c>
      <c r="F129" s="108" t="s">
        <v>137</v>
      </c>
      <c r="G129" s="108"/>
      <c r="H129" s="108">
        <v>1</v>
      </c>
    </row>
    <row r="130" spans="1:8" ht="14">
      <c r="A130" s="108">
        <v>2000</v>
      </c>
      <c r="B130" s="108">
        <v>53</v>
      </c>
      <c r="C130" s="108" t="s">
        <v>30</v>
      </c>
      <c r="D130" s="108">
        <v>0</v>
      </c>
      <c r="E130" s="108">
        <v>173.485929388611</v>
      </c>
      <c r="F130" s="108" t="s">
        <v>136</v>
      </c>
      <c r="G130" s="108"/>
      <c r="H130" s="108">
        <v>1</v>
      </c>
    </row>
    <row r="131" spans="1:8" ht="14">
      <c r="A131" s="108">
        <v>2000</v>
      </c>
      <c r="B131" s="108">
        <v>53</v>
      </c>
      <c r="C131" s="108" t="s">
        <v>138</v>
      </c>
      <c r="D131" s="108">
        <v>0</v>
      </c>
      <c r="E131" s="108">
        <v>7.4193169129720804</v>
      </c>
      <c r="F131" s="108" t="s">
        <v>135</v>
      </c>
      <c r="G131" s="108"/>
      <c r="H131" s="108">
        <v>1</v>
      </c>
    </row>
    <row r="132" spans="1:8" ht="14">
      <c r="A132" s="108">
        <v>2000</v>
      </c>
      <c r="B132" s="108">
        <v>53</v>
      </c>
      <c r="C132" s="108" t="s">
        <v>138</v>
      </c>
      <c r="D132" s="108">
        <v>0</v>
      </c>
      <c r="E132" s="108">
        <v>86.6476830870279</v>
      </c>
      <c r="F132" s="108" t="s">
        <v>136</v>
      </c>
      <c r="G132" s="108"/>
      <c r="H132" s="108">
        <v>1</v>
      </c>
    </row>
    <row r="133" spans="1:8" ht="14">
      <c r="A133" s="108">
        <v>2000</v>
      </c>
      <c r="B133" s="108">
        <v>53</v>
      </c>
      <c r="C133" s="108" t="s">
        <v>138</v>
      </c>
      <c r="D133" s="108">
        <v>0</v>
      </c>
      <c r="E133" s="108">
        <v>7.1609999999999996</v>
      </c>
      <c r="F133" s="108" t="s">
        <v>137</v>
      </c>
      <c r="G133" s="108"/>
      <c r="H133" s="108">
        <v>1</v>
      </c>
    </row>
    <row r="134" spans="1:8" ht="14">
      <c r="A134" s="108">
        <v>2000</v>
      </c>
      <c r="B134" s="108">
        <v>53</v>
      </c>
      <c r="C134" s="108" t="s">
        <v>139</v>
      </c>
      <c r="D134" s="108">
        <v>0</v>
      </c>
      <c r="E134" s="108">
        <v>6.6769999999999996</v>
      </c>
      <c r="F134" s="108" t="s">
        <v>137</v>
      </c>
      <c r="G134" s="108"/>
      <c r="H134" s="108">
        <v>1</v>
      </c>
    </row>
    <row r="135" spans="1:8" ht="14">
      <c r="A135" s="108">
        <v>2000</v>
      </c>
      <c r="B135" s="108">
        <v>53</v>
      </c>
      <c r="C135" s="108" t="s">
        <v>139</v>
      </c>
      <c r="D135" s="108">
        <v>0</v>
      </c>
      <c r="E135" s="108">
        <v>7.4187536984168103</v>
      </c>
      <c r="F135" s="108" t="s">
        <v>135</v>
      </c>
      <c r="G135" s="108"/>
      <c r="H135" s="108">
        <v>1</v>
      </c>
    </row>
    <row r="136" spans="1:8" ht="14">
      <c r="A136" s="108">
        <v>2000</v>
      </c>
      <c r="B136" s="108">
        <v>53</v>
      </c>
      <c r="C136" s="108" t="s">
        <v>139</v>
      </c>
      <c r="D136" s="108">
        <v>0</v>
      </c>
      <c r="E136" s="108">
        <v>86.838246301583098</v>
      </c>
      <c r="F136" s="108" t="s">
        <v>136</v>
      </c>
      <c r="G136" s="108"/>
      <c r="H136" s="108">
        <v>1</v>
      </c>
    </row>
    <row r="137" spans="1:8" ht="14">
      <c r="A137" s="108">
        <v>2000</v>
      </c>
      <c r="B137" s="108">
        <v>54</v>
      </c>
      <c r="C137" s="108" t="s">
        <v>30</v>
      </c>
      <c r="D137" s="108">
        <v>3749.00797370188</v>
      </c>
      <c r="E137" s="108">
        <v>2796.7478613520502</v>
      </c>
      <c r="F137" s="108" t="s">
        <v>136</v>
      </c>
      <c r="G137" s="108"/>
      <c r="H137" s="108">
        <v>1</v>
      </c>
    </row>
    <row r="138" spans="1:8" ht="14">
      <c r="A138" s="108">
        <v>2000</v>
      </c>
      <c r="B138" s="108">
        <v>54</v>
      </c>
      <c r="C138" s="108" t="s">
        <v>30</v>
      </c>
      <c r="D138" s="108">
        <v>15.3474009496555</v>
      </c>
      <c r="E138" s="108">
        <v>8.5692488975083592</v>
      </c>
      <c r="F138" s="108" t="s">
        <v>137</v>
      </c>
      <c r="G138" s="108"/>
      <c r="H138" s="108">
        <v>1</v>
      </c>
    </row>
    <row r="139" spans="1:8" ht="14">
      <c r="A139" s="108">
        <v>2000</v>
      </c>
      <c r="B139" s="108">
        <v>54</v>
      </c>
      <c r="C139" s="108" t="s">
        <v>30</v>
      </c>
      <c r="D139" s="108">
        <v>318.773625348454</v>
      </c>
      <c r="E139" s="108">
        <v>289.865889750436</v>
      </c>
      <c r="F139" s="108" t="s">
        <v>135</v>
      </c>
      <c r="G139" s="108"/>
      <c r="H139" s="108">
        <v>1</v>
      </c>
    </row>
    <row r="140" spans="1:8" ht="14">
      <c r="A140" s="108">
        <v>2000</v>
      </c>
      <c r="B140" s="108">
        <v>54</v>
      </c>
      <c r="C140" s="108" t="s">
        <v>138</v>
      </c>
      <c r="D140" s="108">
        <v>165.925389853269</v>
      </c>
      <c r="E140" s="108">
        <v>142.538195592829</v>
      </c>
      <c r="F140" s="108" t="s">
        <v>135</v>
      </c>
      <c r="G140" s="108"/>
      <c r="H140" s="108">
        <v>1</v>
      </c>
    </row>
    <row r="141" spans="1:8" ht="14">
      <c r="A141" s="108">
        <v>2000</v>
      </c>
      <c r="B141" s="108">
        <v>54</v>
      </c>
      <c r="C141" s="108" t="s">
        <v>138</v>
      </c>
      <c r="D141" s="108">
        <v>3.2225602302302701</v>
      </c>
      <c r="E141" s="108">
        <v>3.17800625381666</v>
      </c>
      <c r="F141" s="108" t="s">
        <v>137</v>
      </c>
      <c r="G141" s="108"/>
      <c r="H141" s="108">
        <v>1</v>
      </c>
    </row>
    <row r="142" spans="1:8" ht="14">
      <c r="A142" s="108">
        <v>2000</v>
      </c>
      <c r="B142" s="108">
        <v>54</v>
      </c>
      <c r="C142" s="108" t="s">
        <v>138</v>
      </c>
      <c r="D142" s="108">
        <v>2078.0290499164998</v>
      </c>
      <c r="E142" s="108">
        <v>1707.16279815335</v>
      </c>
      <c r="F142" s="108" t="s">
        <v>136</v>
      </c>
      <c r="G142" s="108"/>
      <c r="H142" s="108">
        <v>1</v>
      </c>
    </row>
    <row r="143" spans="1:8" ht="14">
      <c r="A143" s="108">
        <v>2000</v>
      </c>
      <c r="B143" s="108">
        <v>54</v>
      </c>
      <c r="C143" s="108" t="s">
        <v>139</v>
      </c>
      <c r="D143" s="108">
        <v>12.124840719425199</v>
      </c>
      <c r="E143" s="108">
        <v>5.3912426436916903</v>
      </c>
      <c r="F143" s="108" t="s">
        <v>137</v>
      </c>
      <c r="G143" s="108"/>
      <c r="H143" s="108">
        <v>1</v>
      </c>
    </row>
    <row r="144" spans="1:8" ht="14">
      <c r="A144" s="108">
        <v>2000</v>
      </c>
      <c r="B144" s="108">
        <v>54</v>
      </c>
      <c r="C144" s="108" t="s">
        <v>139</v>
      </c>
      <c r="D144" s="108">
        <v>1670.97892378539</v>
      </c>
      <c r="E144" s="108">
        <v>1089.5850631987</v>
      </c>
      <c r="F144" s="108" t="s">
        <v>136</v>
      </c>
      <c r="G144" s="108"/>
      <c r="H144" s="108">
        <v>1</v>
      </c>
    </row>
    <row r="145" spans="1:8" ht="14">
      <c r="A145" s="108">
        <v>2000</v>
      </c>
      <c r="B145" s="108">
        <v>54</v>
      </c>
      <c r="C145" s="108" t="s">
        <v>139</v>
      </c>
      <c r="D145" s="108">
        <v>152.84823549518501</v>
      </c>
      <c r="E145" s="108">
        <v>147.327694157606</v>
      </c>
      <c r="F145" s="108" t="s">
        <v>135</v>
      </c>
      <c r="G145" s="108"/>
      <c r="H145" s="108">
        <v>1</v>
      </c>
    </row>
    <row r="146" spans="1:8" ht="14">
      <c r="A146" s="108">
        <v>2000</v>
      </c>
      <c r="B146" s="108">
        <v>56</v>
      </c>
      <c r="C146" s="108" t="s">
        <v>30</v>
      </c>
      <c r="D146" s="108">
        <v>0</v>
      </c>
      <c r="E146" s="108">
        <v>0</v>
      </c>
      <c r="F146" s="108" t="s">
        <v>136</v>
      </c>
      <c r="G146" s="108"/>
      <c r="H146" s="108">
        <v>1</v>
      </c>
    </row>
    <row r="147" spans="1:8" ht="14">
      <c r="A147" s="108">
        <v>2000</v>
      </c>
      <c r="B147" s="108">
        <v>56</v>
      </c>
      <c r="C147" s="108" t="s">
        <v>30</v>
      </c>
      <c r="D147" s="108">
        <v>20.88</v>
      </c>
      <c r="E147" s="108">
        <v>152.69900000000001</v>
      </c>
      <c r="F147" s="108" t="s">
        <v>135</v>
      </c>
      <c r="G147" s="108"/>
      <c r="H147" s="108">
        <v>1</v>
      </c>
    </row>
    <row r="148" spans="1:8" ht="14">
      <c r="A148" s="108">
        <v>2000</v>
      </c>
      <c r="B148" s="108">
        <v>56</v>
      </c>
      <c r="C148" s="108" t="s">
        <v>138</v>
      </c>
      <c r="D148" s="108">
        <v>13.9949999999999</v>
      </c>
      <c r="E148" s="108">
        <v>146.626</v>
      </c>
      <c r="F148" s="108" t="s">
        <v>135</v>
      </c>
      <c r="G148" s="108"/>
      <c r="H148" s="108">
        <v>1</v>
      </c>
    </row>
    <row r="149" spans="1:8" ht="14">
      <c r="A149" s="108">
        <v>2000</v>
      </c>
      <c r="B149" s="108">
        <v>56</v>
      </c>
      <c r="C149" s="108" t="s">
        <v>138</v>
      </c>
      <c r="D149" s="108">
        <v>0</v>
      </c>
      <c r="E149" s="108">
        <v>0</v>
      </c>
      <c r="F149" s="108" t="s">
        <v>136</v>
      </c>
      <c r="G149" s="108"/>
      <c r="H149" s="108">
        <v>1</v>
      </c>
    </row>
    <row r="150" spans="1:8" ht="14">
      <c r="A150" s="108">
        <v>2000</v>
      </c>
      <c r="B150" s="108">
        <v>56</v>
      </c>
      <c r="C150" s="108" t="s">
        <v>139</v>
      </c>
      <c r="D150" s="108">
        <v>6.8849999999999998</v>
      </c>
      <c r="E150" s="108">
        <v>6.0730000000000004</v>
      </c>
      <c r="F150" s="108" t="s">
        <v>135</v>
      </c>
      <c r="G150" s="108"/>
      <c r="H150" s="108">
        <v>1</v>
      </c>
    </row>
    <row r="151" spans="1:8" ht="14">
      <c r="A151" s="108">
        <v>2000</v>
      </c>
      <c r="B151" s="108">
        <v>59</v>
      </c>
      <c r="C151" s="108" t="s">
        <v>30</v>
      </c>
      <c r="D151" s="108">
        <v>220.097239054516</v>
      </c>
      <c r="E151" s="108">
        <v>13.2078052642178</v>
      </c>
      <c r="F151" s="108" t="s">
        <v>135</v>
      </c>
      <c r="G151" s="108"/>
      <c r="H151" s="108">
        <v>1</v>
      </c>
    </row>
    <row r="152" spans="1:8" ht="14">
      <c r="A152" s="108">
        <v>2000</v>
      </c>
      <c r="B152" s="108">
        <v>59</v>
      </c>
      <c r="C152" s="108" t="s">
        <v>30</v>
      </c>
      <c r="D152" s="108">
        <v>409.23876094548302</v>
      </c>
      <c r="E152" s="108">
        <v>53.058194735782102</v>
      </c>
      <c r="F152" s="108" t="s">
        <v>136</v>
      </c>
      <c r="G152" s="108"/>
      <c r="H152" s="108">
        <v>1</v>
      </c>
    </row>
    <row r="153" spans="1:8" ht="14">
      <c r="A153" s="108">
        <v>2000</v>
      </c>
      <c r="B153" s="108">
        <v>59</v>
      </c>
      <c r="C153" s="108" t="s">
        <v>30</v>
      </c>
      <c r="D153" s="108">
        <v>0.14799999999999999</v>
      </c>
      <c r="E153" s="108">
        <v>0.14799999999999999</v>
      </c>
      <c r="F153" s="108" t="s">
        <v>137</v>
      </c>
      <c r="G153" s="108"/>
      <c r="H153" s="108">
        <v>1</v>
      </c>
    </row>
    <row r="154" spans="1:8" ht="14">
      <c r="A154" s="108">
        <v>2000</v>
      </c>
      <c r="B154" s="108">
        <v>59</v>
      </c>
      <c r="C154" s="108" t="s">
        <v>138</v>
      </c>
      <c r="D154" s="108">
        <v>106.031845451626</v>
      </c>
      <c r="E154" s="108">
        <v>5.3809144234632296</v>
      </c>
      <c r="F154" s="108" t="s">
        <v>135</v>
      </c>
      <c r="G154" s="108"/>
      <c r="H154" s="108">
        <v>1</v>
      </c>
    </row>
    <row r="155" spans="1:8" ht="14">
      <c r="A155" s="108">
        <v>2000</v>
      </c>
      <c r="B155" s="108">
        <v>59</v>
      </c>
      <c r="C155" s="108" t="s">
        <v>138</v>
      </c>
      <c r="D155" s="108">
        <v>7.3999999999999996E-2</v>
      </c>
      <c r="E155" s="108">
        <v>7.3999999999999996E-2</v>
      </c>
      <c r="F155" s="108" t="s">
        <v>137</v>
      </c>
      <c r="G155" s="108"/>
      <c r="H155" s="108">
        <v>1</v>
      </c>
    </row>
    <row r="156" spans="1:8" ht="14">
      <c r="A156" s="108">
        <v>2000</v>
      </c>
      <c r="B156" s="108">
        <v>59</v>
      </c>
      <c r="C156" s="108" t="s">
        <v>138</v>
      </c>
      <c r="D156" s="108">
        <v>267.883154548373</v>
      </c>
      <c r="E156" s="108">
        <v>41.647085576536703</v>
      </c>
      <c r="F156" s="108" t="s">
        <v>136</v>
      </c>
      <c r="G156" s="108"/>
      <c r="H156" s="108">
        <v>1</v>
      </c>
    </row>
    <row r="157" spans="1:8" ht="14">
      <c r="A157" s="108">
        <v>2000</v>
      </c>
      <c r="B157" s="108">
        <v>59</v>
      </c>
      <c r="C157" s="108" t="s">
        <v>139</v>
      </c>
      <c r="D157" s="108">
        <v>114.06539360289</v>
      </c>
      <c r="E157" s="108">
        <v>7.8268908407545901</v>
      </c>
      <c r="F157" s="108" t="s">
        <v>135</v>
      </c>
      <c r="G157" s="108"/>
      <c r="H157" s="108">
        <v>1</v>
      </c>
    </row>
    <row r="158" spans="1:8" ht="14">
      <c r="A158" s="108">
        <v>2000</v>
      </c>
      <c r="B158" s="108">
        <v>59</v>
      </c>
      <c r="C158" s="108" t="s">
        <v>139</v>
      </c>
      <c r="D158" s="108">
        <v>141.355606397109</v>
      </c>
      <c r="E158" s="108">
        <v>11.411109159245299</v>
      </c>
      <c r="F158" s="108" t="s">
        <v>136</v>
      </c>
      <c r="G158" s="108"/>
      <c r="H158" s="108">
        <v>1</v>
      </c>
    </row>
    <row r="159" spans="1:8" ht="14">
      <c r="A159" s="108">
        <v>2000</v>
      </c>
      <c r="B159" s="108">
        <v>59</v>
      </c>
      <c r="C159" s="108" t="s">
        <v>139</v>
      </c>
      <c r="D159" s="108">
        <v>7.3999999999999996E-2</v>
      </c>
      <c r="E159" s="108">
        <v>7.3999999999999996E-2</v>
      </c>
      <c r="F159" s="108" t="s">
        <v>137</v>
      </c>
      <c r="G159" s="108"/>
      <c r="H159" s="108">
        <v>1</v>
      </c>
    </row>
    <row r="160" spans="1:8" ht="14">
      <c r="A160" s="108">
        <v>2000</v>
      </c>
      <c r="B160" s="108">
        <v>61</v>
      </c>
      <c r="C160" s="108" t="s">
        <v>30</v>
      </c>
      <c r="D160" s="108">
        <v>13118.490024155801</v>
      </c>
      <c r="E160" s="108">
        <v>988.62722798467303</v>
      </c>
      <c r="F160" s="108" t="s">
        <v>135</v>
      </c>
      <c r="G160" s="108"/>
      <c r="H160" s="108">
        <v>1</v>
      </c>
    </row>
    <row r="161" spans="1:8" ht="14">
      <c r="A161" s="108">
        <v>2000</v>
      </c>
      <c r="B161" s="108">
        <v>61</v>
      </c>
      <c r="C161" s="108" t="s">
        <v>30</v>
      </c>
      <c r="D161" s="108">
        <v>25130.777084694</v>
      </c>
      <c r="E161" s="108">
        <v>1738.22258093252</v>
      </c>
      <c r="F161" s="108" t="s">
        <v>136</v>
      </c>
      <c r="G161" s="108"/>
      <c r="H161" s="108">
        <v>1</v>
      </c>
    </row>
    <row r="162" spans="1:8" ht="14">
      <c r="A162" s="108">
        <v>2000</v>
      </c>
      <c r="B162" s="108">
        <v>61</v>
      </c>
      <c r="C162" s="108" t="s">
        <v>30</v>
      </c>
      <c r="D162" s="108">
        <v>0.81789115011202396</v>
      </c>
      <c r="E162" s="108">
        <v>3.2191082802547698E-2</v>
      </c>
      <c r="F162" s="108" t="s">
        <v>137</v>
      </c>
      <c r="G162" s="108"/>
      <c r="H162" s="108">
        <v>1</v>
      </c>
    </row>
    <row r="163" spans="1:8" ht="14">
      <c r="A163" s="108">
        <v>2000</v>
      </c>
      <c r="B163" s="108">
        <v>61</v>
      </c>
      <c r="C163" s="108" t="s">
        <v>138</v>
      </c>
      <c r="D163" s="108">
        <v>14021.5692552787</v>
      </c>
      <c r="E163" s="108">
        <v>873.19380994772803</v>
      </c>
      <c r="F163" s="108" t="s">
        <v>136</v>
      </c>
      <c r="G163" s="108"/>
      <c r="H163" s="108">
        <v>1</v>
      </c>
    </row>
    <row r="164" spans="1:8" ht="14">
      <c r="A164" s="108">
        <v>2000</v>
      </c>
      <c r="B164" s="108">
        <v>61</v>
      </c>
      <c r="C164" s="108" t="s">
        <v>138</v>
      </c>
      <c r="D164" s="108">
        <v>6662.7917447212603</v>
      </c>
      <c r="E164" s="108">
        <v>493.28319005227098</v>
      </c>
      <c r="F164" s="108" t="s">
        <v>135</v>
      </c>
      <c r="G164" s="108"/>
      <c r="H164" s="108">
        <v>1</v>
      </c>
    </row>
    <row r="165" spans="1:8" ht="14">
      <c r="A165" s="108">
        <v>2000</v>
      </c>
      <c r="B165" s="108">
        <v>61</v>
      </c>
      <c r="C165" s="108" t="s">
        <v>139</v>
      </c>
      <c r="D165" s="108">
        <v>6455.6982794345604</v>
      </c>
      <c r="E165" s="108">
        <v>495.34403793240199</v>
      </c>
      <c r="F165" s="108" t="s">
        <v>135</v>
      </c>
      <c r="G165" s="108"/>
      <c r="H165" s="108">
        <v>1</v>
      </c>
    </row>
    <row r="166" spans="1:8" ht="14">
      <c r="A166" s="108">
        <v>2000</v>
      </c>
      <c r="B166" s="108">
        <v>61</v>
      </c>
      <c r="C166" s="108" t="s">
        <v>139</v>
      </c>
      <c r="D166" s="108">
        <v>0.81789115011202396</v>
      </c>
      <c r="E166" s="108">
        <v>3.2191082802547698E-2</v>
      </c>
      <c r="F166" s="108" t="s">
        <v>137</v>
      </c>
      <c r="G166" s="108"/>
      <c r="H166" s="108">
        <v>1</v>
      </c>
    </row>
    <row r="167" spans="1:8" ht="14">
      <c r="A167" s="108">
        <v>2000</v>
      </c>
      <c r="B167" s="108">
        <v>61</v>
      </c>
      <c r="C167" s="108" t="s">
        <v>139</v>
      </c>
      <c r="D167" s="108">
        <v>11109.2078294153</v>
      </c>
      <c r="E167" s="108">
        <v>865.02877098479496</v>
      </c>
      <c r="F167" s="108" t="s">
        <v>136</v>
      </c>
      <c r="G167" s="108"/>
      <c r="H167" s="108">
        <v>1</v>
      </c>
    </row>
    <row r="168" spans="1:8" ht="14">
      <c r="A168" s="108">
        <v>2000</v>
      </c>
      <c r="B168" s="108">
        <v>62</v>
      </c>
      <c r="C168" s="108" t="s">
        <v>30</v>
      </c>
      <c r="D168" s="108">
        <v>92.051742659126006</v>
      </c>
      <c r="E168" s="108">
        <v>10.614590980505699</v>
      </c>
      <c r="F168" s="108" t="s">
        <v>135</v>
      </c>
      <c r="G168" s="108"/>
      <c r="H168" s="108">
        <v>1</v>
      </c>
    </row>
    <row r="169" spans="1:8" ht="14">
      <c r="A169" s="108">
        <v>2000</v>
      </c>
      <c r="B169" s="108">
        <v>62</v>
      </c>
      <c r="C169" s="108" t="s">
        <v>30</v>
      </c>
      <c r="D169" s="108">
        <v>477.57525734087301</v>
      </c>
      <c r="E169" s="108">
        <v>15.683409019494199</v>
      </c>
      <c r="F169" s="108" t="s">
        <v>136</v>
      </c>
      <c r="G169" s="108"/>
      <c r="H169" s="108">
        <v>1</v>
      </c>
    </row>
    <row r="170" spans="1:8" ht="14">
      <c r="A170" s="108">
        <v>2000</v>
      </c>
      <c r="B170" s="108">
        <v>62</v>
      </c>
      <c r="C170" s="108" t="s">
        <v>138</v>
      </c>
      <c r="D170" s="108">
        <v>394.45663360975499</v>
      </c>
      <c r="E170" s="108">
        <v>5.5938133897652902</v>
      </c>
      <c r="F170" s="108" t="s">
        <v>136</v>
      </c>
      <c r="G170" s="108"/>
      <c r="H170" s="108">
        <v>1</v>
      </c>
    </row>
    <row r="171" spans="1:8" ht="14">
      <c r="A171" s="108">
        <v>2000</v>
      </c>
      <c r="B171" s="108">
        <v>62</v>
      </c>
      <c r="C171" s="108" t="s">
        <v>138</v>
      </c>
      <c r="D171" s="108">
        <v>43.7323663902446</v>
      </c>
      <c r="E171" s="108">
        <v>4.9121866102347003</v>
      </c>
      <c r="F171" s="108" t="s">
        <v>135</v>
      </c>
      <c r="G171" s="108"/>
      <c r="H171" s="108">
        <v>1</v>
      </c>
    </row>
    <row r="172" spans="1:8" ht="14">
      <c r="A172" s="108">
        <v>2000</v>
      </c>
      <c r="B172" s="108">
        <v>62</v>
      </c>
      <c r="C172" s="108" t="s">
        <v>139</v>
      </c>
      <c r="D172" s="108">
        <v>48.3193762688813</v>
      </c>
      <c r="E172" s="108">
        <v>5.7024043702710099</v>
      </c>
      <c r="F172" s="108" t="s">
        <v>135</v>
      </c>
      <c r="G172" s="108"/>
      <c r="H172" s="108">
        <v>1</v>
      </c>
    </row>
    <row r="173" spans="1:8" ht="14">
      <c r="A173" s="108">
        <v>2000</v>
      </c>
      <c r="B173" s="108">
        <v>62</v>
      </c>
      <c r="C173" s="108" t="s">
        <v>139</v>
      </c>
      <c r="D173" s="108">
        <v>83.118623731118603</v>
      </c>
      <c r="E173" s="108">
        <v>10.089595629728899</v>
      </c>
      <c r="F173" s="108" t="s">
        <v>136</v>
      </c>
      <c r="G173" s="108"/>
      <c r="H173" s="108">
        <v>1</v>
      </c>
    </row>
    <row r="174" spans="1:8" ht="14">
      <c r="A174" s="108">
        <v>2000</v>
      </c>
      <c r="B174" s="108">
        <v>63</v>
      </c>
      <c r="C174" s="108" t="s">
        <v>30</v>
      </c>
      <c r="D174" s="108">
        <v>6152.4880000000003</v>
      </c>
      <c r="E174" s="108">
        <v>359.29499999999899</v>
      </c>
      <c r="F174" s="108" t="s">
        <v>136</v>
      </c>
      <c r="G174" s="108"/>
      <c r="H174" s="108">
        <v>1</v>
      </c>
    </row>
    <row r="175" spans="1:8" ht="14">
      <c r="A175" s="108">
        <v>2000</v>
      </c>
      <c r="B175" s="108">
        <v>63</v>
      </c>
      <c r="C175" s="108" t="s">
        <v>30</v>
      </c>
      <c r="D175" s="108">
        <v>13.4019999999999</v>
      </c>
      <c r="E175" s="108">
        <v>1.347</v>
      </c>
      <c r="F175" s="108" t="s">
        <v>135</v>
      </c>
      <c r="G175" s="108"/>
      <c r="H175" s="108">
        <v>1</v>
      </c>
    </row>
    <row r="176" spans="1:8" ht="14">
      <c r="A176" s="108">
        <v>2000</v>
      </c>
      <c r="B176" s="108">
        <v>63</v>
      </c>
      <c r="C176" s="108" t="s">
        <v>138</v>
      </c>
      <c r="D176" s="108">
        <v>3851.7289999999998</v>
      </c>
      <c r="E176" s="108">
        <v>188.59200000000001</v>
      </c>
      <c r="F176" s="108" t="s">
        <v>136</v>
      </c>
      <c r="G176" s="108"/>
      <c r="H176" s="108">
        <v>1</v>
      </c>
    </row>
    <row r="177" spans="1:8" ht="14">
      <c r="A177" s="108">
        <v>2000</v>
      </c>
      <c r="B177" s="108">
        <v>63</v>
      </c>
      <c r="C177" s="108" t="s">
        <v>138</v>
      </c>
      <c r="D177" s="108">
        <v>5.8719999999999999</v>
      </c>
      <c r="E177" s="108">
        <v>0.72799999999999998</v>
      </c>
      <c r="F177" s="108" t="s">
        <v>135</v>
      </c>
      <c r="G177" s="108"/>
      <c r="H177" s="108">
        <v>1</v>
      </c>
    </row>
    <row r="178" spans="1:8" ht="14">
      <c r="A178" s="108">
        <v>2000</v>
      </c>
      <c r="B178" s="108">
        <v>63</v>
      </c>
      <c r="C178" s="108" t="s">
        <v>139</v>
      </c>
      <c r="D178" s="108">
        <v>7.53</v>
      </c>
      <c r="E178" s="108">
        <v>0.618999999999999</v>
      </c>
      <c r="F178" s="108" t="s">
        <v>135</v>
      </c>
      <c r="G178" s="108"/>
      <c r="H178" s="108">
        <v>1</v>
      </c>
    </row>
    <row r="179" spans="1:8" ht="14">
      <c r="A179" s="108">
        <v>2000</v>
      </c>
      <c r="B179" s="108">
        <v>63</v>
      </c>
      <c r="C179" s="108" t="s">
        <v>139</v>
      </c>
      <c r="D179" s="108">
        <v>2300.759</v>
      </c>
      <c r="E179" s="108">
        <v>170.703</v>
      </c>
      <c r="F179" s="108" t="s">
        <v>136</v>
      </c>
      <c r="G179" s="108"/>
      <c r="H179" s="108">
        <v>1</v>
      </c>
    </row>
    <row r="180" spans="1:8" ht="14">
      <c r="A180" s="108">
        <v>2000</v>
      </c>
      <c r="B180" s="108">
        <v>69</v>
      </c>
      <c r="C180" s="108" t="s">
        <v>30</v>
      </c>
      <c r="D180" s="108">
        <v>2.1999999999999999E-2</v>
      </c>
      <c r="E180" s="108">
        <v>1E-3</v>
      </c>
      <c r="F180" s="108" t="s">
        <v>137</v>
      </c>
      <c r="G180" s="108"/>
      <c r="H180" s="108">
        <v>1</v>
      </c>
    </row>
    <row r="181" spans="1:8" ht="14">
      <c r="A181" s="108">
        <v>2000</v>
      </c>
      <c r="B181" s="108">
        <v>69</v>
      </c>
      <c r="C181" s="108" t="s">
        <v>30</v>
      </c>
      <c r="D181" s="108">
        <v>421.40699999999998</v>
      </c>
      <c r="E181" s="108">
        <v>31.257999999999999</v>
      </c>
      <c r="F181" s="108" t="s">
        <v>135</v>
      </c>
      <c r="G181" s="108"/>
      <c r="H181" s="108">
        <v>1</v>
      </c>
    </row>
    <row r="182" spans="1:8" ht="14">
      <c r="A182" s="108">
        <v>2000</v>
      </c>
      <c r="B182" s="108">
        <v>69</v>
      </c>
      <c r="C182" s="108" t="s">
        <v>30</v>
      </c>
      <c r="D182" s="108">
        <v>4.5239999999999903</v>
      </c>
      <c r="E182" s="108">
        <v>0.80599999999999905</v>
      </c>
      <c r="F182" s="108" t="s">
        <v>136</v>
      </c>
      <c r="G182" s="108"/>
      <c r="H182" s="108">
        <v>1</v>
      </c>
    </row>
    <row r="183" spans="1:8" ht="14">
      <c r="A183" s="108">
        <v>2000</v>
      </c>
      <c r="B183" s="108">
        <v>69</v>
      </c>
      <c r="C183" s="108" t="s">
        <v>138</v>
      </c>
      <c r="D183" s="108">
        <v>1.2E-2</v>
      </c>
      <c r="E183" s="108">
        <v>1E-3</v>
      </c>
      <c r="F183" s="108" t="s">
        <v>137</v>
      </c>
      <c r="G183" s="108"/>
      <c r="H183" s="108">
        <v>1</v>
      </c>
    </row>
    <row r="184" spans="1:8" ht="14">
      <c r="A184" s="108">
        <v>2000</v>
      </c>
      <c r="B184" s="108">
        <v>69</v>
      </c>
      <c r="C184" s="108" t="s">
        <v>138</v>
      </c>
      <c r="D184" s="108">
        <v>210.976</v>
      </c>
      <c r="E184" s="108">
        <v>15.941000000000001</v>
      </c>
      <c r="F184" s="108" t="s">
        <v>135</v>
      </c>
      <c r="G184" s="108"/>
      <c r="H184" s="108">
        <v>1</v>
      </c>
    </row>
    <row r="185" spans="1:8" ht="14">
      <c r="A185" s="108">
        <v>2000</v>
      </c>
      <c r="B185" s="108">
        <v>69</v>
      </c>
      <c r="C185" s="108" t="s">
        <v>138</v>
      </c>
      <c r="D185" s="108">
        <v>1.57</v>
      </c>
      <c r="E185" s="108">
        <v>0.33</v>
      </c>
      <c r="F185" s="108" t="s">
        <v>136</v>
      </c>
      <c r="G185" s="108"/>
      <c r="H185" s="108">
        <v>1</v>
      </c>
    </row>
    <row r="186" spans="1:8" ht="14">
      <c r="A186" s="108">
        <v>2000</v>
      </c>
      <c r="B186" s="108">
        <v>69</v>
      </c>
      <c r="C186" s="108" t="s">
        <v>139</v>
      </c>
      <c r="D186" s="108">
        <v>210.43099999999899</v>
      </c>
      <c r="E186" s="108">
        <v>15.317</v>
      </c>
      <c r="F186" s="108" t="s">
        <v>135</v>
      </c>
      <c r="G186" s="108"/>
      <c r="H186" s="108">
        <v>1</v>
      </c>
    </row>
    <row r="187" spans="1:8" ht="14">
      <c r="A187" s="108">
        <v>2000</v>
      </c>
      <c r="B187" s="108">
        <v>69</v>
      </c>
      <c r="C187" s="108" t="s">
        <v>139</v>
      </c>
      <c r="D187" s="108">
        <v>0.01</v>
      </c>
      <c r="E187" s="108">
        <v>0</v>
      </c>
      <c r="F187" s="108" t="s">
        <v>137</v>
      </c>
      <c r="G187" s="108"/>
      <c r="H187" s="108">
        <v>1</v>
      </c>
    </row>
    <row r="188" spans="1:8" ht="14">
      <c r="A188" s="108">
        <v>2000</v>
      </c>
      <c r="B188" s="108">
        <v>69</v>
      </c>
      <c r="C188" s="108" t="s">
        <v>139</v>
      </c>
      <c r="D188" s="108">
        <v>2.9540000000000002</v>
      </c>
      <c r="E188" s="108">
        <v>0.47599999999999898</v>
      </c>
      <c r="F188" s="108" t="s">
        <v>136</v>
      </c>
      <c r="G188" s="108"/>
      <c r="H188" s="108">
        <v>1</v>
      </c>
    </row>
    <row r="189" spans="1:8" ht="14">
      <c r="A189" s="108">
        <v>2000</v>
      </c>
      <c r="B189" s="108">
        <v>91</v>
      </c>
      <c r="C189" s="108" t="s">
        <v>30</v>
      </c>
      <c r="D189" s="108">
        <v>10.3687198037505</v>
      </c>
      <c r="E189" s="108">
        <v>0</v>
      </c>
      <c r="F189" s="108" t="s">
        <v>137</v>
      </c>
      <c r="G189" s="108"/>
      <c r="H189" s="108">
        <v>1</v>
      </c>
    </row>
    <row r="190" spans="1:8" ht="14">
      <c r="A190" s="108">
        <v>2000</v>
      </c>
      <c r="B190" s="108">
        <v>91</v>
      </c>
      <c r="C190" s="108" t="s">
        <v>30</v>
      </c>
      <c r="D190" s="108">
        <v>9603.1843817475292</v>
      </c>
      <c r="E190" s="108">
        <v>0</v>
      </c>
      <c r="F190" s="108" t="s">
        <v>136</v>
      </c>
      <c r="G190" s="108"/>
      <c r="H190" s="108">
        <v>1</v>
      </c>
    </row>
    <row r="191" spans="1:8" ht="14">
      <c r="A191" s="108">
        <v>2000</v>
      </c>
      <c r="B191" s="108">
        <v>91</v>
      </c>
      <c r="C191" s="108" t="s">
        <v>30</v>
      </c>
      <c r="D191" s="108">
        <v>181.61189844872001</v>
      </c>
      <c r="E191" s="108">
        <v>0</v>
      </c>
      <c r="F191" s="108" t="s">
        <v>135</v>
      </c>
      <c r="G191" s="108"/>
      <c r="H191" s="108">
        <v>1</v>
      </c>
    </row>
    <row r="192" spans="1:8" ht="14">
      <c r="A192" s="108">
        <v>2000</v>
      </c>
      <c r="B192" s="108">
        <v>91</v>
      </c>
      <c r="C192" s="108" t="s">
        <v>138</v>
      </c>
      <c r="D192" s="108">
        <v>0.52971980375050098</v>
      </c>
      <c r="E192" s="108">
        <v>0</v>
      </c>
      <c r="F192" s="108" t="s">
        <v>137</v>
      </c>
      <c r="G192" s="108"/>
      <c r="H192" s="108">
        <v>1</v>
      </c>
    </row>
    <row r="193" spans="1:8" ht="14">
      <c r="A193" s="108">
        <v>2000</v>
      </c>
      <c r="B193" s="108">
        <v>91</v>
      </c>
      <c r="C193" s="108" t="s">
        <v>138</v>
      </c>
      <c r="D193" s="108">
        <v>9501.3514414885194</v>
      </c>
      <c r="E193" s="108">
        <v>0</v>
      </c>
      <c r="F193" s="108" t="s">
        <v>136</v>
      </c>
      <c r="G193" s="108"/>
      <c r="H193" s="108">
        <v>1</v>
      </c>
    </row>
    <row r="194" spans="1:8" ht="14">
      <c r="A194" s="108">
        <v>2000</v>
      </c>
      <c r="B194" s="108">
        <v>91</v>
      </c>
      <c r="C194" s="108" t="s">
        <v>138</v>
      </c>
      <c r="D194" s="108">
        <v>37.524838707724903</v>
      </c>
      <c r="E194" s="108">
        <v>0</v>
      </c>
      <c r="F194" s="108" t="s">
        <v>135</v>
      </c>
      <c r="G194" s="108"/>
      <c r="H194" s="108">
        <v>1</v>
      </c>
    </row>
    <row r="195" spans="1:8" ht="14">
      <c r="A195" s="108">
        <v>2000</v>
      </c>
      <c r="B195" s="108">
        <v>91</v>
      </c>
      <c r="C195" s="108" t="s">
        <v>139</v>
      </c>
      <c r="D195" s="108">
        <v>9.8390000000000004</v>
      </c>
      <c r="E195" s="108">
        <v>0</v>
      </c>
      <c r="F195" s="108" t="s">
        <v>137</v>
      </c>
      <c r="G195" s="108"/>
      <c r="H195" s="108">
        <v>1</v>
      </c>
    </row>
    <row r="196" spans="1:8" ht="14">
      <c r="A196" s="108">
        <v>2000</v>
      </c>
      <c r="B196" s="108">
        <v>91</v>
      </c>
      <c r="C196" s="108" t="s">
        <v>139</v>
      </c>
      <c r="D196" s="108">
        <v>101.832940259004</v>
      </c>
      <c r="E196" s="108">
        <v>0</v>
      </c>
      <c r="F196" s="108" t="s">
        <v>136</v>
      </c>
      <c r="G196" s="108"/>
      <c r="H196" s="108">
        <v>1</v>
      </c>
    </row>
    <row r="197" spans="1:8" ht="14">
      <c r="A197" s="108">
        <v>2000</v>
      </c>
      <c r="B197" s="108">
        <v>91</v>
      </c>
      <c r="C197" s="108" t="s">
        <v>139</v>
      </c>
      <c r="D197" s="108">
        <v>144.08705974099499</v>
      </c>
      <c r="E197" s="108">
        <v>0</v>
      </c>
      <c r="F197" s="108" t="s">
        <v>135</v>
      </c>
      <c r="G197" s="108"/>
      <c r="H197" s="108">
        <v>1</v>
      </c>
    </row>
    <row r="198" spans="1:8" ht="14">
      <c r="A198" s="108">
        <v>2000</v>
      </c>
      <c r="B198" s="108">
        <v>92</v>
      </c>
      <c r="C198" s="108" t="s">
        <v>30</v>
      </c>
      <c r="D198" s="108">
        <v>9349.96300732298</v>
      </c>
      <c r="E198" s="108">
        <v>0</v>
      </c>
      <c r="F198" s="108" t="s">
        <v>136</v>
      </c>
      <c r="G198" s="108"/>
      <c r="H198" s="108">
        <v>1</v>
      </c>
    </row>
    <row r="199" spans="1:8" ht="14">
      <c r="A199" s="108">
        <v>2000</v>
      </c>
      <c r="B199" s="108">
        <v>92</v>
      </c>
      <c r="C199" s="108" t="s">
        <v>30</v>
      </c>
      <c r="D199" s="108">
        <v>412.52382893103999</v>
      </c>
      <c r="E199" s="108">
        <v>0</v>
      </c>
      <c r="F199" s="108" t="s">
        <v>135</v>
      </c>
      <c r="G199" s="108"/>
      <c r="H199" s="108">
        <v>1</v>
      </c>
    </row>
    <row r="200" spans="1:8" ht="14">
      <c r="A200" s="108">
        <v>2000</v>
      </c>
      <c r="B200" s="108">
        <v>92</v>
      </c>
      <c r="C200" s="108" t="s">
        <v>30</v>
      </c>
      <c r="D200" s="108">
        <v>13.9521637459774</v>
      </c>
      <c r="E200" s="108">
        <v>0</v>
      </c>
      <c r="F200" s="108" t="s">
        <v>137</v>
      </c>
      <c r="G200" s="108"/>
      <c r="H200" s="108">
        <v>1</v>
      </c>
    </row>
    <row r="201" spans="1:8" ht="14">
      <c r="A201" s="108">
        <v>2000</v>
      </c>
      <c r="B201" s="108">
        <v>92</v>
      </c>
      <c r="C201" s="108" t="s">
        <v>138</v>
      </c>
      <c r="D201" s="108">
        <v>5511.3778531149801</v>
      </c>
      <c r="E201" s="108">
        <v>0</v>
      </c>
      <c r="F201" s="108" t="s">
        <v>136</v>
      </c>
      <c r="G201" s="108"/>
      <c r="H201" s="108">
        <v>1</v>
      </c>
    </row>
    <row r="202" spans="1:8" ht="14">
      <c r="A202" s="108">
        <v>2000</v>
      </c>
      <c r="B202" s="108">
        <v>92</v>
      </c>
      <c r="C202" s="108" t="s">
        <v>138</v>
      </c>
      <c r="D202" s="108">
        <v>6.2943694314254302</v>
      </c>
      <c r="E202" s="108">
        <v>0</v>
      </c>
      <c r="F202" s="108" t="s">
        <v>137</v>
      </c>
      <c r="G202" s="108"/>
      <c r="H202" s="108">
        <v>1</v>
      </c>
    </row>
    <row r="203" spans="1:8" ht="14">
      <c r="A203" s="108">
        <v>2000</v>
      </c>
      <c r="B203" s="108">
        <v>92</v>
      </c>
      <c r="C203" s="108" t="s">
        <v>138</v>
      </c>
      <c r="D203" s="108">
        <v>175.573777453594</v>
      </c>
      <c r="E203" s="108">
        <v>0</v>
      </c>
      <c r="F203" s="108" t="s">
        <v>135</v>
      </c>
      <c r="G203" s="108"/>
      <c r="H203" s="108">
        <v>1</v>
      </c>
    </row>
    <row r="204" spans="1:8" ht="14">
      <c r="A204" s="108">
        <v>2000</v>
      </c>
      <c r="B204" s="108">
        <v>92</v>
      </c>
      <c r="C204" s="108" t="s">
        <v>139</v>
      </c>
      <c r="D204" s="108">
        <v>236.95005147744499</v>
      </c>
      <c r="E204" s="108">
        <v>0</v>
      </c>
      <c r="F204" s="108" t="s">
        <v>135</v>
      </c>
      <c r="G204" s="108"/>
      <c r="H204" s="108">
        <v>1</v>
      </c>
    </row>
    <row r="205" spans="1:8" ht="14">
      <c r="A205" s="108">
        <v>2000</v>
      </c>
      <c r="B205" s="108">
        <v>92</v>
      </c>
      <c r="C205" s="108" t="s">
        <v>139</v>
      </c>
      <c r="D205" s="108">
        <v>7.6577943145520004</v>
      </c>
      <c r="E205" s="108">
        <v>0</v>
      </c>
      <c r="F205" s="108" t="s">
        <v>137</v>
      </c>
      <c r="G205" s="108"/>
      <c r="H205" s="108">
        <v>1</v>
      </c>
    </row>
    <row r="206" spans="1:8" ht="14">
      <c r="A206" s="108">
        <v>2000</v>
      </c>
      <c r="B206" s="108">
        <v>92</v>
      </c>
      <c r="C206" s="108" t="s">
        <v>139</v>
      </c>
      <c r="D206" s="108">
        <v>3838.5851542079999</v>
      </c>
      <c r="E206" s="108">
        <v>0</v>
      </c>
      <c r="F206" s="108" t="s">
        <v>136</v>
      </c>
      <c r="G206" s="108"/>
      <c r="H206" s="108">
        <v>1</v>
      </c>
    </row>
    <row r="207" spans="1:8" ht="14">
      <c r="A207" s="108">
        <v>2000</v>
      </c>
      <c r="B207" s="108">
        <v>99</v>
      </c>
      <c r="C207" s="108" t="s">
        <v>30</v>
      </c>
      <c r="D207" s="108">
        <v>3520.0138890957001</v>
      </c>
      <c r="E207" s="108">
        <v>0</v>
      </c>
      <c r="F207" s="108" t="s">
        <v>136</v>
      </c>
      <c r="G207" s="108"/>
      <c r="H207" s="108">
        <v>1</v>
      </c>
    </row>
    <row r="208" spans="1:8" ht="14">
      <c r="A208" s="108">
        <v>2000</v>
      </c>
      <c r="B208" s="108">
        <v>99</v>
      </c>
      <c r="C208" s="108" t="s">
        <v>30</v>
      </c>
      <c r="D208" s="108">
        <v>1392.52946788949</v>
      </c>
      <c r="E208" s="108">
        <v>0</v>
      </c>
      <c r="F208" s="108" t="s">
        <v>135</v>
      </c>
      <c r="G208" s="108"/>
      <c r="H208" s="108">
        <v>1</v>
      </c>
    </row>
    <row r="209" spans="1:8" ht="14">
      <c r="A209" s="108">
        <v>2000</v>
      </c>
      <c r="B209" s="108">
        <v>99</v>
      </c>
      <c r="C209" s="108" t="s">
        <v>30</v>
      </c>
      <c r="D209" s="108">
        <v>13.953643014794</v>
      </c>
      <c r="E209" s="108">
        <v>0</v>
      </c>
      <c r="F209" s="108" t="s">
        <v>137</v>
      </c>
      <c r="G209" s="108"/>
      <c r="H209" s="108">
        <v>1</v>
      </c>
    </row>
    <row r="210" spans="1:8" ht="14">
      <c r="A210" s="108">
        <v>2000</v>
      </c>
      <c r="B210" s="108">
        <v>99</v>
      </c>
      <c r="C210" s="108" t="s">
        <v>138</v>
      </c>
      <c r="D210" s="108">
        <v>6.1711487062020698</v>
      </c>
      <c r="E210" s="108">
        <v>0</v>
      </c>
      <c r="F210" s="108" t="s">
        <v>137</v>
      </c>
      <c r="G210" s="108"/>
      <c r="H210" s="108">
        <v>1</v>
      </c>
    </row>
    <row r="211" spans="1:8" ht="14">
      <c r="A211" s="108">
        <v>2000</v>
      </c>
      <c r="B211" s="108">
        <v>99</v>
      </c>
      <c r="C211" s="108" t="s">
        <v>138</v>
      </c>
      <c r="D211" s="108">
        <v>513.70842758582296</v>
      </c>
      <c r="E211" s="108">
        <v>0</v>
      </c>
      <c r="F211" s="108" t="s">
        <v>135</v>
      </c>
      <c r="G211" s="108"/>
      <c r="H211" s="108">
        <v>1</v>
      </c>
    </row>
    <row r="212" spans="1:8" ht="14">
      <c r="A212" s="108">
        <v>2000</v>
      </c>
      <c r="B212" s="108">
        <v>99</v>
      </c>
      <c r="C212" s="108" t="s">
        <v>138</v>
      </c>
      <c r="D212" s="108">
        <v>2425.5014237079699</v>
      </c>
      <c r="E212" s="108">
        <v>0</v>
      </c>
      <c r="F212" s="108" t="s">
        <v>136</v>
      </c>
      <c r="G212" s="108"/>
      <c r="H212" s="108">
        <v>1</v>
      </c>
    </row>
    <row r="213" spans="1:8" ht="14">
      <c r="A213" s="108">
        <v>2000</v>
      </c>
      <c r="B213" s="108">
        <v>99</v>
      </c>
      <c r="C213" s="108" t="s">
        <v>139</v>
      </c>
      <c r="D213" s="108">
        <v>878.82104030367304</v>
      </c>
      <c r="E213" s="108">
        <v>0</v>
      </c>
      <c r="F213" s="108" t="s">
        <v>135</v>
      </c>
      <c r="G213" s="108"/>
      <c r="H213" s="108">
        <v>1</v>
      </c>
    </row>
    <row r="214" spans="1:8" ht="14">
      <c r="A214" s="108">
        <v>2000</v>
      </c>
      <c r="B214" s="108">
        <v>99</v>
      </c>
      <c r="C214" s="108" t="s">
        <v>139</v>
      </c>
      <c r="D214" s="108">
        <v>7.7824943085919696</v>
      </c>
      <c r="E214" s="108">
        <v>0</v>
      </c>
      <c r="F214" s="108" t="s">
        <v>137</v>
      </c>
      <c r="G214" s="108"/>
      <c r="H214" s="108">
        <v>1</v>
      </c>
    </row>
    <row r="215" spans="1:8" ht="14">
      <c r="A215" s="108">
        <v>2000</v>
      </c>
      <c r="B215" s="108">
        <v>99</v>
      </c>
      <c r="C215" s="108" t="s">
        <v>139</v>
      </c>
      <c r="D215" s="108">
        <v>1094.5124653877299</v>
      </c>
      <c r="E215" s="108">
        <v>0</v>
      </c>
      <c r="F215" s="108" t="s">
        <v>136</v>
      </c>
      <c r="G215" s="108"/>
      <c r="H215" s="108">
        <v>1</v>
      </c>
    </row>
    <row r="216" spans="1:8" ht="14">
      <c r="A216" s="108">
        <v>2001</v>
      </c>
      <c r="B216" s="108">
        <v>11</v>
      </c>
      <c r="C216" s="108" t="s">
        <v>30</v>
      </c>
      <c r="D216" s="108">
        <v>5724.9897621792798</v>
      </c>
      <c r="E216" s="108">
        <v>0</v>
      </c>
      <c r="F216" s="108" t="s">
        <v>136</v>
      </c>
      <c r="G216" s="108"/>
      <c r="H216" s="108">
        <v>1</v>
      </c>
    </row>
    <row r="217" spans="1:8" ht="14">
      <c r="A217" s="108">
        <v>2001</v>
      </c>
      <c r="B217" s="108">
        <v>11</v>
      </c>
      <c r="C217" s="108" t="s">
        <v>30</v>
      </c>
      <c r="D217" s="108">
        <v>2319.0614907106101</v>
      </c>
      <c r="E217" s="108">
        <v>0</v>
      </c>
      <c r="F217" s="108" t="s">
        <v>135</v>
      </c>
      <c r="G217" s="108"/>
      <c r="H217" s="108">
        <v>1</v>
      </c>
    </row>
    <row r="218" spans="1:8" ht="14">
      <c r="A218" s="108">
        <v>2001</v>
      </c>
      <c r="B218" s="108">
        <v>11</v>
      </c>
      <c r="C218" s="108" t="s">
        <v>30</v>
      </c>
      <c r="D218" s="108">
        <v>7.4217471100957599</v>
      </c>
      <c r="E218" s="108">
        <v>0</v>
      </c>
      <c r="F218" s="108" t="s">
        <v>137</v>
      </c>
      <c r="G218" s="108"/>
      <c r="H218" s="108">
        <v>1</v>
      </c>
    </row>
    <row r="219" spans="1:8" ht="14">
      <c r="A219" s="108">
        <v>2001</v>
      </c>
      <c r="B219" s="108">
        <v>11</v>
      </c>
      <c r="C219" s="108" t="s">
        <v>138</v>
      </c>
      <c r="D219" s="108">
        <v>953.39883440743199</v>
      </c>
      <c r="E219" s="108">
        <v>0</v>
      </c>
      <c r="F219" s="108" t="s">
        <v>135</v>
      </c>
      <c r="G219" s="108"/>
      <c r="H219" s="108">
        <v>1</v>
      </c>
    </row>
    <row r="220" spans="1:8" ht="14">
      <c r="A220" s="108">
        <v>2001</v>
      </c>
      <c r="B220" s="108">
        <v>11</v>
      </c>
      <c r="C220" s="108" t="s">
        <v>138</v>
      </c>
      <c r="D220" s="108">
        <v>1230.1429241691901</v>
      </c>
      <c r="E220" s="108">
        <v>0</v>
      </c>
      <c r="F220" s="108" t="s">
        <v>136</v>
      </c>
      <c r="G220" s="108"/>
      <c r="H220" s="108">
        <v>1</v>
      </c>
    </row>
    <row r="221" spans="1:8" ht="14">
      <c r="A221" s="108">
        <v>2001</v>
      </c>
      <c r="B221" s="108">
        <v>11</v>
      </c>
      <c r="C221" s="108" t="s">
        <v>138</v>
      </c>
      <c r="D221" s="108">
        <v>2.2912414233736098</v>
      </c>
      <c r="E221" s="108">
        <v>0</v>
      </c>
      <c r="F221" s="108" t="s">
        <v>137</v>
      </c>
      <c r="G221" s="108"/>
      <c r="H221" s="108">
        <v>1</v>
      </c>
    </row>
    <row r="222" spans="1:8" ht="14">
      <c r="A222" s="108">
        <v>2001</v>
      </c>
      <c r="B222" s="108">
        <v>11</v>
      </c>
      <c r="C222" s="108" t="s">
        <v>139</v>
      </c>
      <c r="D222" s="108">
        <v>4494.8468380100903</v>
      </c>
      <c r="E222" s="108">
        <v>0</v>
      </c>
      <c r="F222" s="108" t="s">
        <v>136</v>
      </c>
      <c r="G222" s="108"/>
      <c r="H222" s="108">
        <v>1</v>
      </c>
    </row>
    <row r="223" spans="1:8" ht="14">
      <c r="A223" s="108">
        <v>2001</v>
      </c>
      <c r="B223" s="108">
        <v>11</v>
      </c>
      <c r="C223" s="108" t="s">
        <v>139</v>
      </c>
      <c r="D223" s="108">
        <v>1365.66265630318</v>
      </c>
      <c r="E223" s="108">
        <v>0</v>
      </c>
      <c r="F223" s="108" t="s">
        <v>135</v>
      </c>
      <c r="G223" s="108"/>
      <c r="H223" s="108">
        <v>1</v>
      </c>
    </row>
    <row r="224" spans="1:8" ht="14">
      <c r="A224" s="108">
        <v>2001</v>
      </c>
      <c r="B224" s="108">
        <v>11</v>
      </c>
      <c r="C224" s="108" t="s">
        <v>139</v>
      </c>
      <c r="D224" s="108">
        <v>5.1305056867221399</v>
      </c>
      <c r="E224" s="108">
        <v>0</v>
      </c>
      <c r="F224" s="108" t="s">
        <v>137</v>
      </c>
      <c r="G224" s="108"/>
      <c r="H224" s="108">
        <v>1</v>
      </c>
    </row>
    <row r="225" spans="1:8" ht="14">
      <c r="A225" s="108">
        <v>2001</v>
      </c>
      <c r="B225" s="108">
        <v>12</v>
      </c>
      <c r="C225" s="108" t="s">
        <v>30</v>
      </c>
      <c r="D225" s="108">
        <v>54001.129970433103</v>
      </c>
      <c r="E225" s="108">
        <v>0</v>
      </c>
      <c r="F225" s="108" t="s">
        <v>135</v>
      </c>
      <c r="G225" s="108"/>
      <c r="H225" s="108">
        <v>1</v>
      </c>
    </row>
    <row r="226" spans="1:8" ht="14">
      <c r="A226" s="108">
        <v>2001</v>
      </c>
      <c r="B226" s="108">
        <v>12</v>
      </c>
      <c r="C226" s="108" t="s">
        <v>30</v>
      </c>
      <c r="D226" s="108">
        <v>9.3396287217761795</v>
      </c>
      <c r="E226" s="108">
        <v>0</v>
      </c>
      <c r="F226" s="108" t="s">
        <v>137</v>
      </c>
      <c r="G226" s="108"/>
      <c r="H226" s="108">
        <v>1</v>
      </c>
    </row>
    <row r="227" spans="1:8" ht="14">
      <c r="A227" s="108">
        <v>2001</v>
      </c>
      <c r="B227" s="108">
        <v>12</v>
      </c>
      <c r="C227" s="108" t="s">
        <v>30</v>
      </c>
      <c r="D227" s="108">
        <v>114546.59240084499</v>
      </c>
      <c r="E227" s="108">
        <v>0</v>
      </c>
      <c r="F227" s="108" t="s">
        <v>136</v>
      </c>
      <c r="G227" s="108"/>
      <c r="H227" s="108">
        <v>1</v>
      </c>
    </row>
    <row r="228" spans="1:8" ht="14">
      <c r="A228" s="108">
        <v>2001</v>
      </c>
      <c r="B228" s="108">
        <v>12</v>
      </c>
      <c r="C228" s="108" t="s">
        <v>138</v>
      </c>
      <c r="D228" s="108">
        <v>40979.478062739799</v>
      </c>
      <c r="E228" s="108">
        <v>0</v>
      </c>
      <c r="F228" s="108" t="s">
        <v>136</v>
      </c>
      <c r="G228" s="108"/>
      <c r="H228" s="108">
        <v>1</v>
      </c>
    </row>
    <row r="229" spans="1:8" ht="14">
      <c r="A229" s="108">
        <v>2001</v>
      </c>
      <c r="B229" s="108">
        <v>12</v>
      </c>
      <c r="C229" s="108" t="s">
        <v>138</v>
      </c>
      <c r="D229" s="108">
        <v>9.3396287217761795</v>
      </c>
      <c r="E229" s="108">
        <v>0</v>
      </c>
      <c r="F229" s="108" t="s">
        <v>137</v>
      </c>
      <c r="G229" s="108"/>
      <c r="H229" s="108">
        <v>1</v>
      </c>
    </row>
    <row r="230" spans="1:8" ht="14">
      <c r="A230" s="108">
        <v>2001</v>
      </c>
      <c r="B230" s="108">
        <v>12</v>
      </c>
      <c r="C230" s="108" t="s">
        <v>138</v>
      </c>
      <c r="D230" s="108">
        <v>36745.222308538301</v>
      </c>
      <c r="E230" s="108">
        <v>0</v>
      </c>
      <c r="F230" s="108" t="s">
        <v>135</v>
      </c>
      <c r="G230" s="108"/>
      <c r="H230" s="108">
        <v>1</v>
      </c>
    </row>
    <row r="231" spans="1:8" ht="14">
      <c r="A231" s="108">
        <v>2001</v>
      </c>
      <c r="B231" s="108">
        <v>12</v>
      </c>
      <c r="C231" s="108" t="s">
        <v>139</v>
      </c>
      <c r="D231" s="108">
        <v>17255.9076618947</v>
      </c>
      <c r="E231" s="108">
        <v>0</v>
      </c>
      <c r="F231" s="108" t="s">
        <v>135</v>
      </c>
      <c r="G231" s="108"/>
      <c r="H231" s="108">
        <v>1</v>
      </c>
    </row>
    <row r="232" spans="1:8" ht="14">
      <c r="A232" s="108">
        <v>2001</v>
      </c>
      <c r="B232" s="108">
        <v>12</v>
      </c>
      <c r="C232" s="108" t="s">
        <v>139</v>
      </c>
      <c r="D232" s="108">
        <v>73567.114338105195</v>
      </c>
      <c r="E232" s="108">
        <v>0</v>
      </c>
      <c r="F232" s="108" t="s">
        <v>136</v>
      </c>
      <c r="G232" s="108"/>
      <c r="H232" s="108">
        <v>1</v>
      </c>
    </row>
    <row r="233" spans="1:8" ht="14">
      <c r="A233" s="108">
        <v>2001</v>
      </c>
      <c r="B233" s="108">
        <v>13</v>
      </c>
      <c r="C233" s="108" t="s">
        <v>30</v>
      </c>
      <c r="D233" s="108">
        <v>30573.463546818599</v>
      </c>
      <c r="E233" s="108">
        <v>0</v>
      </c>
      <c r="F233" s="108" t="s">
        <v>135</v>
      </c>
      <c r="G233" s="108"/>
      <c r="H233" s="108">
        <v>1</v>
      </c>
    </row>
    <row r="234" spans="1:8" ht="14">
      <c r="A234" s="108">
        <v>2001</v>
      </c>
      <c r="B234" s="108">
        <v>13</v>
      </c>
      <c r="C234" s="108" t="s">
        <v>30</v>
      </c>
      <c r="D234" s="108">
        <v>281.60229097462002</v>
      </c>
      <c r="E234" s="108">
        <v>0</v>
      </c>
      <c r="F234" s="108" t="s">
        <v>137</v>
      </c>
      <c r="G234" s="108"/>
      <c r="H234" s="108">
        <v>1</v>
      </c>
    </row>
    <row r="235" spans="1:8" ht="14">
      <c r="A235" s="108">
        <v>2001</v>
      </c>
      <c r="B235" s="108">
        <v>13</v>
      </c>
      <c r="C235" s="108" t="s">
        <v>30</v>
      </c>
      <c r="D235" s="108">
        <v>51737.892162206699</v>
      </c>
      <c r="E235" s="108">
        <v>0</v>
      </c>
      <c r="F235" s="108" t="s">
        <v>136</v>
      </c>
      <c r="G235" s="108"/>
      <c r="H235" s="108">
        <v>1</v>
      </c>
    </row>
    <row r="236" spans="1:8" ht="14">
      <c r="A236" s="108">
        <v>2001</v>
      </c>
      <c r="B236" s="108">
        <v>13</v>
      </c>
      <c r="C236" s="108" t="s">
        <v>138</v>
      </c>
      <c r="D236" s="108">
        <v>24035.356466169898</v>
      </c>
      <c r="E236" s="108">
        <v>0</v>
      </c>
      <c r="F236" s="108" t="s">
        <v>136</v>
      </c>
      <c r="G236" s="108"/>
      <c r="H236" s="108">
        <v>1</v>
      </c>
    </row>
    <row r="237" spans="1:8" ht="14">
      <c r="A237" s="108">
        <v>2001</v>
      </c>
      <c r="B237" s="108">
        <v>13</v>
      </c>
      <c r="C237" s="108" t="s">
        <v>138</v>
      </c>
      <c r="D237" s="108">
        <v>14678.8963049048</v>
      </c>
      <c r="E237" s="108">
        <v>0</v>
      </c>
      <c r="F237" s="108" t="s">
        <v>135</v>
      </c>
      <c r="G237" s="108"/>
      <c r="H237" s="108">
        <v>1</v>
      </c>
    </row>
    <row r="238" spans="1:8" ht="14">
      <c r="A238" s="108">
        <v>2001</v>
      </c>
      <c r="B238" s="108">
        <v>13</v>
      </c>
      <c r="C238" s="108" t="s">
        <v>138</v>
      </c>
      <c r="D238" s="108">
        <v>25.949228925193101</v>
      </c>
      <c r="E238" s="108">
        <v>0</v>
      </c>
      <c r="F238" s="108" t="s">
        <v>137</v>
      </c>
      <c r="G238" s="108"/>
      <c r="H238" s="108">
        <v>1</v>
      </c>
    </row>
    <row r="239" spans="1:8" ht="14">
      <c r="A239" s="108">
        <v>2001</v>
      </c>
      <c r="B239" s="108">
        <v>13</v>
      </c>
      <c r="C239" s="108" t="s">
        <v>139</v>
      </c>
      <c r="D239" s="108">
        <v>15894.567241913701</v>
      </c>
      <c r="E239" s="108">
        <v>0</v>
      </c>
      <c r="F239" s="108" t="s">
        <v>135</v>
      </c>
      <c r="G239" s="108"/>
      <c r="H239" s="108">
        <v>1</v>
      </c>
    </row>
    <row r="240" spans="1:8" ht="14">
      <c r="A240" s="108">
        <v>2001</v>
      </c>
      <c r="B240" s="108">
        <v>13</v>
      </c>
      <c r="C240" s="108" t="s">
        <v>139</v>
      </c>
      <c r="D240" s="108">
        <v>255.65306204942701</v>
      </c>
      <c r="E240" s="108">
        <v>0</v>
      </c>
      <c r="F240" s="108" t="s">
        <v>137</v>
      </c>
      <c r="G240" s="108"/>
      <c r="H240" s="108">
        <v>1</v>
      </c>
    </row>
    <row r="241" spans="1:8" ht="14">
      <c r="A241" s="108">
        <v>2001</v>
      </c>
      <c r="B241" s="108">
        <v>13</v>
      </c>
      <c r="C241" s="108" t="s">
        <v>139</v>
      </c>
      <c r="D241" s="108">
        <v>27702.535696036801</v>
      </c>
      <c r="E241" s="108">
        <v>0</v>
      </c>
      <c r="F241" s="108" t="s">
        <v>136</v>
      </c>
      <c r="G241" s="108"/>
      <c r="H241" s="108">
        <v>1</v>
      </c>
    </row>
    <row r="242" spans="1:8" ht="14">
      <c r="A242" s="108">
        <v>2001</v>
      </c>
      <c r="B242" s="108">
        <v>19</v>
      </c>
      <c r="C242" s="108" t="s">
        <v>30</v>
      </c>
      <c r="D242" s="108">
        <v>11430.5427447327</v>
      </c>
      <c r="E242" s="108">
        <v>0</v>
      </c>
      <c r="F242" s="108" t="s">
        <v>136</v>
      </c>
      <c r="G242" s="108"/>
      <c r="H242" s="108">
        <v>1</v>
      </c>
    </row>
    <row r="243" spans="1:8" ht="14">
      <c r="A243" s="108">
        <v>2001</v>
      </c>
      <c r="B243" s="108">
        <v>19</v>
      </c>
      <c r="C243" s="108" t="s">
        <v>30</v>
      </c>
      <c r="D243" s="108">
        <v>2709.7192025383401</v>
      </c>
      <c r="E243" s="108">
        <v>0</v>
      </c>
      <c r="F243" s="108" t="s">
        <v>135</v>
      </c>
      <c r="G243" s="108"/>
      <c r="H243" s="108">
        <v>1</v>
      </c>
    </row>
    <row r="244" spans="1:8" ht="14">
      <c r="A244" s="108">
        <v>2001</v>
      </c>
      <c r="B244" s="108">
        <v>19</v>
      </c>
      <c r="C244" s="108" t="s">
        <v>30</v>
      </c>
      <c r="D244" s="108">
        <v>192.51705272894901</v>
      </c>
      <c r="E244" s="108">
        <v>0</v>
      </c>
      <c r="F244" s="108" t="s">
        <v>137</v>
      </c>
      <c r="G244" s="108"/>
      <c r="H244" s="108">
        <v>1</v>
      </c>
    </row>
    <row r="245" spans="1:8" ht="14">
      <c r="A245" s="108">
        <v>2001</v>
      </c>
      <c r="B245" s="108">
        <v>19</v>
      </c>
      <c r="C245" s="108" t="s">
        <v>138</v>
      </c>
      <c r="D245" s="108">
        <v>1268.70490859503</v>
      </c>
      <c r="E245" s="108">
        <v>0</v>
      </c>
      <c r="F245" s="108" t="s">
        <v>135</v>
      </c>
      <c r="G245" s="108"/>
      <c r="H245" s="108">
        <v>1</v>
      </c>
    </row>
    <row r="246" spans="1:8" ht="14">
      <c r="A246" s="108">
        <v>2001</v>
      </c>
      <c r="B246" s="108">
        <v>19</v>
      </c>
      <c r="C246" s="108" t="s">
        <v>138</v>
      </c>
      <c r="D246" s="108">
        <v>28.575094746974401</v>
      </c>
      <c r="E246" s="108">
        <v>0</v>
      </c>
      <c r="F246" s="108" t="s">
        <v>137</v>
      </c>
      <c r="G246" s="108"/>
      <c r="H246" s="108">
        <v>1</v>
      </c>
    </row>
    <row r="247" spans="1:8" ht="14">
      <c r="A247" s="108">
        <v>2001</v>
      </c>
      <c r="B247" s="108">
        <v>19</v>
      </c>
      <c r="C247" s="108" t="s">
        <v>138</v>
      </c>
      <c r="D247" s="108">
        <v>7470.8389966579898</v>
      </c>
      <c r="E247" s="108">
        <v>0</v>
      </c>
      <c r="F247" s="108" t="s">
        <v>136</v>
      </c>
      <c r="G247" s="108"/>
      <c r="H247" s="108">
        <v>1</v>
      </c>
    </row>
    <row r="248" spans="1:8" ht="14">
      <c r="A248" s="108">
        <v>2001</v>
      </c>
      <c r="B248" s="108">
        <v>19</v>
      </c>
      <c r="C248" s="108" t="s">
        <v>139</v>
      </c>
      <c r="D248" s="108">
        <v>163.94195798197501</v>
      </c>
      <c r="E248" s="108">
        <v>0</v>
      </c>
      <c r="F248" s="108" t="s">
        <v>137</v>
      </c>
      <c r="G248" s="108"/>
      <c r="H248" s="108">
        <v>1</v>
      </c>
    </row>
    <row r="249" spans="1:8" ht="14">
      <c r="A249" s="108">
        <v>2001</v>
      </c>
      <c r="B249" s="108">
        <v>19</v>
      </c>
      <c r="C249" s="108" t="s">
        <v>139</v>
      </c>
      <c r="D249" s="108">
        <v>3959.7037480747099</v>
      </c>
      <c r="E249" s="108">
        <v>0</v>
      </c>
      <c r="F249" s="108" t="s">
        <v>136</v>
      </c>
      <c r="G249" s="108"/>
      <c r="H249" s="108">
        <v>1</v>
      </c>
    </row>
    <row r="250" spans="1:8" ht="14">
      <c r="A250" s="108">
        <v>2001</v>
      </c>
      <c r="B250" s="108">
        <v>19</v>
      </c>
      <c r="C250" s="108" t="s">
        <v>139</v>
      </c>
      <c r="D250" s="108">
        <v>1441.0142939433099</v>
      </c>
      <c r="E250" s="108">
        <v>0</v>
      </c>
      <c r="F250" s="108" t="s">
        <v>135</v>
      </c>
      <c r="G250" s="108"/>
      <c r="H250" s="108">
        <v>1</v>
      </c>
    </row>
    <row r="251" spans="1:8" ht="14">
      <c r="A251" s="108">
        <v>2001</v>
      </c>
      <c r="B251" s="108">
        <v>21</v>
      </c>
      <c r="C251" s="108" t="s">
        <v>30</v>
      </c>
      <c r="D251" s="108">
        <v>3.5702479338842901</v>
      </c>
      <c r="E251" s="108">
        <v>0</v>
      </c>
      <c r="F251" s="108" t="s">
        <v>135</v>
      </c>
      <c r="G251" s="108"/>
      <c r="H251" s="108">
        <v>1</v>
      </c>
    </row>
    <row r="252" spans="1:8" ht="14">
      <c r="A252" s="108">
        <v>2001</v>
      </c>
      <c r="B252" s="108">
        <v>21</v>
      </c>
      <c r="C252" s="108" t="s">
        <v>30</v>
      </c>
      <c r="D252" s="108">
        <v>121.44199999999999</v>
      </c>
      <c r="E252" s="108">
        <v>0</v>
      </c>
      <c r="F252" s="108" t="s">
        <v>137</v>
      </c>
      <c r="G252" s="108"/>
      <c r="H252" s="108">
        <v>1</v>
      </c>
    </row>
    <row r="253" spans="1:8" ht="14">
      <c r="A253" s="108">
        <v>2001</v>
      </c>
      <c r="B253" s="108">
        <v>21</v>
      </c>
      <c r="C253" s="108" t="s">
        <v>30</v>
      </c>
      <c r="D253" s="108">
        <v>19434.747752066101</v>
      </c>
      <c r="E253" s="108">
        <v>0</v>
      </c>
      <c r="F253" s="108" t="s">
        <v>136</v>
      </c>
      <c r="G253" s="108"/>
      <c r="H253" s="108">
        <v>1</v>
      </c>
    </row>
    <row r="254" spans="1:8" ht="14">
      <c r="A254" s="108">
        <v>2001</v>
      </c>
      <c r="B254" s="108">
        <v>21</v>
      </c>
      <c r="C254" s="108" t="s">
        <v>138</v>
      </c>
      <c r="D254" s="108">
        <v>50.982999999999997</v>
      </c>
      <c r="E254" s="108">
        <v>0</v>
      </c>
      <c r="F254" s="108" t="s">
        <v>137</v>
      </c>
      <c r="G254" s="108"/>
      <c r="H254" s="108">
        <v>1</v>
      </c>
    </row>
    <row r="255" spans="1:8" ht="14">
      <c r="A255" s="108">
        <v>2001</v>
      </c>
      <c r="B255" s="108">
        <v>21</v>
      </c>
      <c r="C255" s="108" t="s">
        <v>138</v>
      </c>
      <c r="D255" s="108">
        <v>19024.4017520661</v>
      </c>
      <c r="E255" s="108">
        <v>0</v>
      </c>
      <c r="F255" s="108" t="s">
        <v>136</v>
      </c>
      <c r="G255" s="108"/>
      <c r="H255" s="108">
        <v>1</v>
      </c>
    </row>
    <row r="256" spans="1:8" ht="14">
      <c r="A256" s="108">
        <v>2001</v>
      </c>
      <c r="B256" s="108">
        <v>21</v>
      </c>
      <c r="C256" s="108" t="s">
        <v>138</v>
      </c>
      <c r="D256" s="108">
        <v>3.5702479338842901</v>
      </c>
      <c r="E256" s="108">
        <v>0</v>
      </c>
      <c r="F256" s="108" t="s">
        <v>135</v>
      </c>
      <c r="G256" s="108"/>
      <c r="H256" s="108">
        <v>1</v>
      </c>
    </row>
    <row r="257" spans="1:8" ht="14">
      <c r="A257" s="108">
        <v>2001</v>
      </c>
      <c r="B257" s="108">
        <v>21</v>
      </c>
      <c r="C257" s="108" t="s">
        <v>139</v>
      </c>
      <c r="D257" s="108">
        <v>410.34599999999898</v>
      </c>
      <c r="E257" s="108">
        <v>0</v>
      </c>
      <c r="F257" s="108" t="s">
        <v>136</v>
      </c>
      <c r="G257" s="108"/>
      <c r="H257" s="108">
        <v>1</v>
      </c>
    </row>
    <row r="258" spans="1:8" ht="14">
      <c r="A258" s="108">
        <v>2001</v>
      </c>
      <c r="B258" s="108">
        <v>21</v>
      </c>
      <c r="C258" s="108" t="s">
        <v>139</v>
      </c>
      <c r="D258" s="108">
        <v>70.459000000000003</v>
      </c>
      <c r="E258" s="108">
        <v>0</v>
      </c>
      <c r="F258" s="108" t="s">
        <v>137</v>
      </c>
      <c r="G258" s="108"/>
      <c r="H258" s="108">
        <v>1</v>
      </c>
    </row>
    <row r="259" spans="1:8" ht="14">
      <c r="A259" s="108">
        <v>2001</v>
      </c>
      <c r="B259" s="108">
        <v>21</v>
      </c>
      <c r="C259" s="108" t="s">
        <v>139</v>
      </c>
      <c r="D259" s="108">
        <v>0</v>
      </c>
      <c r="E259" s="108">
        <v>0</v>
      </c>
      <c r="F259" s="108" t="s">
        <v>135</v>
      </c>
      <c r="G259" s="108"/>
      <c r="H259" s="108">
        <v>1</v>
      </c>
    </row>
    <row r="260" spans="1:8" ht="14">
      <c r="A260" s="108">
        <v>2001</v>
      </c>
      <c r="B260" s="108">
        <v>22</v>
      </c>
      <c r="C260" s="108" t="s">
        <v>30</v>
      </c>
      <c r="D260" s="108">
        <v>3173.5040069218499</v>
      </c>
      <c r="E260" s="108">
        <v>0</v>
      </c>
      <c r="F260" s="108" t="s">
        <v>135</v>
      </c>
      <c r="G260" s="108"/>
      <c r="H260" s="108">
        <v>1</v>
      </c>
    </row>
    <row r="261" spans="1:8" ht="14">
      <c r="A261" s="108">
        <v>2001</v>
      </c>
      <c r="B261" s="108">
        <v>22</v>
      </c>
      <c r="C261" s="108" t="s">
        <v>30</v>
      </c>
      <c r="D261" s="108">
        <v>50.69</v>
      </c>
      <c r="E261" s="108">
        <v>0</v>
      </c>
      <c r="F261" s="108" t="s">
        <v>137</v>
      </c>
      <c r="G261" s="108"/>
      <c r="H261" s="108">
        <v>1</v>
      </c>
    </row>
    <row r="262" spans="1:8" ht="14">
      <c r="A262" s="108">
        <v>2001</v>
      </c>
      <c r="B262" s="108">
        <v>22</v>
      </c>
      <c r="C262" s="108" t="s">
        <v>30</v>
      </c>
      <c r="D262" s="108">
        <v>36695.640993078101</v>
      </c>
      <c r="E262" s="108">
        <v>0</v>
      </c>
      <c r="F262" s="108" t="s">
        <v>136</v>
      </c>
      <c r="G262" s="108"/>
      <c r="H262" s="108">
        <v>1</v>
      </c>
    </row>
    <row r="263" spans="1:8" ht="14">
      <c r="A263" s="108">
        <v>2001</v>
      </c>
      <c r="B263" s="108">
        <v>22</v>
      </c>
      <c r="C263" s="108" t="s">
        <v>138</v>
      </c>
      <c r="D263" s="108">
        <v>40.317999999999998</v>
      </c>
      <c r="E263" s="108">
        <v>0</v>
      </c>
      <c r="F263" s="108" t="s">
        <v>137</v>
      </c>
      <c r="G263" s="108"/>
      <c r="H263" s="108">
        <v>1</v>
      </c>
    </row>
    <row r="264" spans="1:8" ht="14">
      <c r="A264" s="108">
        <v>2001</v>
      </c>
      <c r="B264" s="108">
        <v>22</v>
      </c>
      <c r="C264" s="108" t="s">
        <v>138</v>
      </c>
      <c r="D264" s="108">
        <v>1534.7785399664499</v>
      </c>
      <c r="E264" s="108">
        <v>0</v>
      </c>
      <c r="F264" s="108" t="s">
        <v>135</v>
      </c>
      <c r="G264" s="108"/>
      <c r="H264" s="108">
        <v>1</v>
      </c>
    </row>
    <row r="265" spans="1:8" ht="14">
      <c r="A265" s="108">
        <v>2001</v>
      </c>
      <c r="B265" s="108">
        <v>22</v>
      </c>
      <c r="C265" s="108" t="s">
        <v>138</v>
      </c>
      <c r="D265" s="108">
        <v>35644.519460033502</v>
      </c>
      <c r="E265" s="108">
        <v>0</v>
      </c>
      <c r="F265" s="108" t="s">
        <v>136</v>
      </c>
      <c r="G265" s="108"/>
      <c r="H265" s="108">
        <v>1</v>
      </c>
    </row>
    <row r="266" spans="1:8" ht="14">
      <c r="A266" s="108">
        <v>2001</v>
      </c>
      <c r="B266" s="108">
        <v>22</v>
      </c>
      <c r="C266" s="108" t="s">
        <v>139</v>
      </c>
      <c r="D266" s="108">
        <v>1051.12153304459</v>
      </c>
      <c r="E266" s="108">
        <v>0</v>
      </c>
      <c r="F266" s="108" t="s">
        <v>136</v>
      </c>
      <c r="G266" s="108"/>
      <c r="H266" s="108">
        <v>1</v>
      </c>
    </row>
    <row r="267" spans="1:8" ht="14">
      <c r="A267" s="108">
        <v>2001</v>
      </c>
      <c r="B267" s="108">
        <v>22</v>
      </c>
      <c r="C267" s="108" t="s">
        <v>139</v>
      </c>
      <c r="D267" s="108">
        <v>10.372</v>
      </c>
      <c r="E267" s="108">
        <v>0</v>
      </c>
      <c r="F267" s="108" t="s">
        <v>137</v>
      </c>
      <c r="G267" s="108"/>
      <c r="H267" s="108">
        <v>1</v>
      </c>
    </row>
    <row r="268" spans="1:8" ht="14">
      <c r="A268" s="108">
        <v>2001</v>
      </c>
      <c r="B268" s="108">
        <v>22</v>
      </c>
      <c r="C268" s="108" t="s">
        <v>139</v>
      </c>
      <c r="D268" s="108">
        <v>1638.7254669554</v>
      </c>
      <c r="E268" s="108">
        <v>0</v>
      </c>
      <c r="F268" s="108" t="s">
        <v>135</v>
      </c>
      <c r="G268" s="108"/>
      <c r="H268" s="108">
        <v>1</v>
      </c>
    </row>
    <row r="269" spans="1:8" ht="14">
      <c r="A269" s="108">
        <v>2001</v>
      </c>
      <c r="B269" s="108">
        <v>23</v>
      </c>
      <c r="C269" s="108" t="s">
        <v>30</v>
      </c>
      <c r="D269" s="108">
        <v>752.96111260273699</v>
      </c>
      <c r="E269" s="108">
        <v>0</v>
      </c>
      <c r="F269" s="108" t="s">
        <v>135</v>
      </c>
      <c r="G269" s="108"/>
      <c r="H269" s="108">
        <v>1</v>
      </c>
    </row>
    <row r="270" spans="1:8" ht="14">
      <c r="A270" s="108">
        <v>2001</v>
      </c>
      <c r="B270" s="108">
        <v>23</v>
      </c>
      <c r="C270" s="108" t="s">
        <v>30</v>
      </c>
      <c r="D270" s="108">
        <v>12250.6857495107</v>
      </c>
      <c r="E270" s="108">
        <v>0</v>
      </c>
      <c r="F270" s="108" t="s">
        <v>136</v>
      </c>
      <c r="G270" s="108"/>
      <c r="H270" s="108">
        <v>1</v>
      </c>
    </row>
    <row r="271" spans="1:8" ht="14">
      <c r="A271" s="108">
        <v>2001</v>
      </c>
      <c r="B271" s="108">
        <v>23</v>
      </c>
      <c r="C271" s="108" t="s">
        <v>30</v>
      </c>
      <c r="D271" s="108">
        <v>22.655137886559402</v>
      </c>
      <c r="E271" s="108">
        <v>0</v>
      </c>
      <c r="F271" s="108" t="s">
        <v>137</v>
      </c>
      <c r="G271" s="108"/>
      <c r="H271" s="108">
        <v>1</v>
      </c>
    </row>
    <row r="272" spans="1:8" ht="14">
      <c r="A272" s="108">
        <v>2001</v>
      </c>
      <c r="B272" s="108">
        <v>23</v>
      </c>
      <c r="C272" s="108" t="s">
        <v>138</v>
      </c>
      <c r="D272" s="108">
        <v>425.21329291557601</v>
      </c>
      <c r="E272" s="108">
        <v>0</v>
      </c>
      <c r="F272" s="108" t="s">
        <v>135</v>
      </c>
      <c r="G272" s="108"/>
      <c r="H272" s="108">
        <v>1</v>
      </c>
    </row>
    <row r="273" spans="1:8" ht="14">
      <c r="A273" s="108">
        <v>2001</v>
      </c>
      <c r="B273" s="108">
        <v>23</v>
      </c>
      <c r="C273" s="108" t="s">
        <v>138</v>
      </c>
      <c r="D273" s="108">
        <v>9490.1983503517804</v>
      </c>
      <c r="E273" s="108">
        <v>0</v>
      </c>
      <c r="F273" s="108" t="s">
        <v>136</v>
      </c>
      <c r="G273" s="108"/>
      <c r="H273" s="108">
        <v>1</v>
      </c>
    </row>
    <row r="274" spans="1:8" ht="14">
      <c r="A274" s="108">
        <v>2001</v>
      </c>
      <c r="B274" s="108">
        <v>23</v>
      </c>
      <c r="C274" s="108" t="s">
        <v>138</v>
      </c>
      <c r="D274" s="108">
        <v>16.6713567326373</v>
      </c>
      <c r="E274" s="108">
        <v>0</v>
      </c>
      <c r="F274" s="108" t="s">
        <v>137</v>
      </c>
      <c r="G274" s="108"/>
      <c r="H274" s="108">
        <v>1</v>
      </c>
    </row>
    <row r="275" spans="1:8" ht="14">
      <c r="A275" s="108">
        <v>2001</v>
      </c>
      <c r="B275" s="108">
        <v>23</v>
      </c>
      <c r="C275" s="108" t="s">
        <v>139</v>
      </c>
      <c r="D275" s="108">
        <v>2760.4873991589102</v>
      </c>
      <c r="E275" s="108">
        <v>0</v>
      </c>
      <c r="F275" s="108" t="s">
        <v>136</v>
      </c>
      <c r="G275" s="108"/>
      <c r="H275" s="108">
        <v>1</v>
      </c>
    </row>
    <row r="276" spans="1:8" ht="14">
      <c r="A276" s="108">
        <v>2001</v>
      </c>
      <c r="B276" s="108">
        <v>23</v>
      </c>
      <c r="C276" s="108" t="s">
        <v>139</v>
      </c>
      <c r="D276" s="108">
        <v>5.98378115392212</v>
      </c>
      <c r="E276" s="108">
        <v>0</v>
      </c>
      <c r="F276" s="108" t="s">
        <v>137</v>
      </c>
      <c r="G276" s="108"/>
      <c r="H276" s="108">
        <v>1</v>
      </c>
    </row>
    <row r="277" spans="1:8" ht="14">
      <c r="A277" s="108">
        <v>2001</v>
      </c>
      <c r="B277" s="108">
        <v>23</v>
      </c>
      <c r="C277" s="108" t="s">
        <v>139</v>
      </c>
      <c r="D277" s="108">
        <v>327.74781968716002</v>
      </c>
      <c r="E277" s="108">
        <v>0</v>
      </c>
      <c r="F277" s="108" t="s">
        <v>135</v>
      </c>
      <c r="G277" s="108"/>
      <c r="H277" s="108">
        <v>1</v>
      </c>
    </row>
    <row r="278" spans="1:8" ht="14">
      <c r="A278" s="108">
        <v>2001</v>
      </c>
      <c r="B278" s="108">
        <v>29</v>
      </c>
      <c r="C278" s="108" t="s">
        <v>30</v>
      </c>
      <c r="D278" s="108">
        <v>21984.762555637601</v>
      </c>
      <c r="E278" s="108">
        <v>0</v>
      </c>
      <c r="F278" s="108" t="s">
        <v>135</v>
      </c>
      <c r="G278" s="108"/>
      <c r="H278" s="108">
        <v>1</v>
      </c>
    </row>
    <row r="279" spans="1:8" ht="14">
      <c r="A279" s="108">
        <v>2001</v>
      </c>
      <c r="B279" s="108">
        <v>29</v>
      </c>
      <c r="C279" s="108" t="s">
        <v>30</v>
      </c>
      <c r="D279" s="108">
        <v>20434.713074270501</v>
      </c>
      <c r="E279" s="108">
        <v>0</v>
      </c>
      <c r="F279" s="108" t="s">
        <v>136</v>
      </c>
      <c r="G279" s="108"/>
      <c r="H279" s="108">
        <v>1</v>
      </c>
    </row>
    <row r="280" spans="1:8" ht="14">
      <c r="A280" s="108">
        <v>2001</v>
      </c>
      <c r="B280" s="108">
        <v>29</v>
      </c>
      <c r="C280" s="108" t="s">
        <v>30</v>
      </c>
      <c r="D280" s="108">
        <v>60.871370091786098</v>
      </c>
      <c r="E280" s="108">
        <v>0</v>
      </c>
      <c r="F280" s="108" t="s">
        <v>137</v>
      </c>
      <c r="G280" s="108"/>
      <c r="H280" s="108">
        <v>1</v>
      </c>
    </row>
    <row r="281" spans="1:8" ht="14">
      <c r="A281" s="108">
        <v>2001</v>
      </c>
      <c r="B281" s="108">
        <v>29</v>
      </c>
      <c r="C281" s="108" t="s">
        <v>138</v>
      </c>
      <c r="D281" s="108">
        <v>10274.605072533401</v>
      </c>
      <c r="E281" s="108">
        <v>0</v>
      </c>
      <c r="F281" s="108" t="s">
        <v>136</v>
      </c>
      <c r="G281" s="108"/>
      <c r="H281" s="108">
        <v>1</v>
      </c>
    </row>
    <row r="282" spans="1:8" ht="14">
      <c r="A282" s="108">
        <v>2001</v>
      </c>
      <c r="B282" s="108">
        <v>29</v>
      </c>
      <c r="C282" s="108" t="s">
        <v>138</v>
      </c>
      <c r="D282" s="108">
        <v>17938.506238141599</v>
      </c>
      <c r="E282" s="108">
        <v>0</v>
      </c>
      <c r="F282" s="108" t="s">
        <v>135</v>
      </c>
      <c r="G282" s="108"/>
      <c r="H282" s="108">
        <v>1</v>
      </c>
    </row>
    <row r="283" spans="1:8" ht="14">
      <c r="A283" s="108">
        <v>2001</v>
      </c>
      <c r="B283" s="108">
        <v>29</v>
      </c>
      <c r="C283" s="108" t="s">
        <v>138</v>
      </c>
      <c r="D283" s="108">
        <v>20.490689324917899</v>
      </c>
      <c r="E283" s="108">
        <v>0</v>
      </c>
      <c r="F283" s="108" t="s">
        <v>137</v>
      </c>
      <c r="G283" s="108"/>
      <c r="H283" s="108">
        <v>1</v>
      </c>
    </row>
    <row r="284" spans="1:8" ht="14">
      <c r="A284" s="108">
        <v>2001</v>
      </c>
      <c r="B284" s="108">
        <v>29</v>
      </c>
      <c r="C284" s="108" t="s">
        <v>139</v>
      </c>
      <c r="D284" s="108">
        <v>10160.1080017371</v>
      </c>
      <c r="E284" s="108">
        <v>0</v>
      </c>
      <c r="F284" s="108" t="s">
        <v>136</v>
      </c>
      <c r="G284" s="108"/>
      <c r="H284" s="108">
        <v>1</v>
      </c>
    </row>
    <row r="285" spans="1:8" ht="14">
      <c r="A285" s="108">
        <v>2001</v>
      </c>
      <c r="B285" s="108">
        <v>29</v>
      </c>
      <c r="C285" s="108" t="s">
        <v>139</v>
      </c>
      <c r="D285" s="108">
        <v>4046.2563174960001</v>
      </c>
      <c r="E285" s="108">
        <v>0</v>
      </c>
      <c r="F285" s="108" t="s">
        <v>135</v>
      </c>
      <c r="G285" s="108"/>
      <c r="H285" s="108">
        <v>1</v>
      </c>
    </row>
    <row r="286" spans="1:8" ht="14">
      <c r="A286" s="108">
        <v>2001</v>
      </c>
      <c r="B286" s="108">
        <v>29</v>
      </c>
      <c r="C286" s="108" t="s">
        <v>139</v>
      </c>
      <c r="D286" s="108">
        <v>40.380680766868103</v>
      </c>
      <c r="E286" s="108">
        <v>0</v>
      </c>
      <c r="F286" s="108" t="s">
        <v>137</v>
      </c>
      <c r="G286" s="108"/>
      <c r="H286" s="108">
        <v>1</v>
      </c>
    </row>
    <row r="287" spans="1:8" ht="14">
      <c r="A287" s="108">
        <v>2001</v>
      </c>
      <c r="B287" s="108">
        <v>31</v>
      </c>
      <c r="C287" s="108" t="s">
        <v>30</v>
      </c>
      <c r="D287" s="108">
        <v>20982.3272922502</v>
      </c>
      <c r="E287" s="108">
        <v>1708.3355302003399</v>
      </c>
      <c r="F287" s="108" t="s">
        <v>136</v>
      </c>
      <c r="G287" s="108">
        <v>1708.3354035699999</v>
      </c>
      <c r="H287" s="108">
        <v>1</v>
      </c>
    </row>
    <row r="288" spans="1:8" ht="14">
      <c r="A288" s="108">
        <v>2001</v>
      </c>
      <c r="B288" s="108">
        <v>31</v>
      </c>
      <c r="C288" s="108" t="s">
        <v>30</v>
      </c>
      <c r="D288" s="108">
        <v>85.545224577920706</v>
      </c>
      <c r="E288" s="108">
        <v>49.556551581490297</v>
      </c>
      <c r="F288" s="108" t="s">
        <v>137</v>
      </c>
      <c r="G288" s="108">
        <v>49.556546058999899</v>
      </c>
      <c r="H288" s="108">
        <v>1</v>
      </c>
    </row>
    <row r="289" spans="1:8" ht="14">
      <c r="A289" s="108">
        <v>2001</v>
      </c>
      <c r="B289" s="108">
        <v>31</v>
      </c>
      <c r="C289" s="108" t="s">
        <v>30</v>
      </c>
      <c r="D289" s="108">
        <v>1088.4664831718101</v>
      </c>
      <c r="E289" s="108">
        <v>149.34091821816099</v>
      </c>
      <c r="F289" s="108" t="s">
        <v>135</v>
      </c>
      <c r="G289" s="108">
        <v>149.34091040599901</v>
      </c>
      <c r="H289" s="108">
        <v>1</v>
      </c>
    </row>
    <row r="290" spans="1:8" ht="14">
      <c r="A290" s="108">
        <v>2001</v>
      </c>
      <c r="B290" s="108">
        <v>31</v>
      </c>
      <c r="C290" s="108" t="s">
        <v>138</v>
      </c>
      <c r="D290" s="108">
        <v>11582.683845710801</v>
      </c>
      <c r="E290" s="108">
        <v>885.00180472174702</v>
      </c>
      <c r="F290" s="108" t="s">
        <v>136</v>
      </c>
      <c r="G290" s="108">
        <v>885.00176070699797</v>
      </c>
      <c r="H290" s="108">
        <v>1</v>
      </c>
    </row>
    <row r="291" spans="1:8" ht="14">
      <c r="A291" s="108">
        <v>2001</v>
      </c>
      <c r="B291" s="108">
        <v>31</v>
      </c>
      <c r="C291" s="108" t="s">
        <v>138</v>
      </c>
      <c r="D291" s="108">
        <v>81.948868235830901</v>
      </c>
      <c r="E291" s="108">
        <v>12.0609308942244</v>
      </c>
      <c r="F291" s="108" t="s">
        <v>137</v>
      </c>
      <c r="G291" s="108">
        <v>12.0609263</v>
      </c>
      <c r="H291" s="108">
        <v>1</v>
      </c>
    </row>
    <row r="292" spans="1:8" ht="14">
      <c r="A292" s="108">
        <v>2001</v>
      </c>
      <c r="B292" s="108">
        <v>31</v>
      </c>
      <c r="C292" s="108" t="s">
        <v>138</v>
      </c>
      <c r="D292" s="108">
        <v>516.69128605328001</v>
      </c>
      <c r="E292" s="108">
        <v>74.911264384026097</v>
      </c>
      <c r="F292" s="108" t="s">
        <v>135</v>
      </c>
      <c r="G292" s="108">
        <v>74.911266099999906</v>
      </c>
      <c r="H292" s="108">
        <v>1</v>
      </c>
    </row>
    <row r="293" spans="1:8" ht="14">
      <c r="A293" s="108">
        <v>2001</v>
      </c>
      <c r="B293" s="108">
        <v>31</v>
      </c>
      <c r="C293" s="108" t="s">
        <v>139</v>
      </c>
      <c r="D293" s="108">
        <v>3.5963563420896998</v>
      </c>
      <c r="E293" s="108">
        <v>37.495620687265898</v>
      </c>
      <c r="F293" s="108" t="s">
        <v>137</v>
      </c>
      <c r="G293" s="108">
        <v>37.495619759</v>
      </c>
      <c r="H293" s="108">
        <v>1</v>
      </c>
    </row>
    <row r="294" spans="1:8" ht="14">
      <c r="A294" s="108">
        <v>2001</v>
      </c>
      <c r="B294" s="108">
        <v>31</v>
      </c>
      <c r="C294" s="108" t="s">
        <v>139</v>
      </c>
      <c r="D294" s="108">
        <v>9399.6434465393795</v>
      </c>
      <c r="E294" s="108">
        <v>823.33372547859699</v>
      </c>
      <c r="F294" s="108" t="s">
        <v>136</v>
      </c>
      <c r="G294" s="108">
        <v>823.33364286300196</v>
      </c>
      <c r="H294" s="108">
        <v>1</v>
      </c>
    </row>
    <row r="295" spans="1:8" ht="14">
      <c r="A295" s="108">
        <v>2001</v>
      </c>
      <c r="B295" s="108">
        <v>31</v>
      </c>
      <c r="C295" s="108" t="s">
        <v>139</v>
      </c>
      <c r="D295" s="108">
        <v>571.77519711853301</v>
      </c>
      <c r="E295" s="108">
        <v>74.429653834135493</v>
      </c>
      <c r="F295" s="108" t="s">
        <v>135</v>
      </c>
      <c r="G295" s="108">
        <v>74.429644305999901</v>
      </c>
      <c r="H295" s="108">
        <v>1</v>
      </c>
    </row>
    <row r="296" spans="1:8" ht="14">
      <c r="A296" s="108">
        <v>2001</v>
      </c>
      <c r="B296" s="108">
        <v>32</v>
      </c>
      <c r="C296" s="108" t="s">
        <v>30</v>
      </c>
      <c r="D296" s="108">
        <v>1199.6602368638501</v>
      </c>
      <c r="E296" s="108">
        <v>117.94255776955499</v>
      </c>
      <c r="F296" s="108" t="s">
        <v>135</v>
      </c>
      <c r="G296" s="108">
        <v>235.88510981799999</v>
      </c>
      <c r="H296" s="108">
        <v>1</v>
      </c>
    </row>
    <row r="297" spans="1:8" ht="14">
      <c r="A297" s="108">
        <v>2001</v>
      </c>
      <c r="B297" s="108">
        <v>32</v>
      </c>
      <c r="C297" s="108" t="s">
        <v>30</v>
      </c>
      <c r="D297" s="108">
        <v>133.44272838679899</v>
      </c>
      <c r="E297" s="108">
        <v>70.325923122930803</v>
      </c>
      <c r="F297" s="108" t="s">
        <v>137</v>
      </c>
      <c r="G297" s="108">
        <v>140.65183847999899</v>
      </c>
      <c r="H297" s="108">
        <v>1</v>
      </c>
    </row>
    <row r="298" spans="1:8" ht="14">
      <c r="A298" s="108">
        <v>2001</v>
      </c>
      <c r="B298" s="108">
        <v>32</v>
      </c>
      <c r="C298" s="108" t="s">
        <v>30</v>
      </c>
      <c r="D298" s="108">
        <v>24894.5350347493</v>
      </c>
      <c r="E298" s="108">
        <v>2102.6525191075202</v>
      </c>
      <c r="F298" s="108" t="s">
        <v>136</v>
      </c>
      <c r="G298" s="108">
        <v>4205.3051374280003</v>
      </c>
      <c r="H298" s="108">
        <v>1</v>
      </c>
    </row>
    <row r="299" spans="1:8" ht="14">
      <c r="A299" s="108">
        <v>2001</v>
      </c>
      <c r="B299" s="108">
        <v>32</v>
      </c>
      <c r="C299" s="108" t="s">
        <v>138</v>
      </c>
      <c r="D299" s="108">
        <v>626.96796596637796</v>
      </c>
      <c r="E299" s="108">
        <v>58.340943393798497</v>
      </c>
      <c r="F299" s="108" t="s">
        <v>135</v>
      </c>
      <c r="G299" s="108">
        <v>116.68189451999901</v>
      </c>
      <c r="H299" s="108">
        <v>1</v>
      </c>
    </row>
    <row r="300" spans="1:8" ht="14">
      <c r="A300" s="108">
        <v>2001</v>
      </c>
      <c r="B300" s="108">
        <v>32</v>
      </c>
      <c r="C300" s="108" t="s">
        <v>138</v>
      </c>
      <c r="D300" s="108">
        <v>126.192836941062</v>
      </c>
      <c r="E300" s="108">
        <v>16.390857506089599</v>
      </c>
      <c r="F300" s="108" t="s">
        <v>137</v>
      </c>
      <c r="G300" s="108">
        <v>32.781717579999999</v>
      </c>
      <c r="H300" s="108">
        <v>1</v>
      </c>
    </row>
    <row r="301" spans="1:8" ht="14">
      <c r="A301" s="108">
        <v>2001</v>
      </c>
      <c r="B301" s="108">
        <v>32</v>
      </c>
      <c r="C301" s="108" t="s">
        <v>138</v>
      </c>
      <c r="D301" s="108">
        <v>14499.698197092501</v>
      </c>
      <c r="E301" s="108">
        <v>1078.1861991001099</v>
      </c>
      <c r="F301" s="108" t="s">
        <v>136</v>
      </c>
      <c r="G301" s="108">
        <v>2156.3725244079901</v>
      </c>
      <c r="H301" s="108">
        <v>1</v>
      </c>
    </row>
    <row r="302" spans="1:8" ht="14">
      <c r="A302" s="108">
        <v>2001</v>
      </c>
      <c r="B302" s="108">
        <v>32</v>
      </c>
      <c r="C302" s="108" t="s">
        <v>139</v>
      </c>
      <c r="D302" s="108">
        <v>572.69227089747505</v>
      </c>
      <c r="E302" s="108">
        <v>59.6016143757573</v>
      </c>
      <c r="F302" s="108" t="s">
        <v>135</v>
      </c>
      <c r="G302" s="108">
        <v>119.20321529799899</v>
      </c>
      <c r="H302" s="108">
        <v>1</v>
      </c>
    </row>
    <row r="303" spans="1:8" ht="14">
      <c r="A303" s="108">
        <v>2001</v>
      </c>
      <c r="B303" s="108">
        <v>32</v>
      </c>
      <c r="C303" s="108" t="s">
        <v>139</v>
      </c>
      <c r="D303" s="108">
        <v>10394.8368376567</v>
      </c>
      <c r="E303" s="108">
        <v>1024.4663200074001</v>
      </c>
      <c r="F303" s="108" t="s">
        <v>136</v>
      </c>
      <c r="G303" s="108">
        <v>2048.9326130200002</v>
      </c>
      <c r="H303" s="108">
        <v>1</v>
      </c>
    </row>
    <row r="304" spans="1:8" ht="14">
      <c r="A304" s="108">
        <v>2001</v>
      </c>
      <c r="B304" s="108">
        <v>32</v>
      </c>
      <c r="C304" s="108" t="s">
        <v>139</v>
      </c>
      <c r="D304" s="108">
        <v>7.2498914457370702</v>
      </c>
      <c r="E304" s="108">
        <v>53.9350656168412</v>
      </c>
      <c r="F304" s="108" t="s">
        <v>137</v>
      </c>
      <c r="G304" s="108">
        <v>107.8701209</v>
      </c>
      <c r="H304" s="108">
        <v>1</v>
      </c>
    </row>
    <row r="305" spans="1:8" ht="14">
      <c r="A305" s="108">
        <v>2001</v>
      </c>
      <c r="B305" s="108">
        <v>33</v>
      </c>
      <c r="C305" s="108" t="s">
        <v>30</v>
      </c>
      <c r="D305" s="108">
        <v>2.903</v>
      </c>
      <c r="E305" s="108">
        <v>2.0792901554404102</v>
      </c>
      <c r="F305" s="108" t="s">
        <v>137</v>
      </c>
      <c r="G305" s="108">
        <v>3.11893525999999</v>
      </c>
      <c r="H305" s="108">
        <v>1</v>
      </c>
    </row>
    <row r="306" spans="1:8" ht="14">
      <c r="A306" s="108">
        <v>2001</v>
      </c>
      <c r="B306" s="108">
        <v>33</v>
      </c>
      <c r="C306" s="108" t="s">
        <v>30</v>
      </c>
      <c r="D306" s="108">
        <v>32.501342949432001</v>
      </c>
      <c r="E306" s="108">
        <v>4.8072947433099298</v>
      </c>
      <c r="F306" s="108" t="s">
        <v>135</v>
      </c>
      <c r="G306" s="108">
        <v>7.2109419299999997</v>
      </c>
      <c r="H306" s="108">
        <v>1</v>
      </c>
    </row>
    <row r="307" spans="1:8" ht="14">
      <c r="A307" s="108">
        <v>2001</v>
      </c>
      <c r="B307" s="108">
        <v>33</v>
      </c>
      <c r="C307" s="108" t="s">
        <v>30</v>
      </c>
      <c r="D307" s="108">
        <v>1310.5516570505599</v>
      </c>
      <c r="E307" s="108">
        <v>80.308415101249594</v>
      </c>
      <c r="F307" s="108" t="s">
        <v>136</v>
      </c>
      <c r="G307" s="108">
        <v>120.462602695999</v>
      </c>
      <c r="H307" s="108">
        <v>1</v>
      </c>
    </row>
    <row r="308" spans="1:8" ht="14">
      <c r="A308" s="108">
        <v>2001</v>
      </c>
      <c r="B308" s="108">
        <v>33</v>
      </c>
      <c r="C308" s="108" t="s">
        <v>138</v>
      </c>
      <c r="D308" s="108">
        <v>754.53979407550798</v>
      </c>
      <c r="E308" s="108">
        <v>39.176228204670998</v>
      </c>
      <c r="F308" s="108" t="s">
        <v>136</v>
      </c>
      <c r="G308" s="108">
        <v>58.764332005999997</v>
      </c>
      <c r="H308" s="108">
        <v>1</v>
      </c>
    </row>
    <row r="309" spans="1:8" ht="14">
      <c r="A309" s="108">
        <v>2001</v>
      </c>
      <c r="B309" s="108">
        <v>33</v>
      </c>
      <c r="C309" s="108" t="s">
        <v>138</v>
      </c>
      <c r="D309" s="108">
        <v>14.981205924491499</v>
      </c>
      <c r="E309" s="108">
        <v>2.1357717953289299</v>
      </c>
      <c r="F309" s="108" t="s">
        <v>135</v>
      </c>
      <c r="G309" s="108">
        <v>3.2036577300000002</v>
      </c>
      <c r="H309" s="108">
        <v>1</v>
      </c>
    </row>
    <row r="310" spans="1:8" ht="14">
      <c r="A310" s="108">
        <v>2001</v>
      </c>
      <c r="B310" s="108">
        <v>33</v>
      </c>
      <c r="C310" s="108" t="s">
        <v>139</v>
      </c>
      <c r="D310" s="108">
        <v>556.01186297505899</v>
      </c>
      <c r="E310" s="108">
        <v>41.132186896578503</v>
      </c>
      <c r="F310" s="108" t="s">
        <v>136</v>
      </c>
      <c r="G310" s="108">
        <v>61.698270689999902</v>
      </c>
      <c r="H310" s="108">
        <v>1</v>
      </c>
    </row>
    <row r="311" spans="1:8" ht="14">
      <c r="A311" s="108">
        <v>2001</v>
      </c>
      <c r="B311" s="108">
        <v>33</v>
      </c>
      <c r="C311" s="108" t="s">
        <v>139</v>
      </c>
      <c r="D311" s="108">
        <v>2.903</v>
      </c>
      <c r="E311" s="108">
        <v>2.0792901554404102</v>
      </c>
      <c r="F311" s="108" t="s">
        <v>137</v>
      </c>
      <c r="G311" s="108">
        <v>3.11893525999999</v>
      </c>
      <c r="H311" s="108">
        <v>1</v>
      </c>
    </row>
    <row r="312" spans="1:8" ht="14">
      <c r="A312" s="108">
        <v>2001</v>
      </c>
      <c r="B312" s="108">
        <v>33</v>
      </c>
      <c r="C312" s="108" t="s">
        <v>139</v>
      </c>
      <c r="D312" s="108">
        <v>17.5201370249405</v>
      </c>
      <c r="E312" s="108">
        <v>2.6715229479809999</v>
      </c>
      <c r="F312" s="108" t="s">
        <v>135</v>
      </c>
      <c r="G312" s="108">
        <v>4.0072842</v>
      </c>
      <c r="H312" s="108">
        <v>1</v>
      </c>
    </row>
    <row r="313" spans="1:8" ht="14">
      <c r="A313" s="108">
        <v>2001</v>
      </c>
      <c r="B313" s="108">
        <v>34</v>
      </c>
      <c r="C313" s="108" t="s">
        <v>30</v>
      </c>
      <c r="D313" s="108">
        <v>14.958296710147501</v>
      </c>
      <c r="E313" s="108">
        <v>3.7850977503812202</v>
      </c>
      <c r="F313" s="108" t="s">
        <v>135</v>
      </c>
      <c r="G313" s="108">
        <v>8.51646927</v>
      </c>
      <c r="H313" s="108">
        <v>1</v>
      </c>
    </row>
    <row r="314" spans="1:8" ht="14">
      <c r="A314" s="108">
        <v>2001</v>
      </c>
      <c r="B314" s="108">
        <v>34</v>
      </c>
      <c r="C314" s="108" t="s">
        <v>30</v>
      </c>
      <c r="D314" s="108">
        <v>1943.81922212522</v>
      </c>
      <c r="E314" s="108">
        <v>156.45638689336599</v>
      </c>
      <c r="F314" s="108" t="s">
        <v>136</v>
      </c>
      <c r="G314" s="108">
        <v>352.02693450499999</v>
      </c>
      <c r="H314" s="108">
        <v>1</v>
      </c>
    </row>
    <row r="315" spans="1:8" ht="14">
      <c r="A315" s="108">
        <v>2001</v>
      </c>
      <c r="B315" s="108">
        <v>34</v>
      </c>
      <c r="C315" s="108" t="s">
        <v>30</v>
      </c>
      <c r="D315" s="108">
        <v>0.186481164624208</v>
      </c>
      <c r="E315" s="108">
        <v>0.301515356252466</v>
      </c>
      <c r="F315" s="108" t="s">
        <v>137</v>
      </c>
      <c r="G315" s="108">
        <v>0.67841010999999996</v>
      </c>
      <c r="H315" s="108">
        <v>1</v>
      </c>
    </row>
    <row r="316" spans="1:8" ht="14">
      <c r="A316" s="108">
        <v>2001</v>
      </c>
      <c r="B316" s="108">
        <v>34</v>
      </c>
      <c r="C316" s="108" t="s">
        <v>138</v>
      </c>
      <c r="D316" s="108">
        <v>0.16805791178399801</v>
      </c>
      <c r="E316" s="108">
        <v>3.00705276140306E-2</v>
      </c>
      <c r="F316" s="108" t="s">
        <v>137</v>
      </c>
      <c r="G316" s="108">
        <v>6.7658700000000002E-2</v>
      </c>
      <c r="H316" s="108">
        <v>1</v>
      </c>
    </row>
    <row r="317" spans="1:8" ht="14">
      <c r="A317" s="108">
        <v>2001</v>
      </c>
      <c r="B317" s="108">
        <v>34</v>
      </c>
      <c r="C317" s="108" t="s">
        <v>138</v>
      </c>
      <c r="D317" s="108">
        <v>7.4952961837622896</v>
      </c>
      <c r="E317" s="108">
        <v>1.88546020812008</v>
      </c>
      <c r="F317" s="108" t="s">
        <v>135</v>
      </c>
      <c r="G317" s="108">
        <v>4.2422852600000001</v>
      </c>
      <c r="H317" s="108">
        <v>1</v>
      </c>
    </row>
    <row r="318" spans="1:8" ht="14">
      <c r="A318" s="108">
        <v>2001</v>
      </c>
      <c r="B318" s="108">
        <v>34</v>
      </c>
      <c r="C318" s="108" t="s">
        <v>138</v>
      </c>
      <c r="D318" s="108">
        <v>1291.51164590445</v>
      </c>
      <c r="E318" s="108">
        <v>82.519469264265794</v>
      </c>
      <c r="F318" s="108" t="s">
        <v>136</v>
      </c>
      <c r="G318" s="108">
        <v>185.668860469999</v>
      </c>
      <c r="H318" s="108">
        <v>1</v>
      </c>
    </row>
    <row r="319" spans="1:8" ht="14">
      <c r="A319" s="108">
        <v>2001</v>
      </c>
      <c r="B319" s="108">
        <v>34</v>
      </c>
      <c r="C319" s="108" t="s">
        <v>139</v>
      </c>
      <c r="D319" s="108">
        <v>1.8423252840210399E-2</v>
      </c>
      <c r="E319" s="108">
        <v>0.271444828638436</v>
      </c>
      <c r="F319" s="108" t="s">
        <v>137</v>
      </c>
      <c r="G319" s="108">
        <v>0.61075140999999999</v>
      </c>
      <c r="H319" s="108">
        <v>1</v>
      </c>
    </row>
    <row r="320" spans="1:8" ht="14">
      <c r="A320" s="108">
        <v>2001</v>
      </c>
      <c r="B320" s="108">
        <v>34</v>
      </c>
      <c r="C320" s="108" t="s">
        <v>139</v>
      </c>
      <c r="D320" s="108">
        <v>7.4630005263852199</v>
      </c>
      <c r="E320" s="108">
        <v>1.89963754226113</v>
      </c>
      <c r="F320" s="108" t="s">
        <v>135</v>
      </c>
      <c r="G320" s="108">
        <v>4.2741840099999902</v>
      </c>
      <c r="H320" s="108">
        <v>1</v>
      </c>
    </row>
    <row r="321" spans="1:8" ht="14">
      <c r="A321" s="108">
        <v>2001</v>
      </c>
      <c r="B321" s="108">
        <v>34</v>
      </c>
      <c r="C321" s="108" t="s">
        <v>139</v>
      </c>
      <c r="D321" s="108">
        <v>652.30757622077397</v>
      </c>
      <c r="E321" s="108">
        <v>73.936917629100407</v>
      </c>
      <c r="F321" s="108" t="s">
        <v>136</v>
      </c>
      <c r="G321" s="108">
        <v>166.35807403499999</v>
      </c>
      <c r="H321" s="108">
        <v>1</v>
      </c>
    </row>
    <row r="322" spans="1:8" ht="14">
      <c r="A322" s="108">
        <v>2001</v>
      </c>
      <c r="B322" s="108">
        <v>51</v>
      </c>
      <c r="C322" s="108" t="s">
        <v>30</v>
      </c>
      <c r="D322" s="108">
        <v>30077.152709727099</v>
      </c>
      <c r="E322" s="108">
        <v>2884.6660254550702</v>
      </c>
      <c r="F322" s="108" t="s">
        <v>136</v>
      </c>
      <c r="G322" s="108"/>
      <c r="H322" s="108">
        <v>1</v>
      </c>
    </row>
    <row r="323" spans="1:8" ht="14">
      <c r="A323" s="108">
        <v>2001</v>
      </c>
      <c r="B323" s="108">
        <v>51</v>
      </c>
      <c r="C323" s="108" t="s">
        <v>30</v>
      </c>
      <c r="D323" s="108">
        <v>7102.6202902728101</v>
      </c>
      <c r="E323" s="108">
        <v>633.93997454492001</v>
      </c>
      <c r="F323" s="108" t="s">
        <v>135</v>
      </c>
      <c r="G323" s="108"/>
      <c r="H323" s="108">
        <v>1</v>
      </c>
    </row>
    <row r="324" spans="1:8" ht="14">
      <c r="A324" s="108">
        <v>2001</v>
      </c>
      <c r="B324" s="108">
        <v>51</v>
      </c>
      <c r="C324" s="108" t="s">
        <v>138</v>
      </c>
      <c r="D324" s="108">
        <v>3634.2828591492398</v>
      </c>
      <c r="E324" s="108">
        <v>316.49577938488801</v>
      </c>
      <c r="F324" s="108" t="s">
        <v>135</v>
      </c>
      <c r="G324" s="108"/>
      <c r="H324" s="108">
        <v>1</v>
      </c>
    </row>
    <row r="325" spans="1:8" ht="14">
      <c r="A325" s="108">
        <v>2001</v>
      </c>
      <c r="B325" s="108">
        <v>51</v>
      </c>
      <c r="C325" s="108" t="s">
        <v>138</v>
      </c>
      <c r="D325" s="108">
        <v>17845.783140850701</v>
      </c>
      <c r="E325" s="108">
        <v>1502.6212206151099</v>
      </c>
      <c r="F325" s="108" t="s">
        <v>136</v>
      </c>
      <c r="G325" s="108"/>
      <c r="H325" s="108">
        <v>1</v>
      </c>
    </row>
    <row r="326" spans="1:8" ht="14">
      <c r="A326" s="108">
        <v>2001</v>
      </c>
      <c r="B326" s="108">
        <v>51</v>
      </c>
      <c r="C326" s="108" t="s">
        <v>139</v>
      </c>
      <c r="D326" s="108">
        <v>12231.3695688764</v>
      </c>
      <c r="E326" s="108">
        <v>1382.0448048399601</v>
      </c>
      <c r="F326" s="108" t="s">
        <v>136</v>
      </c>
      <c r="G326" s="108"/>
      <c r="H326" s="108">
        <v>1</v>
      </c>
    </row>
    <row r="327" spans="1:8" ht="14">
      <c r="A327" s="108">
        <v>2001</v>
      </c>
      <c r="B327" s="108">
        <v>51</v>
      </c>
      <c r="C327" s="108" t="s">
        <v>139</v>
      </c>
      <c r="D327" s="108">
        <v>3468.3374311235698</v>
      </c>
      <c r="E327" s="108">
        <v>317.444195160032</v>
      </c>
      <c r="F327" s="108" t="s">
        <v>135</v>
      </c>
      <c r="G327" s="108"/>
      <c r="H327" s="108">
        <v>1</v>
      </c>
    </row>
    <row r="328" spans="1:8" ht="14">
      <c r="A328" s="108">
        <v>2001</v>
      </c>
      <c r="B328" s="108">
        <v>52</v>
      </c>
      <c r="C328" s="108" t="s">
        <v>30</v>
      </c>
      <c r="D328" s="108">
        <v>0</v>
      </c>
      <c r="E328" s="108">
        <v>1269.81382890536</v>
      </c>
      <c r="F328" s="108" t="s">
        <v>135</v>
      </c>
      <c r="G328" s="108"/>
      <c r="H328" s="108">
        <v>1</v>
      </c>
    </row>
    <row r="329" spans="1:8" ht="14">
      <c r="A329" s="108">
        <v>2001</v>
      </c>
      <c r="B329" s="108">
        <v>52</v>
      </c>
      <c r="C329" s="108" t="s">
        <v>30</v>
      </c>
      <c r="D329" s="108">
        <v>0</v>
      </c>
      <c r="E329" s="108">
        <v>4827.8601710946295</v>
      </c>
      <c r="F329" s="108" t="s">
        <v>136</v>
      </c>
      <c r="G329" s="108"/>
      <c r="H329" s="108">
        <v>1</v>
      </c>
    </row>
    <row r="330" spans="1:8" ht="14">
      <c r="A330" s="108">
        <v>2001</v>
      </c>
      <c r="B330" s="108">
        <v>52</v>
      </c>
      <c r="C330" s="108" t="s">
        <v>138</v>
      </c>
      <c r="D330" s="108">
        <v>0</v>
      </c>
      <c r="E330" s="108">
        <v>2321.59538887181</v>
      </c>
      <c r="F330" s="108" t="s">
        <v>136</v>
      </c>
      <c r="G330" s="108"/>
      <c r="H330" s="108">
        <v>1</v>
      </c>
    </row>
    <row r="331" spans="1:8" ht="14">
      <c r="A331" s="108">
        <v>2001</v>
      </c>
      <c r="B331" s="108">
        <v>52</v>
      </c>
      <c r="C331" s="108" t="s">
        <v>138</v>
      </c>
      <c r="D331" s="108">
        <v>0</v>
      </c>
      <c r="E331" s="108">
        <v>637.18861112818797</v>
      </c>
      <c r="F331" s="108" t="s">
        <v>135</v>
      </c>
      <c r="G331" s="108"/>
      <c r="H331" s="108">
        <v>1</v>
      </c>
    </row>
    <row r="332" spans="1:8" ht="14">
      <c r="A332" s="108">
        <v>2001</v>
      </c>
      <c r="B332" s="108">
        <v>52</v>
      </c>
      <c r="C332" s="108" t="s">
        <v>139</v>
      </c>
      <c r="D332" s="108">
        <v>0</v>
      </c>
      <c r="E332" s="108">
        <v>2506.26478222282</v>
      </c>
      <c r="F332" s="108" t="s">
        <v>136</v>
      </c>
      <c r="G332" s="108"/>
      <c r="H332" s="108">
        <v>1</v>
      </c>
    </row>
    <row r="333" spans="1:8" ht="14">
      <c r="A333" s="108">
        <v>2001</v>
      </c>
      <c r="B333" s="108">
        <v>52</v>
      </c>
      <c r="C333" s="108" t="s">
        <v>139</v>
      </c>
      <c r="D333" s="108">
        <v>0</v>
      </c>
      <c r="E333" s="108">
        <v>632.62521777717404</v>
      </c>
      <c r="F333" s="108" t="s">
        <v>135</v>
      </c>
      <c r="G333" s="108"/>
      <c r="H333" s="108">
        <v>1</v>
      </c>
    </row>
    <row r="334" spans="1:8" ht="14">
      <c r="A334" s="108">
        <v>2001</v>
      </c>
      <c r="B334" s="108">
        <v>53</v>
      </c>
      <c r="C334" s="108" t="s">
        <v>30</v>
      </c>
      <c r="D334" s="108">
        <v>0</v>
      </c>
      <c r="E334" s="108">
        <v>14.442646395291799</v>
      </c>
      <c r="F334" s="108" t="s">
        <v>135</v>
      </c>
      <c r="G334" s="108"/>
      <c r="H334" s="108">
        <v>1</v>
      </c>
    </row>
    <row r="335" spans="1:8" ht="14">
      <c r="A335" s="108">
        <v>2001</v>
      </c>
      <c r="B335" s="108">
        <v>53</v>
      </c>
      <c r="C335" s="108" t="s">
        <v>30</v>
      </c>
      <c r="D335" s="108">
        <v>0</v>
      </c>
      <c r="E335" s="108">
        <v>165.891353604708</v>
      </c>
      <c r="F335" s="108" t="s">
        <v>136</v>
      </c>
      <c r="G335" s="108"/>
      <c r="H335" s="108">
        <v>1</v>
      </c>
    </row>
    <row r="336" spans="1:8" ht="14">
      <c r="A336" s="108">
        <v>2001</v>
      </c>
      <c r="B336" s="108">
        <v>53</v>
      </c>
      <c r="C336" s="108" t="s">
        <v>30</v>
      </c>
      <c r="D336" s="108">
        <v>0</v>
      </c>
      <c r="E336" s="108">
        <v>13.041</v>
      </c>
      <c r="F336" s="108" t="s">
        <v>137</v>
      </c>
      <c r="G336" s="108"/>
      <c r="H336" s="108">
        <v>1</v>
      </c>
    </row>
    <row r="337" spans="1:8" ht="14">
      <c r="A337" s="108">
        <v>2001</v>
      </c>
      <c r="B337" s="108">
        <v>53</v>
      </c>
      <c r="C337" s="108" t="s">
        <v>138</v>
      </c>
      <c r="D337" s="108">
        <v>0</v>
      </c>
      <c r="E337" s="108">
        <v>7.2880000000000003</v>
      </c>
      <c r="F337" s="108" t="s">
        <v>135</v>
      </c>
      <c r="G337" s="108"/>
      <c r="H337" s="108">
        <v>1</v>
      </c>
    </row>
    <row r="338" spans="1:8" ht="14">
      <c r="A338" s="108">
        <v>2001</v>
      </c>
      <c r="B338" s="108">
        <v>53</v>
      </c>
      <c r="C338" s="108" t="s">
        <v>138</v>
      </c>
      <c r="D338" s="108">
        <v>0</v>
      </c>
      <c r="E338" s="108">
        <v>6.827</v>
      </c>
      <c r="F338" s="108" t="s">
        <v>137</v>
      </c>
      <c r="G338" s="108"/>
      <c r="H338" s="108">
        <v>1</v>
      </c>
    </row>
    <row r="339" spans="1:8" ht="14">
      <c r="A339" s="108">
        <v>2001</v>
      </c>
      <c r="B339" s="108">
        <v>53</v>
      </c>
      <c r="C339" s="108" t="s">
        <v>138</v>
      </c>
      <c r="D339" s="108">
        <v>0</v>
      </c>
      <c r="E339" s="108">
        <v>83.515000000000001</v>
      </c>
      <c r="F339" s="108" t="s">
        <v>136</v>
      </c>
      <c r="G339" s="108"/>
      <c r="H339" s="108">
        <v>1</v>
      </c>
    </row>
    <row r="340" spans="1:8" ht="14">
      <c r="A340" s="108">
        <v>2001</v>
      </c>
      <c r="B340" s="108">
        <v>53</v>
      </c>
      <c r="C340" s="108" t="s">
        <v>139</v>
      </c>
      <c r="D340" s="108">
        <v>0</v>
      </c>
      <c r="E340" s="108">
        <v>7.1546463952918096</v>
      </c>
      <c r="F340" s="108" t="s">
        <v>135</v>
      </c>
      <c r="G340" s="108"/>
      <c r="H340" s="108">
        <v>1</v>
      </c>
    </row>
    <row r="341" spans="1:8" ht="14">
      <c r="A341" s="108">
        <v>2001</v>
      </c>
      <c r="B341" s="108">
        <v>53</v>
      </c>
      <c r="C341" s="108" t="s">
        <v>139</v>
      </c>
      <c r="D341" s="108">
        <v>0</v>
      </c>
      <c r="E341" s="108">
        <v>6.2140000000000004</v>
      </c>
      <c r="F341" s="108" t="s">
        <v>137</v>
      </c>
      <c r="G341" s="108"/>
      <c r="H341" s="108">
        <v>1</v>
      </c>
    </row>
    <row r="342" spans="1:8" ht="14">
      <c r="A342" s="108">
        <v>2001</v>
      </c>
      <c r="B342" s="108">
        <v>53</v>
      </c>
      <c r="C342" s="108" t="s">
        <v>139</v>
      </c>
      <c r="D342" s="108">
        <v>0</v>
      </c>
      <c r="E342" s="108">
        <v>82.3763536047081</v>
      </c>
      <c r="F342" s="108" t="s">
        <v>136</v>
      </c>
      <c r="G342" s="108"/>
      <c r="H342" s="108">
        <v>1</v>
      </c>
    </row>
    <row r="343" spans="1:8" ht="14">
      <c r="A343" s="108">
        <v>2001</v>
      </c>
      <c r="B343" s="108">
        <v>54</v>
      </c>
      <c r="C343" s="108" t="s">
        <v>30</v>
      </c>
      <c r="D343" s="108">
        <v>3660.1725855053501</v>
      </c>
      <c r="E343" s="108">
        <v>3004.1841435195302</v>
      </c>
      <c r="F343" s="108" t="s">
        <v>136</v>
      </c>
      <c r="G343" s="108"/>
      <c r="H343" s="108">
        <v>1</v>
      </c>
    </row>
    <row r="344" spans="1:8" ht="14">
      <c r="A344" s="108">
        <v>2001</v>
      </c>
      <c r="B344" s="108">
        <v>54</v>
      </c>
      <c r="C344" s="108" t="s">
        <v>30</v>
      </c>
      <c r="D344" s="108">
        <v>362.56841449464298</v>
      </c>
      <c r="E344" s="108">
        <v>308.16385648046298</v>
      </c>
      <c r="F344" s="108" t="s">
        <v>135</v>
      </c>
      <c r="G344" s="108"/>
      <c r="H344" s="108">
        <v>1</v>
      </c>
    </row>
    <row r="345" spans="1:8" ht="14">
      <c r="A345" s="108">
        <v>2001</v>
      </c>
      <c r="B345" s="108">
        <v>54</v>
      </c>
      <c r="C345" s="108" t="s">
        <v>30</v>
      </c>
      <c r="D345" s="108">
        <v>0.50700000000000001</v>
      </c>
      <c r="E345" s="108">
        <v>0.33600000000000002</v>
      </c>
      <c r="F345" s="108" t="s">
        <v>137</v>
      </c>
      <c r="G345" s="108"/>
      <c r="H345" s="108">
        <v>1</v>
      </c>
    </row>
    <row r="346" spans="1:8" ht="14">
      <c r="A346" s="108">
        <v>2001</v>
      </c>
      <c r="B346" s="108">
        <v>54</v>
      </c>
      <c r="C346" s="108" t="s">
        <v>138</v>
      </c>
      <c r="D346" s="108">
        <v>180.45736389132799</v>
      </c>
      <c r="E346" s="108">
        <v>147.344689985906</v>
      </c>
      <c r="F346" s="108" t="s">
        <v>135</v>
      </c>
      <c r="G346" s="108"/>
      <c r="H346" s="108">
        <v>1</v>
      </c>
    </row>
    <row r="347" spans="1:8" ht="14">
      <c r="A347" s="108">
        <v>2001</v>
      </c>
      <c r="B347" s="108">
        <v>54</v>
      </c>
      <c r="C347" s="108" t="s">
        <v>138</v>
      </c>
      <c r="D347" s="108">
        <v>2333.7366361086702</v>
      </c>
      <c r="E347" s="108">
        <v>2020.98131001409</v>
      </c>
      <c r="F347" s="108" t="s">
        <v>136</v>
      </c>
      <c r="G347" s="108"/>
      <c r="H347" s="108">
        <v>1</v>
      </c>
    </row>
    <row r="348" spans="1:8" ht="14">
      <c r="A348" s="108">
        <v>2001</v>
      </c>
      <c r="B348" s="108">
        <v>54</v>
      </c>
      <c r="C348" s="108" t="s">
        <v>138</v>
      </c>
      <c r="D348" s="108">
        <v>0.3</v>
      </c>
      <c r="E348" s="108">
        <v>0.25</v>
      </c>
      <c r="F348" s="108" t="s">
        <v>137</v>
      </c>
      <c r="G348" s="108"/>
      <c r="H348" s="108">
        <v>1</v>
      </c>
    </row>
    <row r="349" spans="1:8" ht="14">
      <c r="A349" s="108">
        <v>2001</v>
      </c>
      <c r="B349" s="108">
        <v>54</v>
      </c>
      <c r="C349" s="108" t="s">
        <v>139</v>
      </c>
      <c r="D349" s="108">
        <v>1326.4359493966799</v>
      </c>
      <c r="E349" s="108">
        <v>983.20283350544196</v>
      </c>
      <c r="F349" s="108" t="s">
        <v>136</v>
      </c>
      <c r="G349" s="108"/>
      <c r="H349" s="108">
        <v>1</v>
      </c>
    </row>
    <row r="350" spans="1:8" ht="14">
      <c r="A350" s="108">
        <v>2001</v>
      </c>
      <c r="B350" s="108">
        <v>54</v>
      </c>
      <c r="C350" s="108" t="s">
        <v>139</v>
      </c>
      <c r="D350" s="108">
        <v>0.20699999999999999</v>
      </c>
      <c r="E350" s="108">
        <v>8.5999999999999993E-2</v>
      </c>
      <c r="F350" s="108" t="s">
        <v>137</v>
      </c>
      <c r="G350" s="108"/>
      <c r="H350" s="108">
        <v>1</v>
      </c>
    </row>
    <row r="351" spans="1:8" ht="14">
      <c r="A351" s="108">
        <v>2001</v>
      </c>
      <c r="B351" s="108">
        <v>54</v>
      </c>
      <c r="C351" s="108" t="s">
        <v>139</v>
      </c>
      <c r="D351" s="108">
        <v>182.11105060331499</v>
      </c>
      <c r="E351" s="108">
        <v>160.81916649455701</v>
      </c>
      <c r="F351" s="108" t="s">
        <v>135</v>
      </c>
      <c r="G351" s="108"/>
      <c r="H351" s="108">
        <v>1</v>
      </c>
    </row>
    <row r="352" spans="1:8" ht="14">
      <c r="A352" s="108">
        <v>2001</v>
      </c>
      <c r="B352" s="108">
        <v>56</v>
      </c>
      <c r="C352" s="108" t="s">
        <v>30</v>
      </c>
      <c r="D352" s="108">
        <v>6.8609999999999998</v>
      </c>
      <c r="E352" s="108">
        <v>28.048999999999999</v>
      </c>
      <c r="F352" s="108" t="s">
        <v>135</v>
      </c>
      <c r="G352" s="108"/>
      <c r="H352" s="108">
        <v>1</v>
      </c>
    </row>
    <row r="353" spans="1:8" ht="14">
      <c r="A353" s="108">
        <v>2001</v>
      </c>
      <c r="B353" s="108">
        <v>56</v>
      </c>
      <c r="C353" s="108" t="s">
        <v>30</v>
      </c>
      <c r="D353" s="108">
        <v>0.26600000000000001</v>
      </c>
      <c r="E353" s="108">
        <v>0.50600000000000001</v>
      </c>
      <c r="F353" s="108" t="s">
        <v>137</v>
      </c>
      <c r="G353" s="108"/>
      <c r="H353" s="108">
        <v>1</v>
      </c>
    </row>
    <row r="354" spans="1:8" ht="14">
      <c r="A354" s="108">
        <v>2001</v>
      </c>
      <c r="B354" s="108">
        <v>56</v>
      </c>
      <c r="C354" s="108" t="s">
        <v>30</v>
      </c>
      <c r="D354" s="108">
        <v>1.4</v>
      </c>
      <c r="E354" s="108">
        <v>2.3980000000000001</v>
      </c>
      <c r="F354" s="108" t="s">
        <v>136</v>
      </c>
      <c r="G354" s="108"/>
      <c r="H354" s="108">
        <v>1</v>
      </c>
    </row>
    <row r="355" spans="1:8" ht="14">
      <c r="A355" s="108">
        <v>2001</v>
      </c>
      <c r="B355" s="108">
        <v>56</v>
      </c>
      <c r="C355" s="108" t="s">
        <v>138</v>
      </c>
      <c r="D355" s="108">
        <v>5.3819999999999997</v>
      </c>
      <c r="E355" s="108">
        <v>21.849</v>
      </c>
      <c r="F355" s="108" t="s">
        <v>135</v>
      </c>
      <c r="G355" s="108"/>
      <c r="H355" s="108">
        <v>1</v>
      </c>
    </row>
    <row r="356" spans="1:8" ht="14">
      <c r="A356" s="108">
        <v>2001</v>
      </c>
      <c r="B356" s="108">
        <v>56</v>
      </c>
      <c r="C356" s="108" t="s">
        <v>138</v>
      </c>
      <c r="D356" s="108">
        <v>0.26600000000000001</v>
      </c>
      <c r="E356" s="108">
        <v>0.50600000000000001</v>
      </c>
      <c r="F356" s="108" t="s">
        <v>137</v>
      </c>
      <c r="G356" s="108"/>
      <c r="H356" s="108">
        <v>1</v>
      </c>
    </row>
    <row r="357" spans="1:8" ht="14">
      <c r="A357" s="108">
        <v>2001</v>
      </c>
      <c r="B357" s="108">
        <v>56</v>
      </c>
      <c r="C357" s="108" t="s">
        <v>139</v>
      </c>
      <c r="D357" s="108">
        <v>1.4</v>
      </c>
      <c r="E357" s="108">
        <v>2.3980000000000001</v>
      </c>
      <c r="F357" s="108" t="s">
        <v>136</v>
      </c>
      <c r="G357" s="108"/>
      <c r="H357" s="108">
        <v>1</v>
      </c>
    </row>
    <row r="358" spans="1:8" ht="14">
      <c r="A358" s="108">
        <v>2001</v>
      </c>
      <c r="B358" s="108">
        <v>56</v>
      </c>
      <c r="C358" s="108" t="s">
        <v>139</v>
      </c>
      <c r="D358" s="108">
        <v>1.4790000000000001</v>
      </c>
      <c r="E358" s="108">
        <v>6.2</v>
      </c>
      <c r="F358" s="108" t="s">
        <v>135</v>
      </c>
      <c r="G358" s="108"/>
      <c r="H358" s="108">
        <v>1</v>
      </c>
    </row>
    <row r="359" spans="1:8" ht="14">
      <c r="A359" s="108">
        <v>2001</v>
      </c>
      <c r="B359" s="108">
        <v>59</v>
      </c>
      <c r="C359" s="108" t="s">
        <v>30</v>
      </c>
      <c r="D359" s="108">
        <v>1.5591082562104199</v>
      </c>
      <c r="E359" s="108">
        <v>0.41259398686205101</v>
      </c>
      <c r="F359" s="108" t="s">
        <v>137</v>
      </c>
      <c r="G359" s="108"/>
      <c r="H359" s="108">
        <v>1</v>
      </c>
    </row>
    <row r="360" spans="1:8" ht="14">
      <c r="A360" s="108">
        <v>2001</v>
      </c>
      <c r="B360" s="108">
        <v>59</v>
      </c>
      <c r="C360" s="108" t="s">
        <v>30</v>
      </c>
      <c r="D360" s="108">
        <v>598.66389174378901</v>
      </c>
      <c r="E360" s="108">
        <v>89.095406013137904</v>
      </c>
      <c r="F360" s="108" t="s">
        <v>136</v>
      </c>
      <c r="G360" s="108"/>
      <c r="H360" s="108">
        <v>1</v>
      </c>
    </row>
    <row r="361" spans="1:8" ht="14">
      <c r="A361" s="108">
        <v>2001</v>
      </c>
      <c r="B361" s="108">
        <v>59</v>
      </c>
      <c r="C361" s="108" t="s">
        <v>30</v>
      </c>
      <c r="D361" s="108">
        <v>109.16800000000001</v>
      </c>
      <c r="E361" s="108">
        <v>18.994</v>
      </c>
      <c r="F361" s="108" t="s">
        <v>135</v>
      </c>
      <c r="G361" s="108"/>
      <c r="H361" s="108">
        <v>1</v>
      </c>
    </row>
    <row r="362" spans="1:8" ht="14">
      <c r="A362" s="108">
        <v>2001</v>
      </c>
      <c r="B362" s="108">
        <v>59</v>
      </c>
      <c r="C362" s="108" t="s">
        <v>138</v>
      </c>
      <c r="D362" s="108">
        <v>37.704000000000001</v>
      </c>
      <c r="E362" s="108">
        <v>7.4319999999999897</v>
      </c>
      <c r="F362" s="108" t="s">
        <v>135</v>
      </c>
      <c r="G362" s="108"/>
      <c r="H362" s="108">
        <v>1</v>
      </c>
    </row>
    <row r="363" spans="1:8" ht="14">
      <c r="A363" s="108">
        <v>2001</v>
      </c>
      <c r="B363" s="108">
        <v>59</v>
      </c>
      <c r="C363" s="108" t="s">
        <v>138</v>
      </c>
      <c r="D363" s="108">
        <v>0.82599999999999996</v>
      </c>
      <c r="E363" s="108">
        <v>0.24</v>
      </c>
      <c r="F363" s="108" t="s">
        <v>137</v>
      </c>
      <c r="G363" s="108"/>
      <c r="H363" s="108">
        <v>1</v>
      </c>
    </row>
    <row r="364" spans="1:8" ht="14">
      <c r="A364" s="108">
        <v>2001</v>
      </c>
      <c r="B364" s="108">
        <v>59</v>
      </c>
      <c r="C364" s="108" t="s">
        <v>138</v>
      </c>
      <c r="D364" s="108">
        <v>280.43499999999898</v>
      </c>
      <c r="E364" s="108">
        <v>50.33</v>
      </c>
      <c r="F364" s="108" t="s">
        <v>136</v>
      </c>
      <c r="G364" s="108"/>
      <c r="H364" s="108">
        <v>1</v>
      </c>
    </row>
    <row r="365" spans="1:8" ht="14">
      <c r="A365" s="108">
        <v>2001</v>
      </c>
      <c r="B365" s="108">
        <v>59</v>
      </c>
      <c r="C365" s="108" t="s">
        <v>139</v>
      </c>
      <c r="D365" s="108">
        <v>0.73310825621042297</v>
      </c>
      <c r="E365" s="108">
        <v>0.17259398686205099</v>
      </c>
      <c r="F365" s="108" t="s">
        <v>137</v>
      </c>
      <c r="G365" s="108"/>
      <c r="H365" s="108">
        <v>1</v>
      </c>
    </row>
    <row r="366" spans="1:8" ht="14">
      <c r="A366" s="108">
        <v>2001</v>
      </c>
      <c r="B366" s="108">
        <v>59</v>
      </c>
      <c r="C366" s="108" t="s">
        <v>139</v>
      </c>
      <c r="D366" s="108">
        <v>71.463999999999899</v>
      </c>
      <c r="E366" s="108">
        <v>11.561999999999999</v>
      </c>
      <c r="F366" s="108" t="s">
        <v>135</v>
      </c>
      <c r="G366" s="108"/>
      <c r="H366" s="108">
        <v>1</v>
      </c>
    </row>
    <row r="367" spans="1:8" ht="14">
      <c r="A367" s="108">
        <v>2001</v>
      </c>
      <c r="B367" s="108">
        <v>59</v>
      </c>
      <c r="C367" s="108" t="s">
        <v>139</v>
      </c>
      <c r="D367" s="108">
        <v>318.22889174378901</v>
      </c>
      <c r="E367" s="108">
        <v>38.765406013137898</v>
      </c>
      <c r="F367" s="108" t="s">
        <v>136</v>
      </c>
      <c r="G367" s="108"/>
      <c r="H367" s="108">
        <v>1</v>
      </c>
    </row>
    <row r="368" spans="1:8" ht="14">
      <c r="A368" s="108">
        <v>2001</v>
      </c>
      <c r="B368" s="108">
        <v>61</v>
      </c>
      <c r="C368" s="108" t="s">
        <v>30</v>
      </c>
      <c r="D368" s="108">
        <v>11769.6266599557</v>
      </c>
      <c r="E368" s="108">
        <v>940.01131499612598</v>
      </c>
      <c r="F368" s="108" t="s">
        <v>135</v>
      </c>
      <c r="G368" s="108"/>
      <c r="H368" s="108">
        <v>1</v>
      </c>
    </row>
    <row r="369" spans="1:8" ht="14">
      <c r="A369" s="108">
        <v>2001</v>
      </c>
      <c r="B369" s="108">
        <v>61</v>
      </c>
      <c r="C369" s="108" t="s">
        <v>30</v>
      </c>
      <c r="D369" s="108">
        <v>23336.689340044199</v>
      </c>
      <c r="E369" s="108">
        <v>1696.31368500387</v>
      </c>
      <c r="F369" s="108" t="s">
        <v>136</v>
      </c>
      <c r="G369" s="108"/>
      <c r="H369" s="108">
        <v>1</v>
      </c>
    </row>
    <row r="370" spans="1:8" ht="14">
      <c r="A370" s="108">
        <v>2001</v>
      </c>
      <c r="B370" s="108">
        <v>61</v>
      </c>
      <c r="C370" s="108" t="s">
        <v>30</v>
      </c>
      <c r="D370" s="108">
        <v>92.347999999999999</v>
      </c>
      <c r="E370" s="108">
        <v>6.2830000000000004</v>
      </c>
      <c r="F370" s="108" t="s">
        <v>137</v>
      </c>
      <c r="G370" s="108"/>
      <c r="H370" s="108">
        <v>1</v>
      </c>
    </row>
    <row r="371" spans="1:8" ht="14">
      <c r="A371" s="108">
        <v>2001</v>
      </c>
      <c r="B371" s="108">
        <v>61</v>
      </c>
      <c r="C371" s="108" t="s">
        <v>138</v>
      </c>
      <c r="D371" s="108">
        <v>6166.3999434827701</v>
      </c>
      <c r="E371" s="108">
        <v>476.989239227393</v>
      </c>
      <c r="F371" s="108" t="s">
        <v>135</v>
      </c>
      <c r="G371" s="108"/>
      <c r="H371" s="108">
        <v>1</v>
      </c>
    </row>
    <row r="372" spans="1:8" ht="14">
      <c r="A372" s="108">
        <v>2001</v>
      </c>
      <c r="B372" s="108">
        <v>61</v>
      </c>
      <c r="C372" s="108" t="s">
        <v>138</v>
      </c>
      <c r="D372" s="108">
        <v>91.176000000000002</v>
      </c>
      <c r="E372" s="108">
        <v>6.109</v>
      </c>
      <c r="F372" s="108" t="s">
        <v>137</v>
      </c>
      <c r="G372" s="108"/>
      <c r="H372" s="108">
        <v>1</v>
      </c>
    </row>
    <row r="373" spans="1:8" ht="14">
      <c r="A373" s="108">
        <v>2001</v>
      </c>
      <c r="B373" s="108">
        <v>61</v>
      </c>
      <c r="C373" s="108" t="s">
        <v>138</v>
      </c>
      <c r="D373" s="108">
        <v>13005.130056517201</v>
      </c>
      <c r="E373" s="108">
        <v>851.32376077260597</v>
      </c>
      <c r="F373" s="108" t="s">
        <v>136</v>
      </c>
      <c r="G373" s="108"/>
      <c r="H373" s="108">
        <v>1</v>
      </c>
    </row>
    <row r="374" spans="1:8" ht="14">
      <c r="A374" s="108">
        <v>2001</v>
      </c>
      <c r="B374" s="108">
        <v>61</v>
      </c>
      <c r="C374" s="108" t="s">
        <v>139</v>
      </c>
      <c r="D374" s="108">
        <v>1.1719999999999999</v>
      </c>
      <c r="E374" s="108">
        <v>0.17399999999999999</v>
      </c>
      <c r="F374" s="108" t="s">
        <v>137</v>
      </c>
      <c r="G374" s="108"/>
      <c r="H374" s="108">
        <v>1</v>
      </c>
    </row>
    <row r="375" spans="1:8" ht="14">
      <c r="A375" s="108">
        <v>2001</v>
      </c>
      <c r="B375" s="108">
        <v>61</v>
      </c>
      <c r="C375" s="108" t="s">
        <v>139</v>
      </c>
      <c r="D375" s="108">
        <v>5603.2267164730101</v>
      </c>
      <c r="E375" s="108">
        <v>463.02207576873298</v>
      </c>
      <c r="F375" s="108" t="s">
        <v>135</v>
      </c>
      <c r="G375" s="108"/>
      <c r="H375" s="108">
        <v>1</v>
      </c>
    </row>
    <row r="376" spans="1:8" ht="14">
      <c r="A376" s="108">
        <v>2001</v>
      </c>
      <c r="B376" s="108">
        <v>61</v>
      </c>
      <c r="C376" s="108" t="s">
        <v>139</v>
      </c>
      <c r="D376" s="108">
        <v>10331.5592835269</v>
      </c>
      <c r="E376" s="108">
        <v>844.98992423126595</v>
      </c>
      <c r="F376" s="108" t="s">
        <v>136</v>
      </c>
      <c r="G376" s="108"/>
      <c r="H376" s="108">
        <v>1</v>
      </c>
    </row>
    <row r="377" spans="1:8" ht="14">
      <c r="A377" s="108">
        <v>2001</v>
      </c>
      <c r="B377" s="108">
        <v>62</v>
      </c>
      <c r="C377" s="108" t="s">
        <v>30</v>
      </c>
      <c r="D377" s="108">
        <v>557.97064616738396</v>
      </c>
      <c r="E377" s="108">
        <v>17.602915864685201</v>
      </c>
      <c r="F377" s="108" t="s">
        <v>136</v>
      </c>
      <c r="G377" s="108"/>
      <c r="H377" s="108">
        <v>1</v>
      </c>
    </row>
    <row r="378" spans="1:8" ht="14">
      <c r="A378" s="108">
        <v>2001</v>
      </c>
      <c r="B378" s="108">
        <v>62</v>
      </c>
      <c r="C378" s="108" t="s">
        <v>30</v>
      </c>
      <c r="D378" s="108">
        <v>92.314999999999998</v>
      </c>
      <c r="E378" s="108">
        <v>6.4539999999999997</v>
      </c>
      <c r="F378" s="108" t="s">
        <v>137</v>
      </c>
      <c r="G378" s="108"/>
      <c r="H378" s="108">
        <v>1</v>
      </c>
    </row>
    <row r="379" spans="1:8" ht="14">
      <c r="A379" s="108">
        <v>2001</v>
      </c>
      <c r="B379" s="108">
        <v>62</v>
      </c>
      <c r="C379" s="108" t="s">
        <v>30</v>
      </c>
      <c r="D379" s="108">
        <v>148.44735383261499</v>
      </c>
      <c r="E379" s="108">
        <v>19.9410841353147</v>
      </c>
      <c r="F379" s="108" t="s">
        <v>135</v>
      </c>
      <c r="G379" s="108"/>
      <c r="H379" s="108">
        <v>1</v>
      </c>
    </row>
    <row r="380" spans="1:8" ht="14">
      <c r="A380" s="108">
        <v>2001</v>
      </c>
      <c r="B380" s="108">
        <v>62</v>
      </c>
      <c r="C380" s="108" t="s">
        <v>138</v>
      </c>
      <c r="D380" s="108">
        <v>60.718929428369698</v>
      </c>
      <c r="E380" s="108">
        <v>8.4077498528546197</v>
      </c>
      <c r="F380" s="108" t="s">
        <v>135</v>
      </c>
      <c r="G380" s="108"/>
      <c r="H380" s="108">
        <v>1</v>
      </c>
    </row>
    <row r="381" spans="1:8" ht="14">
      <c r="A381" s="108">
        <v>2001</v>
      </c>
      <c r="B381" s="108">
        <v>62</v>
      </c>
      <c r="C381" s="108" t="s">
        <v>138</v>
      </c>
      <c r="D381" s="108">
        <v>484.24607057163001</v>
      </c>
      <c r="E381" s="108">
        <v>7.6362501471453799</v>
      </c>
      <c r="F381" s="108" t="s">
        <v>136</v>
      </c>
      <c r="G381" s="108"/>
      <c r="H381" s="108">
        <v>1</v>
      </c>
    </row>
    <row r="382" spans="1:8" ht="14">
      <c r="A382" s="108">
        <v>2001</v>
      </c>
      <c r="B382" s="108">
        <v>62</v>
      </c>
      <c r="C382" s="108" t="s">
        <v>138</v>
      </c>
      <c r="D382" s="108">
        <v>0.92500000000000004</v>
      </c>
      <c r="E382" s="108">
        <v>5.3999999999999999E-2</v>
      </c>
      <c r="F382" s="108" t="s">
        <v>137</v>
      </c>
      <c r="G382" s="108"/>
      <c r="H382" s="108">
        <v>1</v>
      </c>
    </row>
    <row r="383" spans="1:8" ht="14">
      <c r="A383" s="108">
        <v>2001</v>
      </c>
      <c r="B383" s="108">
        <v>62</v>
      </c>
      <c r="C383" s="108" t="s">
        <v>139</v>
      </c>
      <c r="D383" s="108">
        <v>91.39</v>
      </c>
      <c r="E383" s="108">
        <v>6.4</v>
      </c>
      <c r="F383" s="108" t="s">
        <v>137</v>
      </c>
      <c r="G383" s="108"/>
      <c r="H383" s="108">
        <v>1</v>
      </c>
    </row>
    <row r="384" spans="1:8" ht="14">
      <c r="A384" s="108">
        <v>2001</v>
      </c>
      <c r="B384" s="108">
        <v>62</v>
      </c>
      <c r="C384" s="108" t="s">
        <v>139</v>
      </c>
      <c r="D384" s="108">
        <v>73.724575595754601</v>
      </c>
      <c r="E384" s="108">
        <v>9.9666657175398594</v>
      </c>
      <c r="F384" s="108" t="s">
        <v>136</v>
      </c>
      <c r="G384" s="108"/>
      <c r="H384" s="108">
        <v>1</v>
      </c>
    </row>
    <row r="385" spans="1:8" ht="14">
      <c r="A385" s="108">
        <v>2001</v>
      </c>
      <c r="B385" s="108">
        <v>62</v>
      </c>
      <c r="C385" s="108" t="s">
        <v>139</v>
      </c>
      <c r="D385" s="108">
        <v>87.728424404245303</v>
      </c>
      <c r="E385" s="108">
        <v>11.5333342824601</v>
      </c>
      <c r="F385" s="108" t="s">
        <v>135</v>
      </c>
      <c r="G385" s="108"/>
      <c r="H385" s="108">
        <v>1</v>
      </c>
    </row>
    <row r="386" spans="1:8" ht="14">
      <c r="A386" s="108">
        <v>2001</v>
      </c>
      <c r="B386" s="108">
        <v>63</v>
      </c>
      <c r="C386" s="108" t="s">
        <v>30</v>
      </c>
      <c r="D386" s="108">
        <v>4835.6499999999896</v>
      </c>
      <c r="E386" s="108">
        <v>338.93900000000002</v>
      </c>
      <c r="F386" s="108" t="s">
        <v>136</v>
      </c>
      <c r="G386" s="108"/>
      <c r="H386" s="108">
        <v>1</v>
      </c>
    </row>
    <row r="387" spans="1:8" ht="14">
      <c r="A387" s="108">
        <v>2001</v>
      </c>
      <c r="B387" s="108">
        <v>63</v>
      </c>
      <c r="C387" s="108" t="s">
        <v>30</v>
      </c>
      <c r="D387" s="108">
        <v>10.597</v>
      </c>
      <c r="E387" s="108">
        <v>4.6029999999999998</v>
      </c>
      <c r="F387" s="108" t="s">
        <v>135</v>
      </c>
      <c r="G387" s="108"/>
      <c r="H387" s="108">
        <v>1</v>
      </c>
    </row>
    <row r="388" spans="1:8" ht="14">
      <c r="A388" s="108">
        <v>2001</v>
      </c>
      <c r="B388" s="108">
        <v>63</v>
      </c>
      <c r="C388" s="108" t="s">
        <v>138</v>
      </c>
      <c r="D388" s="108">
        <v>7.9809999999999999</v>
      </c>
      <c r="E388" s="108">
        <v>4.0890000000000004</v>
      </c>
      <c r="F388" s="108" t="s">
        <v>135</v>
      </c>
      <c r="G388" s="108"/>
      <c r="H388" s="108">
        <v>1</v>
      </c>
    </row>
    <row r="389" spans="1:8" ht="14">
      <c r="A389" s="108">
        <v>2001</v>
      </c>
      <c r="B389" s="108">
        <v>63</v>
      </c>
      <c r="C389" s="108" t="s">
        <v>138</v>
      </c>
      <c r="D389" s="108">
        <v>3095.7130000000002</v>
      </c>
      <c r="E389" s="108">
        <v>177.56299999999999</v>
      </c>
      <c r="F389" s="108" t="s">
        <v>136</v>
      </c>
      <c r="G389" s="108"/>
      <c r="H389" s="108">
        <v>1</v>
      </c>
    </row>
    <row r="390" spans="1:8" ht="14">
      <c r="A390" s="108">
        <v>2001</v>
      </c>
      <c r="B390" s="108">
        <v>63</v>
      </c>
      <c r="C390" s="108" t="s">
        <v>139</v>
      </c>
      <c r="D390" s="108">
        <v>2.6160000000000001</v>
      </c>
      <c r="E390" s="108">
        <v>0.51400000000000001</v>
      </c>
      <c r="F390" s="108" t="s">
        <v>135</v>
      </c>
      <c r="G390" s="108"/>
      <c r="H390" s="108">
        <v>1</v>
      </c>
    </row>
    <row r="391" spans="1:8" ht="14">
      <c r="A391" s="108">
        <v>2001</v>
      </c>
      <c r="B391" s="108">
        <v>63</v>
      </c>
      <c r="C391" s="108" t="s">
        <v>139</v>
      </c>
      <c r="D391" s="108">
        <v>1739.9369999999999</v>
      </c>
      <c r="E391" s="108">
        <v>161.37599999999901</v>
      </c>
      <c r="F391" s="108" t="s">
        <v>136</v>
      </c>
      <c r="G391" s="108"/>
      <c r="H391" s="108">
        <v>1</v>
      </c>
    </row>
    <row r="392" spans="1:8" ht="14">
      <c r="A392" s="108">
        <v>2001</v>
      </c>
      <c r="B392" s="108">
        <v>69</v>
      </c>
      <c r="C392" s="108" t="s">
        <v>30</v>
      </c>
      <c r="D392" s="108">
        <v>393.73099999999999</v>
      </c>
      <c r="E392" s="108">
        <v>35.457999999999998</v>
      </c>
      <c r="F392" s="108" t="s">
        <v>135</v>
      </c>
      <c r="G392" s="108"/>
      <c r="H392" s="108">
        <v>1</v>
      </c>
    </row>
    <row r="393" spans="1:8" ht="14">
      <c r="A393" s="108">
        <v>2001</v>
      </c>
      <c r="B393" s="108">
        <v>69</v>
      </c>
      <c r="C393" s="108" t="s">
        <v>30</v>
      </c>
      <c r="D393" s="108">
        <v>28.82</v>
      </c>
      <c r="E393" s="108">
        <v>11.922000000000001</v>
      </c>
      <c r="F393" s="108" t="s">
        <v>136</v>
      </c>
      <c r="G393" s="108"/>
      <c r="H393" s="108">
        <v>1</v>
      </c>
    </row>
    <row r="394" spans="1:8" ht="14">
      <c r="A394" s="108">
        <v>2001</v>
      </c>
      <c r="B394" s="108">
        <v>69</v>
      </c>
      <c r="C394" s="108" t="s">
        <v>30</v>
      </c>
      <c r="D394" s="108">
        <v>0</v>
      </c>
      <c r="E394" s="108">
        <v>2E-3</v>
      </c>
      <c r="F394" s="108" t="s">
        <v>137</v>
      </c>
      <c r="G394" s="108"/>
      <c r="H394" s="108">
        <v>1</v>
      </c>
    </row>
    <row r="395" spans="1:8" ht="14">
      <c r="A395" s="108">
        <v>2001</v>
      </c>
      <c r="B395" s="108">
        <v>69</v>
      </c>
      <c r="C395" s="108" t="s">
        <v>138</v>
      </c>
      <c r="D395" s="108">
        <v>0</v>
      </c>
      <c r="E395" s="108">
        <v>1E-3</v>
      </c>
      <c r="F395" s="108" t="s">
        <v>137</v>
      </c>
      <c r="G395" s="108"/>
      <c r="H395" s="108">
        <v>1</v>
      </c>
    </row>
    <row r="396" spans="1:8" ht="14">
      <c r="A396" s="108">
        <v>2001</v>
      </c>
      <c r="B396" s="108">
        <v>69</v>
      </c>
      <c r="C396" s="108" t="s">
        <v>138</v>
      </c>
      <c r="D396" s="108">
        <v>194.78399999999999</v>
      </c>
      <c r="E396" s="108">
        <v>17.986999999999998</v>
      </c>
      <c r="F396" s="108" t="s">
        <v>135</v>
      </c>
      <c r="G396" s="108"/>
      <c r="H396" s="108">
        <v>1</v>
      </c>
    </row>
    <row r="397" spans="1:8" ht="14">
      <c r="A397" s="108">
        <v>2001</v>
      </c>
      <c r="B397" s="108">
        <v>69</v>
      </c>
      <c r="C397" s="108" t="s">
        <v>138</v>
      </c>
      <c r="D397" s="108">
        <v>8.1549999999999994</v>
      </c>
      <c r="E397" s="108">
        <v>3.4670000000000001</v>
      </c>
      <c r="F397" s="108" t="s">
        <v>136</v>
      </c>
      <c r="G397" s="108"/>
      <c r="H397" s="108">
        <v>1</v>
      </c>
    </row>
    <row r="398" spans="1:8" ht="14">
      <c r="A398" s="108">
        <v>2001</v>
      </c>
      <c r="B398" s="108">
        <v>69</v>
      </c>
      <c r="C398" s="108" t="s">
        <v>139</v>
      </c>
      <c r="D398" s="108">
        <v>198.947</v>
      </c>
      <c r="E398" s="108">
        <v>17.471</v>
      </c>
      <c r="F398" s="108" t="s">
        <v>135</v>
      </c>
      <c r="G398" s="108"/>
      <c r="H398" s="108">
        <v>1</v>
      </c>
    </row>
    <row r="399" spans="1:8" ht="14">
      <c r="A399" s="108">
        <v>2001</v>
      </c>
      <c r="B399" s="108">
        <v>69</v>
      </c>
      <c r="C399" s="108" t="s">
        <v>139</v>
      </c>
      <c r="D399" s="108">
        <v>0</v>
      </c>
      <c r="E399" s="108">
        <v>1E-3</v>
      </c>
      <c r="F399" s="108" t="s">
        <v>137</v>
      </c>
      <c r="G399" s="108"/>
      <c r="H399" s="108">
        <v>1</v>
      </c>
    </row>
    <row r="400" spans="1:8" ht="14">
      <c r="A400" s="108">
        <v>2001</v>
      </c>
      <c r="B400" s="108">
        <v>69</v>
      </c>
      <c r="C400" s="108" t="s">
        <v>139</v>
      </c>
      <c r="D400" s="108">
        <v>20.664999999999999</v>
      </c>
      <c r="E400" s="108">
        <v>8.4550000000000001</v>
      </c>
      <c r="F400" s="108" t="s">
        <v>136</v>
      </c>
      <c r="G400" s="108"/>
      <c r="H400" s="108">
        <v>1</v>
      </c>
    </row>
    <row r="401" spans="1:8" ht="14">
      <c r="A401" s="108">
        <v>2001</v>
      </c>
      <c r="B401" s="108">
        <v>91</v>
      </c>
      <c r="C401" s="108" t="s">
        <v>30</v>
      </c>
      <c r="D401" s="108">
        <v>144.08683520244401</v>
      </c>
      <c r="E401" s="108">
        <v>0</v>
      </c>
      <c r="F401" s="108" t="s">
        <v>135</v>
      </c>
      <c r="G401" s="108"/>
      <c r="H401" s="108">
        <v>1</v>
      </c>
    </row>
    <row r="402" spans="1:8" ht="14">
      <c r="A402" s="108">
        <v>2001</v>
      </c>
      <c r="B402" s="108">
        <v>91</v>
      </c>
      <c r="C402" s="108" t="s">
        <v>30</v>
      </c>
      <c r="D402" s="108">
        <v>26.193585172682599</v>
      </c>
      <c r="E402" s="108">
        <v>0</v>
      </c>
      <c r="F402" s="108" t="s">
        <v>137</v>
      </c>
      <c r="G402" s="108"/>
      <c r="H402" s="108">
        <v>1</v>
      </c>
    </row>
    <row r="403" spans="1:8" ht="14">
      <c r="A403" s="108">
        <v>2001</v>
      </c>
      <c r="B403" s="108">
        <v>91</v>
      </c>
      <c r="C403" s="108" t="s">
        <v>30</v>
      </c>
      <c r="D403" s="108">
        <v>9234.6485796248708</v>
      </c>
      <c r="E403" s="108">
        <v>0</v>
      </c>
      <c r="F403" s="108" t="s">
        <v>136</v>
      </c>
      <c r="G403" s="108"/>
      <c r="H403" s="108">
        <v>1</v>
      </c>
    </row>
    <row r="404" spans="1:8" ht="14">
      <c r="A404" s="108">
        <v>2001</v>
      </c>
      <c r="B404" s="108">
        <v>91</v>
      </c>
      <c r="C404" s="108" t="s">
        <v>138</v>
      </c>
      <c r="D404" s="108">
        <v>2.8159172990775398</v>
      </c>
      <c r="E404" s="108">
        <v>0</v>
      </c>
      <c r="F404" s="108" t="s">
        <v>137</v>
      </c>
      <c r="G404" s="108"/>
      <c r="H404" s="108">
        <v>1</v>
      </c>
    </row>
    <row r="405" spans="1:8" ht="14">
      <c r="A405" s="108">
        <v>2001</v>
      </c>
      <c r="B405" s="108">
        <v>91</v>
      </c>
      <c r="C405" s="108" t="s">
        <v>138</v>
      </c>
      <c r="D405" s="108">
        <v>9116.0939194825696</v>
      </c>
      <c r="E405" s="108">
        <v>0</v>
      </c>
      <c r="F405" s="108" t="s">
        <v>136</v>
      </c>
      <c r="G405" s="108"/>
      <c r="H405" s="108">
        <v>1</v>
      </c>
    </row>
    <row r="406" spans="1:8" ht="14">
      <c r="A406" s="108">
        <v>2001</v>
      </c>
      <c r="B406" s="108">
        <v>91</v>
      </c>
      <c r="C406" s="108" t="s">
        <v>138</v>
      </c>
      <c r="D406" s="108">
        <v>20.509163218351901</v>
      </c>
      <c r="E406" s="108">
        <v>0</v>
      </c>
      <c r="F406" s="108" t="s">
        <v>135</v>
      </c>
      <c r="G406" s="108"/>
      <c r="H406" s="108">
        <v>1</v>
      </c>
    </row>
    <row r="407" spans="1:8" ht="14">
      <c r="A407" s="108">
        <v>2001</v>
      </c>
      <c r="B407" s="108">
        <v>91</v>
      </c>
      <c r="C407" s="108" t="s">
        <v>139</v>
      </c>
      <c r="D407" s="108">
        <v>23.377667873605098</v>
      </c>
      <c r="E407" s="108">
        <v>0</v>
      </c>
      <c r="F407" s="108" t="s">
        <v>137</v>
      </c>
      <c r="G407" s="108"/>
      <c r="H407" s="108">
        <v>1</v>
      </c>
    </row>
    <row r="408" spans="1:8" ht="14">
      <c r="A408" s="108">
        <v>2001</v>
      </c>
      <c r="B408" s="108">
        <v>91</v>
      </c>
      <c r="C408" s="108" t="s">
        <v>139</v>
      </c>
      <c r="D408" s="108">
        <v>123.57767198409201</v>
      </c>
      <c r="E408" s="108">
        <v>0</v>
      </c>
      <c r="F408" s="108" t="s">
        <v>135</v>
      </c>
      <c r="G408" s="108"/>
      <c r="H408" s="108">
        <v>1</v>
      </c>
    </row>
    <row r="409" spans="1:8" ht="14">
      <c r="A409" s="108">
        <v>2001</v>
      </c>
      <c r="B409" s="108">
        <v>91</v>
      </c>
      <c r="C409" s="108" t="s">
        <v>139</v>
      </c>
      <c r="D409" s="108">
        <v>118.554660142302</v>
      </c>
      <c r="E409" s="108">
        <v>0</v>
      </c>
      <c r="F409" s="108" t="s">
        <v>136</v>
      </c>
      <c r="G409" s="108"/>
      <c r="H409" s="108">
        <v>1</v>
      </c>
    </row>
    <row r="410" spans="1:8" ht="14">
      <c r="A410" s="108">
        <v>2001</v>
      </c>
      <c r="B410" s="108">
        <v>92</v>
      </c>
      <c r="C410" s="108" t="s">
        <v>30</v>
      </c>
      <c r="D410" s="108">
        <v>859.31856631037601</v>
      </c>
      <c r="E410" s="108">
        <v>0</v>
      </c>
      <c r="F410" s="108" t="s">
        <v>135</v>
      </c>
      <c r="G410" s="108"/>
      <c r="H410" s="108">
        <v>1</v>
      </c>
    </row>
    <row r="411" spans="1:8" ht="14">
      <c r="A411" s="108">
        <v>2001</v>
      </c>
      <c r="B411" s="108">
        <v>92</v>
      </c>
      <c r="C411" s="108" t="s">
        <v>30</v>
      </c>
      <c r="D411" s="108">
        <v>8941.7390453860698</v>
      </c>
      <c r="E411" s="108">
        <v>0</v>
      </c>
      <c r="F411" s="108" t="s">
        <v>136</v>
      </c>
      <c r="G411" s="108"/>
      <c r="H411" s="108">
        <v>1</v>
      </c>
    </row>
    <row r="412" spans="1:8" ht="14">
      <c r="A412" s="108">
        <v>2001</v>
      </c>
      <c r="B412" s="108">
        <v>92</v>
      </c>
      <c r="C412" s="108" t="s">
        <v>30</v>
      </c>
      <c r="D412" s="108">
        <v>17.097388303552702</v>
      </c>
      <c r="E412" s="108">
        <v>0</v>
      </c>
      <c r="F412" s="108" t="s">
        <v>137</v>
      </c>
      <c r="G412" s="108"/>
      <c r="H412" s="108">
        <v>1</v>
      </c>
    </row>
    <row r="413" spans="1:8" ht="14">
      <c r="A413" s="108">
        <v>2001</v>
      </c>
      <c r="B413" s="108">
        <v>92</v>
      </c>
      <c r="C413" s="108" t="s">
        <v>138</v>
      </c>
      <c r="D413" s="108">
        <v>5657.92650990728</v>
      </c>
      <c r="E413" s="108">
        <v>0</v>
      </c>
      <c r="F413" s="108" t="s">
        <v>136</v>
      </c>
      <c r="G413" s="108"/>
      <c r="H413" s="108">
        <v>1</v>
      </c>
    </row>
    <row r="414" spans="1:8" ht="14">
      <c r="A414" s="108">
        <v>2001</v>
      </c>
      <c r="B414" s="108">
        <v>92</v>
      </c>
      <c r="C414" s="108" t="s">
        <v>138</v>
      </c>
      <c r="D414" s="108">
        <v>299.44835179444402</v>
      </c>
      <c r="E414" s="108">
        <v>0</v>
      </c>
      <c r="F414" s="108" t="s">
        <v>135</v>
      </c>
      <c r="G414" s="108"/>
      <c r="H414" s="108">
        <v>1</v>
      </c>
    </row>
    <row r="415" spans="1:8" ht="14">
      <c r="A415" s="108">
        <v>2001</v>
      </c>
      <c r="B415" s="108">
        <v>92</v>
      </c>
      <c r="C415" s="108" t="s">
        <v>138</v>
      </c>
      <c r="D415" s="108">
        <v>12.1111382982671</v>
      </c>
      <c r="E415" s="108">
        <v>0</v>
      </c>
      <c r="F415" s="108" t="s">
        <v>137</v>
      </c>
      <c r="G415" s="108"/>
      <c r="H415" s="108">
        <v>1</v>
      </c>
    </row>
    <row r="416" spans="1:8" ht="14">
      <c r="A416" s="108">
        <v>2001</v>
      </c>
      <c r="B416" s="108">
        <v>92</v>
      </c>
      <c r="C416" s="108" t="s">
        <v>139</v>
      </c>
      <c r="D416" s="108">
        <v>3283.8125354787799</v>
      </c>
      <c r="E416" s="108">
        <v>0</v>
      </c>
      <c r="F416" s="108" t="s">
        <v>136</v>
      </c>
      <c r="G416" s="108"/>
      <c r="H416" s="108">
        <v>1</v>
      </c>
    </row>
    <row r="417" spans="1:8" ht="14">
      <c r="A417" s="108">
        <v>2001</v>
      </c>
      <c r="B417" s="108">
        <v>92</v>
      </c>
      <c r="C417" s="108" t="s">
        <v>139</v>
      </c>
      <c r="D417" s="108">
        <v>559.87021451593102</v>
      </c>
      <c r="E417" s="108">
        <v>0</v>
      </c>
      <c r="F417" s="108" t="s">
        <v>135</v>
      </c>
      <c r="G417" s="108"/>
      <c r="H417" s="108">
        <v>1</v>
      </c>
    </row>
    <row r="418" spans="1:8" ht="14">
      <c r="A418" s="108">
        <v>2001</v>
      </c>
      <c r="B418" s="108">
        <v>92</v>
      </c>
      <c r="C418" s="108" t="s">
        <v>139</v>
      </c>
      <c r="D418" s="108">
        <v>4.9862500052856102</v>
      </c>
      <c r="E418" s="108">
        <v>0</v>
      </c>
      <c r="F418" s="108" t="s">
        <v>137</v>
      </c>
      <c r="G418" s="108"/>
      <c r="H418" s="108">
        <v>1</v>
      </c>
    </row>
    <row r="419" spans="1:8" ht="14">
      <c r="A419" s="108">
        <v>2001</v>
      </c>
      <c r="B419" s="108">
        <v>99</v>
      </c>
      <c r="C419" s="108" t="s">
        <v>30</v>
      </c>
      <c r="D419" s="108">
        <v>11.4100807624026</v>
      </c>
      <c r="E419" s="108">
        <v>0</v>
      </c>
      <c r="F419" s="108" t="s">
        <v>137</v>
      </c>
      <c r="G419" s="108"/>
      <c r="H419" s="108">
        <v>1</v>
      </c>
    </row>
    <row r="420" spans="1:8" ht="14">
      <c r="A420" s="108">
        <v>2001</v>
      </c>
      <c r="B420" s="108">
        <v>99</v>
      </c>
      <c r="C420" s="108" t="s">
        <v>30</v>
      </c>
      <c r="D420" s="108">
        <v>1413.03009044122</v>
      </c>
      <c r="E420" s="108">
        <v>0</v>
      </c>
      <c r="F420" s="108" t="s">
        <v>135</v>
      </c>
      <c r="G420" s="108"/>
      <c r="H420" s="108">
        <v>1</v>
      </c>
    </row>
    <row r="421" spans="1:8" ht="14">
      <c r="A421" s="108">
        <v>2001</v>
      </c>
      <c r="B421" s="108">
        <v>99</v>
      </c>
      <c r="C421" s="108" t="s">
        <v>30</v>
      </c>
      <c r="D421" s="108">
        <v>5410.5788287963696</v>
      </c>
      <c r="E421" s="108">
        <v>0</v>
      </c>
      <c r="F421" s="108" t="s">
        <v>136</v>
      </c>
      <c r="G421" s="108"/>
      <c r="H421" s="108">
        <v>1</v>
      </c>
    </row>
    <row r="422" spans="1:8" ht="14">
      <c r="A422" s="108">
        <v>2001</v>
      </c>
      <c r="B422" s="108">
        <v>99</v>
      </c>
      <c r="C422" s="108" t="s">
        <v>138</v>
      </c>
      <c r="D422" s="108">
        <v>4.7340807624026002</v>
      </c>
      <c r="E422" s="108">
        <v>0</v>
      </c>
      <c r="F422" s="108" t="s">
        <v>137</v>
      </c>
      <c r="G422" s="108"/>
      <c r="H422" s="108">
        <v>1</v>
      </c>
    </row>
    <row r="423" spans="1:8" ht="14">
      <c r="A423" s="108">
        <v>2001</v>
      </c>
      <c r="B423" s="108">
        <v>99</v>
      </c>
      <c r="C423" s="108" t="s">
        <v>138</v>
      </c>
      <c r="D423" s="108">
        <v>477.34127068106199</v>
      </c>
      <c r="E423" s="108">
        <v>0</v>
      </c>
      <c r="F423" s="108" t="s">
        <v>135</v>
      </c>
      <c r="G423" s="108"/>
      <c r="H423" s="108">
        <v>1</v>
      </c>
    </row>
    <row r="424" spans="1:8" ht="14">
      <c r="A424" s="108">
        <v>2001</v>
      </c>
      <c r="B424" s="108">
        <v>99</v>
      </c>
      <c r="C424" s="108" t="s">
        <v>138</v>
      </c>
      <c r="D424" s="108">
        <v>3674.0596485565302</v>
      </c>
      <c r="E424" s="108">
        <v>0</v>
      </c>
      <c r="F424" s="108" t="s">
        <v>136</v>
      </c>
      <c r="G424" s="108"/>
      <c r="H424" s="108">
        <v>1</v>
      </c>
    </row>
    <row r="425" spans="1:8" ht="14">
      <c r="A425" s="108">
        <v>2001</v>
      </c>
      <c r="B425" s="108">
        <v>99</v>
      </c>
      <c r="C425" s="108" t="s">
        <v>139</v>
      </c>
      <c r="D425" s="108">
        <v>1736.5191802398299</v>
      </c>
      <c r="E425" s="108">
        <v>0</v>
      </c>
      <c r="F425" s="108" t="s">
        <v>136</v>
      </c>
      <c r="G425" s="108"/>
      <c r="H425" s="108">
        <v>1</v>
      </c>
    </row>
    <row r="426" spans="1:8" ht="14">
      <c r="A426" s="108">
        <v>2001</v>
      </c>
      <c r="B426" s="108">
        <v>99</v>
      </c>
      <c r="C426" s="108" t="s">
        <v>139</v>
      </c>
      <c r="D426" s="108">
        <v>935.68881976016598</v>
      </c>
      <c r="E426" s="108">
        <v>0</v>
      </c>
      <c r="F426" s="108" t="s">
        <v>135</v>
      </c>
      <c r="G426" s="108"/>
      <c r="H426" s="108">
        <v>1</v>
      </c>
    </row>
    <row r="427" spans="1:8" ht="14">
      <c r="A427" s="108">
        <v>2001</v>
      </c>
      <c r="B427" s="108">
        <v>99</v>
      </c>
      <c r="C427" s="108" t="s">
        <v>139</v>
      </c>
      <c r="D427" s="108">
        <v>6.6760000000000002</v>
      </c>
      <c r="E427" s="108">
        <v>0</v>
      </c>
      <c r="F427" s="108" t="s">
        <v>137</v>
      </c>
      <c r="G427" s="108"/>
      <c r="H427" s="108">
        <v>1</v>
      </c>
    </row>
    <row r="428" spans="1:8" ht="14">
      <c r="A428" s="108">
        <v>2002</v>
      </c>
      <c r="B428" s="108">
        <v>11</v>
      </c>
      <c r="C428" s="108" t="s">
        <v>30</v>
      </c>
      <c r="D428" s="108">
        <v>2173.3957994796301</v>
      </c>
      <c r="E428" s="108">
        <v>0</v>
      </c>
      <c r="F428" s="108" t="s">
        <v>135</v>
      </c>
      <c r="G428" s="108"/>
      <c r="H428" s="108">
        <v>1</v>
      </c>
    </row>
    <row r="429" spans="1:8" ht="14">
      <c r="A429" s="108">
        <v>2002</v>
      </c>
      <c r="B429" s="108">
        <v>11</v>
      </c>
      <c r="C429" s="108" t="s">
        <v>30</v>
      </c>
      <c r="D429" s="108">
        <v>5676.0754586067696</v>
      </c>
      <c r="E429" s="108">
        <v>0</v>
      </c>
      <c r="F429" s="108" t="s">
        <v>136</v>
      </c>
      <c r="G429" s="108"/>
      <c r="H429" s="108">
        <v>1</v>
      </c>
    </row>
    <row r="430" spans="1:8" ht="14">
      <c r="A430" s="108">
        <v>2002</v>
      </c>
      <c r="B430" s="108">
        <v>11</v>
      </c>
      <c r="C430" s="108" t="s">
        <v>30</v>
      </c>
      <c r="D430" s="108">
        <v>0.70874191358680905</v>
      </c>
      <c r="E430" s="108">
        <v>0</v>
      </c>
      <c r="F430" s="108" t="s">
        <v>137</v>
      </c>
      <c r="G430" s="108"/>
      <c r="H430" s="108">
        <v>1</v>
      </c>
    </row>
    <row r="431" spans="1:8" ht="14">
      <c r="A431" s="108">
        <v>2002</v>
      </c>
      <c r="B431" s="108">
        <v>11</v>
      </c>
      <c r="C431" s="108" t="s">
        <v>138</v>
      </c>
      <c r="D431" s="108">
        <v>954.24189521050596</v>
      </c>
      <c r="E431" s="108">
        <v>0</v>
      </c>
      <c r="F431" s="108" t="s">
        <v>135</v>
      </c>
      <c r="G431" s="108"/>
      <c r="H431" s="108">
        <v>1</v>
      </c>
    </row>
    <row r="432" spans="1:8" ht="14">
      <c r="A432" s="108">
        <v>2002</v>
      </c>
      <c r="B432" s="108">
        <v>11</v>
      </c>
      <c r="C432" s="108" t="s">
        <v>138</v>
      </c>
      <c r="D432" s="108">
        <v>604.21410478949304</v>
      </c>
      <c r="E432" s="108">
        <v>0</v>
      </c>
      <c r="F432" s="108" t="s">
        <v>136</v>
      </c>
      <c r="G432" s="108"/>
      <c r="H432" s="108">
        <v>1</v>
      </c>
    </row>
    <row r="433" spans="1:8" ht="14">
      <c r="A433" s="108">
        <v>2002</v>
      </c>
      <c r="B433" s="108">
        <v>11</v>
      </c>
      <c r="C433" s="108" t="s">
        <v>139</v>
      </c>
      <c r="D433" s="108">
        <v>5071.8613538172804</v>
      </c>
      <c r="E433" s="108">
        <v>0</v>
      </c>
      <c r="F433" s="108" t="s">
        <v>136</v>
      </c>
      <c r="G433" s="108"/>
      <c r="H433" s="108">
        <v>1</v>
      </c>
    </row>
    <row r="434" spans="1:8" ht="14">
      <c r="A434" s="108">
        <v>2002</v>
      </c>
      <c r="B434" s="108">
        <v>11</v>
      </c>
      <c r="C434" s="108" t="s">
        <v>139</v>
      </c>
      <c r="D434" s="108">
        <v>0.70874191358680905</v>
      </c>
      <c r="E434" s="108">
        <v>0</v>
      </c>
      <c r="F434" s="108" t="s">
        <v>137</v>
      </c>
      <c r="G434" s="108"/>
      <c r="H434" s="108">
        <v>1</v>
      </c>
    </row>
    <row r="435" spans="1:8" ht="14">
      <c r="A435" s="108">
        <v>2002</v>
      </c>
      <c r="B435" s="108">
        <v>11</v>
      </c>
      <c r="C435" s="108" t="s">
        <v>139</v>
      </c>
      <c r="D435" s="108">
        <v>1219.1539042691199</v>
      </c>
      <c r="E435" s="108">
        <v>0</v>
      </c>
      <c r="F435" s="108" t="s">
        <v>135</v>
      </c>
      <c r="G435" s="108"/>
      <c r="H435" s="108">
        <v>1</v>
      </c>
    </row>
    <row r="436" spans="1:8" ht="14">
      <c r="A436" s="108">
        <v>2002</v>
      </c>
      <c r="B436" s="108">
        <v>12</v>
      </c>
      <c r="C436" s="108" t="s">
        <v>30</v>
      </c>
      <c r="D436" s="108">
        <v>107027.592673646</v>
      </c>
      <c r="E436" s="108">
        <v>0</v>
      </c>
      <c r="F436" s="108" t="s">
        <v>136</v>
      </c>
      <c r="G436" s="108"/>
      <c r="H436" s="108">
        <v>1</v>
      </c>
    </row>
    <row r="437" spans="1:8" ht="14">
      <c r="A437" s="108">
        <v>2002</v>
      </c>
      <c r="B437" s="108">
        <v>12</v>
      </c>
      <c r="C437" s="108" t="s">
        <v>30</v>
      </c>
      <c r="D437" s="108">
        <v>65496.136326353</v>
      </c>
      <c r="E437" s="108">
        <v>0</v>
      </c>
      <c r="F437" s="108" t="s">
        <v>135</v>
      </c>
      <c r="G437" s="108"/>
      <c r="H437" s="108">
        <v>1</v>
      </c>
    </row>
    <row r="438" spans="1:8" ht="14">
      <c r="A438" s="108">
        <v>2002</v>
      </c>
      <c r="B438" s="108">
        <v>12</v>
      </c>
      <c r="C438" s="108" t="s">
        <v>138</v>
      </c>
      <c r="D438" s="108">
        <v>33800.825653061598</v>
      </c>
      <c r="E438" s="108">
        <v>0</v>
      </c>
      <c r="F438" s="108" t="s">
        <v>136</v>
      </c>
      <c r="G438" s="108"/>
      <c r="H438" s="108">
        <v>1</v>
      </c>
    </row>
    <row r="439" spans="1:8" ht="14">
      <c r="A439" s="108">
        <v>2002</v>
      </c>
      <c r="B439" s="108">
        <v>12</v>
      </c>
      <c r="C439" s="108" t="s">
        <v>138</v>
      </c>
      <c r="D439" s="108">
        <v>46115.194346938297</v>
      </c>
      <c r="E439" s="108">
        <v>0</v>
      </c>
      <c r="F439" s="108" t="s">
        <v>135</v>
      </c>
      <c r="G439" s="108"/>
      <c r="H439" s="108">
        <v>1</v>
      </c>
    </row>
    <row r="440" spans="1:8" ht="14">
      <c r="A440" s="108">
        <v>2002</v>
      </c>
      <c r="B440" s="108">
        <v>12</v>
      </c>
      <c r="C440" s="108" t="s">
        <v>139</v>
      </c>
      <c r="D440" s="108">
        <v>19380.9419794147</v>
      </c>
      <c r="E440" s="108">
        <v>0</v>
      </c>
      <c r="F440" s="108" t="s">
        <v>135</v>
      </c>
      <c r="G440" s="108"/>
      <c r="H440" s="108">
        <v>1</v>
      </c>
    </row>
    <row r="441" spans="1:8" ht="14">
      <c r="A441" s="108">
        <v>2002</v>
      </c>
      <c r="B441" s="108">
        <v>12</v>
      </c>
      <c r="C441" s="108" t="s">
        <v>139</v>
      </c>
      <c r="D441" s="108">
        <v>73226.767020585205</v>
      </c>
      <c r="E441" s="108">
        <v>0</v>
      </c>
      <c r="F441" s="108" t="s">
        <v>136</v>
      </c>
      <c r="G441" s="108"/>
      <c r="H441" s="108">
        <v>1</v>
      </c>
    </row>
    <row r="442" spans="1:8" ht="14">
      <c r="A442" s="108">
        <v>2002</v>
      </c>
      <c r="B442" s="108">
        <v>13</v>
      </c>
      <c r="C442" s="108" t="s">
        <v>30</v>
      </c>
      <c r="D442" s="108">
        <v>46884.342167728697</v>
      </c>
      <c r="E442" s="108">
        <v>0</v>
      </c>
      <c r="F442" s="108" t="s">
        <v>136</v>
      </c>
      <c r="G442" s="108"/>
      <c r="H442" s="108">
        <v>1</v>
      </c>
    </row>
    <row r="443" spans="1:8" ht="14">
      <c r="A443" s="108">
        <v>2002</v>
      </c>
      <c r="B443" s="108">
        <v>13</v>
      </c>
      <c r="C443" s="108" t="s">
        <v>30</v>
      </c>
      <c r="D443" s="108">
        <v>31279.573832271199</v>
      </c>
      <c r="E443" s="108">
        <v>0</v>
      </c>
      <c r="F443" s="108" t="s">
        <v>135</v>
      </c>
      <c r="G443" s="108"/>
      <c r="H443" s="108">
        <v>1</v>
      </c>
    </row>
    <row r="444" spans="1:8" ht="14">
      <c r="A444" s="108">
        <v>2002</v>
      </c>
      <c r="B444" s="108">
        <v>13</v>
      </c>
      <c r="C444" s="108" t="s">
        <v>138</v>
      </c>
      <c r="D444" s="108">
        <v>21345.650820192499</v>
      </c>
      <c r="E444" s="108">
        <v>0</v>
      </c>
      <c r="F444" s="108" t="s">
        <v>136</v>
      </c>
      <c r="G444" s="108"/>
      <c r="H444" s="108">
        <v>1</v>
      </c>
    </row>
    <row r="445" spans="1:8" ht="14">
      <c r="A445" s="108">
        <v>2002</v>
      </c>
      <c r="B445" s="108">
        <v>13</v>
      </c>
      <c r="C445" s="108" t="s">
        <v>138</v>
      </c>
      <c r="D445" s="108">
        <v>14852.473179807401</v>
      </c>
      <c r="E445" s="108">
        <v>0</v>
      </c>
      <c r="F445" s="108" t="s">
        <v>135</v>
      </c>
      <c r="G445" s="108"/>
      <c r="H445" s="108">
        <v>1</v>
      </c>
    </row>
    <row r="446" spans="1:8" ht="14">
      <c r="A446" s="108">
        <v>2002</v>
      </c>
      <c r="B446" s="108">
        <v>13</v>
      </c>
      <c r="C446" s="108" t="s">
        <v>139</v>
      </c>
      <c r="D446" s="108">
        <v>25538.691347536202</v>
      </c>
      <c r="E446" s="108">
        <v>0</v>
      </c>
      <c r="F446" s="108" t="s">
        <v>136</v>
      </c>
      <c r="G446" s="108"/>
      <c r="H446" s="108">
        <v>1</v>
      </c>
    </row>
    <row r="447" spans="1:8" ht="14">
      <c r="A447" s="108">
        <v>2002</v>
      </c>
      <c r="B447" s="108">
        <v>13</v>
      </c>
      <c r="C447" s="108" t="s">
        <v>139</v>
      </c>
      <c r="D447" s="108">
        <v>16427.100652463701</v>
      </c>
      <c r="E447" s="108">
        <v>0</v>
      </c>
      <c r="F447" s="108" t="s">
        <v>135</v>
      </c>
      <c r="G447" s="108"/>
      <c r="H447" s="108">
        <v>1</v>
      </c>
    </row>
    <row r="448" spans="1:8" ht="14">
      <c r="A448" s="108">
        <v>2002</v>
      </c>
      <c r="B448" s="108">
        <v>19</v>
      </c>
      <c r="C448" s="108" t="s">
        <v>30</v>
      </c>
      <c r="D448" s="108">
        <v>19.047999999999998</v>
      </c>
      <c r="E448" s="108">
        <v>0</v>
      </c>
      <c r="F448" s="108" t="s">
        <v>137</v>
      </c>
      <c r="G448" s="108"/>
      <c r="H448" s="108">
        <v>1</v>
      </c>
    </row>
    <row r="449" spans="1:8" ht="14">
      <c r="A449" s="108">
        <v>2002</v>
      </c>
      <c r="B449" s="108">
        <v>19</v>
      </c>
      <c r="C449" s="108" t="s">
        <v>30</v>
      </c>
      <c r="D449" s="108">
        <v>9901.4580023887102</v>
      </c>
      <c r="E449" s="108">
        <v>0</v>
      </c>
      <c r="F449" s="108" t="s">
        <v>136</v>
      </c>
      <c r="G449" s="108"/>
      <c r="H449" s="108">
        <v>1</v>
      </c>
    </row>
    <row r="450" spans="1:8" ht="14">
      <c r="A450" s="108">
        <v>2002</v>
      </c>
      <c r="B450" s="108">
        <v>19</v>
      </c>
      <c r="C450" s="108" t="s">
        <v>30</v>
      </c>
      <c r="D450" s="108">
        <v>2337.4819976112799</v>
      </c>
      <c r="E450" s="108">
        <v>0</v>
      </c>
      <c r="F450" s="108" t="s">
        <v>135</v>
      </c>
      <c r="G450" s="108"/>
      <c r="H450" s="108">
        <v>1</v>
      </c>
    </row>
    <row r="451" spans="1:8" ht="14">
      <c r="A451" s="108">
        <v>2002</v>
      </c>
      <c r="B451" s="108">
        <v>19</v>
      </c>
      <c r="C451" s="108" t="s">
        <v>138</v>
      </c>
      <c r="D451" s="108">
        <v>18.888000000000002</v>
      </c>
      <c r="E451" s="108">
        <v>0</v>
      </c>
      <c r="F451" s="108" t="s">
        <v>137</v>
      </c>
      <c r="G451" s="108"/>
      <c r="H451" s="108">
        <v>1</v>
      </c>
    </row>
    <row r="452" spans="1:8" ht="14">
      <c r="A452" s="108">
        <v>2002</v>
      </c>
      <c r="B452" s="108">
        <v>19</v>
      </c>
      <c r="C452" s="108" t="s">
        <v>138</v>
      </c>
      <c r="D452" s="108">
        <v>1241.49623280728</v>
      </c>
      <c r="E452" s="108">
        <v>0</v>
      </c>
      <c r="F452" s="108" t="s">
        <v>135</v>
      </c>
      <c r="G452" s="108"/>
      <c r="H452" s="108">
        <v>1</v>
      </c>
    </row>
    <row r="453" spans="1:8" ht="14">
      <c r="A453" s="108">
        <v>2002</v>
      </c>
      <c r="B453" s="108">
        <v>19</v>
      </c>
      <c r="C453" s="108" t="s">
        <v>138</v>
      </c>
      <c r="D453" s="108">
        <v>6396.6067671927103</v>
      </c>
      <c r="E453" s="108">
        <v>0</v>
      </c>
      <c r="F453" s="108" t="s">
        <v>136</v>
      </c>
      <c r="G453" s="108"/>
      <c r="H453" s="108">
        <v>1</v>
      </c>
    </row>
    <row r="454" spans="1:8" ht="14">
      <c r="A454" s="108">
        <v>2002</v>
      </c>
      <c r="B454" s="108">
        <v>19</v>
      </c>
      <c r="C454" s="108" t="s">
        <v>139</v>
      </c>
      <c r="D454" s="108">
        <v>3504.8512351959998</v>
      </c>
      <c r="E454" s="108">
        <v>0</v>
      </c>
      <c r="F454" s="108" t="s">
        <v>136</v>
      </c>
      <c r="G454" s="108"/>
      <c r="H454" s="108">
        <v>1</v>
      </c>
    </row>
    <row r="455" spans="1:8" ht="14">
      <c r="A455" s="108">
        <v>2002</v>
      </c>
      <c r="B455" s="108">
        <v>19</v>
      </c>
      <c r="C455" s="108" t="s">
        <v>139</v>
      </c>
      <c r="D455" s="108">
        <v>0.16</v>
      </c>
      <c r="E455" s="108">
        <v>0</v>
      </c>
      <c r="F455" s="108" t="s">
        <v>137</v>
      </c>
      <c r="G455" s="108"/>
      <c r="H455" s="108">
        <v>1</v>
      </c>
    </row>
    <row r="456" spans="1:8" ht="14">
      <c r="A456" s="108">
        <v>2002</v>
      </c>
      <c r="B456" s="108">
        <v>19</v>
      </c>
      <c r="C456" s="108" t="s">
        <v>139</v>
      </c>
      <c r="D456" s="108">
        <v>1095.9857648039899</v>
      </c>
      <c r="E456" s="108">
        <v>0</v>
      </c>
      <c r="F456" s="108" t="s">
        <v>135</v>
      </c>
      <c r="G456" s="108"/>
      <c r="H456" s="108">
        <v>1</v>
      </c>
    </row>
    <row r="457" spans="1:8" ht="14">
      <c r="A457" s="108">
        <v>2002</v>
      </c>
      <c r="B457" s="108">
        <v>21</v>
      </c>
      <c r="C457" s="108" t="s">
        <v>30</v>
      </c>
      <c r="D457" s="108">
        <v>16768.439948728599</v>
      </c>
      <c r="E457" s="108">
        <v>0</v>
      </c>
      <c r="F457" s="108" t="s">
        <v>136</v>
      </c>
      <c r="G457" s="108"/>
      <c r="H457" s="108">
        <v>1</v>
      </c>
    </row>
    <row r="458" spans="1:8" ht="14">
      <c r="A458" s="108">
        <v>2002</v>
      </c>
      <c r="B458" s="108">
        <v>21</v>
      </c>
      <c r="C458" s="108" t="s">
        <v>30</v>
      </c>
      <c r="D458" s="108">
        <v>36.873051271312598</v>
      </c>
      <c r="E458" s="108">
        <v>0</v>
      </c>
      <c r="F458" s="108" t="s">
        <v>135</v>
      </c>
      <c r="G458" s="108"/>
      <c r="H458" s="108">
        <v>1</v>
      </c>
    </row>
    <row r="459" spans="1:8" ht="14">
      <c r="A459" s="108">
        <v>2002</v>
      </c>
      <c r="B459" s="108">
        <v>21</v>
      </c>
      <c r="C459" s="108" t="s">
        <v>30</v>
      </c>
      <c r="D459" s="108">
        <v>203.88499999999999</v>
      </c>
      <c r="E459" s="108">
        <v>0</v>
      </c>
      <c r="F459" s="108" t="s">
        <v>137</v>
      </c>
      <c r="G459" s="108"/>
      <c r="H459" s="108">
        <v>1</v>
      </c>
    </row>
    <row r="460" spans="1:8" ht="14">
      <c r="A460" s="108">
        <v>2002</v>
      </c>
      <c r="B460" s="108">
        <v>21</v>
      </c>
      <c r="C460" s="108" t="s">
        <v>138</v>
      </c>
      <c r="D460" s="108">
        <v>36.873051271312598</v>
      </c>
      <c r="E460" s="108">
        <v>0</v>
      </c>
      <c r="F460" s="108" t="s">
        <v>135</v>
      </c>
      <c r="G460" s="108"/>
      <c r="H460" s="108">
        <v>1</v>
      </c>
    </row>
    <row r="461" spans="1:8" ht="14">
      <c r="A461" s="108">
        <v>2002</v>
      </c>
      <c r="B461" s="108">
        <v>21</v>
      </c>
      <c r="C461" s="108" t="s">
        <v>138</v>
      </c>
      <c r="D461" s="108">
        <v>82.15</v>
      </c>
      <c r="E461" s="108">
        <v>0</v>
      </c>
      <c r="F461" s="108" t="s">
        <v>137</v>
      </c>
      <c r="G461" s="108"/>
      <c r="H461" s="108">
        <v>1</v>
      </c>
    </row>
    <row r="462" spans="1:8" ht="14">
      <c r="A462" s="108">
        <v>2002</v>
      </c>
      <c r="B462" s="108">
        <v>21</v>
      </c>
      <c r="C462" s="108" t="s">
        <v>138</v>
      </c>
      <c r="D462" s="108">
        <v>16288.895948728599</v>
      </c>
      <c r="E462" s="108">
        <v>0</v>
      </c>
      <c r="F462" s="108" t="s">
        <v>136</v>
      </c>
      <c r="G462" s="108"/>
      <c r="H462" s="108">
        <v>1</v>
      </c>
    </row>
    <row r="463" spans="1:8" ht="14">
      <c r="A463" s="108">
        <v>2002</v>
      </c>
      <c r="B463" s="108">
        <v>21</v>
      </c>
      <c r="C463" s="108" t="s">
        <v>139</v>
      </c>
      <c r="D463" s="108">
        <v>479.54399999999998</v>
      </c>
      <c r="E463" s="108">
        <v>0</v>
      </c>
      <c r="F463" s="108" t="s">
        <v>136</v>
      </c>
      <c r="G463" s="108"/>
      <c r="H463" s="108">
        <v>1</v>
      </c>
    </row>
    <row r="464" spans="1:8" ht="14">
      <c r="A464" s="108">
        <v>2002</v>
      </c>
      <c r="B464" s="108">
        <v>21</v>
      </c>
      <c r="C464" s="108" t="s">
        <v>139</v>
      </c>
      <c r="D464" s="108">
        <v>0</v>
      </c>
      <c r="E464" s="108">
        <v>0</v>
      </c>
      <c r="F464" s="108" t="s">
        <v>135</v>
      </c>
      <c r="G464" s="108"/>
      <c r="H464" s="108">
        <v>1</v>
      </c>
    </row>
    <row r="465" spans="1:8" ht="14">
      <c r="A465" s="108">
        <v>2002</v>
      </c>
      <c r="B465" s="108">
        <v>21</v>
      </c>
      <c r="C465" s="108" t="s">
        <v>139</v>
      </c>
      <c r="D465" s="108">
        <v>121.735</v>
      </c>
      <c r="E465" s="108">
        <v>0</v>
      </c>
      <c r="F465" s="108" t="s">
        <v>137</v>
      </c>
      <c r="G465" s="108"/>
      <c r="H465" s="108">
        <v>1</v>
      </c>
    </row>
    <row r="466" spans="1:8" ht="14">
      <c r="A466" s="108">
        <v>2002</v>
      </c>
      <c r="B466" s="108">
        <v>22</v>
      </c>
      <c r="C466" s="108" t="s">
        <v>30</v>
      </c>
      <c r="D466" s="108">
        <v>30599.5895730025</v>
      </c>
      <c r="E466" s="108">
        <v>0</v>
      </c>
      <c r="F466" s="108" t="s">
        <v>136</v>
      </c>
      <c r="G466" s="108"/>
      <c r="H466" s="108">
        <v>1</v>
      </c>
    </row>
    <row r="467" spans="1:8" ht="14">
      <c r="A467" s="108">
        <v>2002</v>
      </c>
      <c r="B467" s="108">
        <v>22</v>
      </c>
      <c r="C467" s="108" t="s">
        <v>30</v>
      </c>
      <c r="D467" s="108">
        <v>45.097999999999999</v>
      </c>
      <c r="E467" s="108">
        <v>0</v>
      </c>
      <c r="F467" s="108" t="s">
        <v>137</v>
      </c>
      <c r="G467" s="108"/>
      <c r="H467" s="108">
        <v>1</v>
      </c>
    </row>
    <row r="468" spans="1:8" ht="14">
      <c r="A468" s="108">
        <v>2002</v>
      </c>
      <c r="B468" s="108">
        <v>22</v>
      </c>
      <c r="C468" s="108" t="s">
        <v>30</v>
      </c>
      <c r="D468" s="108">
        <v>2353.3864269974101</v>
      </c>
      <c r="E468" s="108">
        <v>0</v>
      </c>
      <c r="F468" s="108" t="s">
        <v>135</v>
      </c>
      <c r="G468" s="108"/>
      <c r="H468" s="108">
        <v>1</v>
      </c>
    </row>
    <row r="469" spans="1:8" ht="14">
      <c r="A469" s="108">
        <v>2002</v>
      </c>
      <c r="B469" s="108">
        <v>22</v>
      </c>
      <c r="C469" s="108" t="s">
        <v>138</v>
      </c>
      <c r="D469" s="108">
        <v>1.1679999999999999</v>
      </c>
      <c r="E469" s="108">
        <v>0</v>
      </c>
      <c r="F469" s="108" t="s">
        <v>137</v>
      </c>
      <c r="G469" s="108"/>
      <c r="H469" s="108">
        <v>1</v>
      </c>
    </row>
    <row r="470" spans="1:8" ht="14">
      <c r="A470" s="108">
        <v>2002</v>
      </c>
      <c r="B470" s="108">
        <v>22</v>
      </c>
      <c r="C470" s="108" t="s">
        <v>138</v>
      </c>
      <c r="D470" s="108">
        <v>1135.6647281911801</v>
      </c>
      <c r="E470" s="108">
        <v>0</v>
      </c>
      <c r="F470" s="108" t="s">
        <v>135</v>
      </c>
      <c r="G470" s="108"/>
      <c r="H470" s="108">
        <v>1</v>
      </c>
    </row>
    <row r="471" spans="1:8" ht="14">
      <c r="A471" s="108">
        <v>2002</v>
      </c>
      <c r="B471" s="108">
        <v>22</v>
      </c>
      <c r="C471" s="108" t="s">
        <v>138</v>
      </c>
      <c r="D471" s="108">
        <v>29432.093271808801</v>
      </c>
      <c r="E471" s="108">
        <v>0</v>
      </c>
      <c r="F471" s="108" t="s">
        <v>136</v>
      </c>
      <c r="G471" s="108"/>
      <c r="H471" s="108">
        <v>1</v>
      </c>
    </row>
    <row r="472" spans="1:8" ht="14">
      <c r="A472" s="108">
        <v>2002</v>
      </c>
      <c r="B472" s="108">
        <v>22</v>
      </c>
      <c r="C472" s="108" t="s">
        <v>139</v>
      </c>
      <c r="D472" s="108">
        <v>1217.72169880622</v>
      </c>
      <c r="E472" s="108">
        <v>0</v>
      </c>
      <c r="F472" s="108" t="s">
        <v>135</v>
      </c>
      <c r="G472" s="108"/>
      <c r="H472" s="108">
        <v>1</v>
      </c>
    </row>
    <row r="473" spans="1:8" ht="14">
      <c r="A473" s="108">
        <v>2002</v>
      </c>
      <c r="B473" s="108">
        <v>22</v>
      </c>
      <c r="C473" s="108" t="s">
        <v>139</v>
      </c>
      <c r="D473" s="108">
        <v>43.93</v>
      </c>
      <c r="E473" s="108">
        <v>0</v>
      </c>
      <c r="F473" s="108" t="s">
        <v>137</v>
      </c>
      <c r="G473" s="108"/>
      <c r="H473" s="108">
        <v>1</v>
      </c>
    </row>
    <row r="474" spans="1:8" ht="14">
      <c r="A474" s="108">
        <v>2002</v>
      </c>
      <c r="B474" s="108">
        <v>22</v>
      </c>
      <c r="C474" s="108" t="s">
        <v>139</v>
      </c>
      <c r="D474" s="108">
        <v>1167.49630119377</v>
      </c>
      <c r="E474" s="108">
        <v>0</v>
      </c>
      <c r="F474" s="108" t="s">
        <v>136</v>
      </c>
      <c r="G474" s="108"/>
      <c r="H474" s="108">
        <v>1</v>
      </c>
    </row>
    <row r="475" spans="1:8" ht="14">
      <c r="A475" s="108">
        <v>2002</v>
      </c>
      <c r="B475" s="108">
        <v>23</v>
      </c>
      <c r="C475" s="108" t="s">
        <v>30</v>
      </c>
      <c r="D475" s="108">
        <v>6.8187543297712496</v>
      </c>
      <c r="E475" s="108">
        <v>0</v>
      </c>
      <c r="F475" s="108" t="s">
        <v>137</v>
      </c>
      <c r="G475" s="108"/>
      <c r="H475" s="108">
        <v>1</v>
      </c>
    </row>
    <row r="476" spans="1:8" ht="14">
      <c r="A476" s="108">
        <v>2002</v>
      </c>
      <c r="B476" s="108">
        <v>23</v>
      </c>
      <c r="C476" s="108" t="s">
        <v>30</v>
      </c>
      <c r="D476" s="108">
        <v>11882.4987461651</v>
      </c>
      <c r="E476" s="108">
        <v>0</v>
      </c>
      <c r="F476" s="108" t="s">
        <v>136</v>
      </c>
      <c r="G476" s="108"/>
      <c r="H476" s="108">
        <v>1</v>
      </c>
    </row>
    <row r="477" spans="1:8" ht="14">
      <c r="A477" s="108">
        <v>2002</v>
      </c>
      <c r="B477" s="108">
        <v>23</v>
      </c>
      <c r="C477" s="108" t="s">
        <v>30</v>
      </c>
      <c r="D477" s="108">
        <v>1172.15149950511</v>
      </c>
      <c r="E477" s="108">
        <v>0</v>
      </c>
      <c r="F477" s="108" t="s">
        <v>135</v>
      </c>
      <c r="G477" s="108"/>
      <c r="H477" s="108">
        <v>1</v>
      </c>
    </row>
    <row r="478" spans="1:8" ht="14">
      <c r="A478" s="108">
        <v>2002</v>
      </c>
      <c r="B478" s="108">
        <v>23</v>
      </c>
      <c r="C478" s="108" t="s">
        <v>138</v>
      </c>
      <c r="D478" s="108">
        <v>9012.9116314711591</v>
      </c>
      <c r="E478" s="108">
        <v>0</v>
      </c>
      <c r="F478" s="108" t="s">
        <v>136</v>
      </c>
      <c r="G478" s="108"/>
      <c r="H478" s="108">
        <v>1</v>
      </c>
    </row>
    <row r="479" spans="1:8" ht="14">
      <c r="A479" s="108">
        <v>2002</v>
      </c>
      <c r="B479" s="108">
        <v>23</v>
      </c>
      <c r="C479" s="108" t="s">
        <v>138</v>
      </c>
      <c r="D479" s="108">
        <v>606.64061419906204</v>
      </c>
      <c r="E479" s="108">
        <v>0</v>
      </c>
      <c r="F479" s="108" t="s">
        <v>135</v>
      </c>
      <c r="G479" s="108"/>
      <c r="H479" s="108">
        <v>1</v>
      </c>
    </row>
    <row r="480" spans="1:8" ht="14">
      <c r="A480" s="108">
        <v>2002</v>
      </c>
      <c r="B480" s="108">
        <v>23</v>
      </c>
      <c r="C480" s="108" t="s">
        <v>138</v>
      </c>
      <c r="D480" s="108">
        <v>6.8187543297712496</v>
      </c>
      <c r="E480" s="108">
        <v>0</v>
      </c>
      <c r="F480" s="108" t="s">
        <v>137</v>
      </c>
      <c r="G480" s="108"/>
      <c r="H480" s="108">
        <v>1</v>
      </c>
    </row>
    <row r="481" spans="1:8" ht="14">
      <c r="A481" s="108">
        <v>2002</v>
      </c>
      <c r="B481" s="108">
        <v>23</v>
      </c>
      <c r="C481" s="108" t="s">
        <v>139</v>
      </c>
      <c r="D481" s="108">
        <v>565.510885306055</v>
      </c>
      <c r="E481" s="108">
        <v>0</v>
      </c>
      <c r="F481" s="108" t="s">
        <v>135</v>
      </c>
      <c r="G481" s="108"/>
      <c r="H481" s="108">
        <v>1</v>
      </c>
    </row>
    <row r="482" spans="1:8" ht="14">
      <c r="A482" s="108">
        <v>2002</v>
      </c>
      <c r="B482" s="108">
        <v>23</v>
      </c>
      <c r="C482" s="108" t="s">
        <v>139</v>
      </c>
      <c r="D482" s="108">
        <v>2869.5871146939398</v>
      </c>
      <c r="E482" s="108">
        <v>0</v>
      </c>
      <c r="F482" s="108" t="s">
        <v>136</v>
      </c>
      <c r="G482" s="108"/>
      <c r="H482" s="108">
        <v>1</v>
      </c>
    </row>
    <row r="483" spans="1:8" ht="14">
      <c r="A483" s="108">
        <v>2002</v>
      </c>
      <c r="B483" s="108">
        <v>29</v>
      </c>
      <c r="C483" s="108" t="s">
        <v>30</v>
      </c>
      <c r="D483" s="108">
        <v>140.96993459819899</v>
      </c>
      <c r="E483" s="108">
        <v>0</v>
      </c>
      <c r="F483" s="108" t="s">
        <v>137</v>
      </c>
      <c r="G483" s="108"/>
      <c r="H483" s="108">
        <v>1</v>
      </c>
    </row>
    <row r="484" spans="1:8" ht="14">
      <c r="A484" s="108">
        <v>2002</v>
      </c>
      <c r="B484" s="108">
        <v>29</v>
      </c>
      <c r="C484" s="108" t="s">
        <v>30</v>
      </c>
      <c r="D484" s="108">
        <v>22900.902886817199</v>
      </c>
      <c r="E484" s="108">
        <v>0</v>
      </c>
      <c r="F484" s="108" t="s">
        <v>135</v>
      </c>
      <c r="G484" s="108"/>
      <c r="H484" s="108">
        <v>1</v>
      </c>
    </row>
    <row r="485" spans="1:8" ht="14">
      <c r="A485" s="108">
        <v>2002</v>
      </c>
      <c r="B485" s="108">
        <v>29</v>
      </c>
      <c r="C485" s="108" t="s">
        <v>30</v>
      </c>
      <c r="D485" s="108">
        <v>20631.790178584601</v>
      </c>
      <c r="E485" s="108">
        <v>0</v>
      </c>
      <c r="F485" s="108" t="s">
        <v>136</v>
      </c>
      <c r="G485" s="108"/>
      <c r="H485" s="108">
        <v>1</v>
      </c>
    </row>
    <row r="486" spans="1:8" ht="14">
      <c r="A486" s="108">
        <v>2002</v>
      </c>
      <c r="B486" s="108">
        <v>29</v>
      </c>
      <c r="C486" s="108" t="s">
        <v>138</v>
      </c>
      <c r="D486" s="108">
        <v>18412.2646468247</v>
      </c>
      <c r="E486" s="108">
        <v>0</v>
      </c>
      <c r="F486" s="108" t="s">
        <v>135</v>
      </c>
      <c r="G486" s="108"/>
      <c r="H486" s="108">
        <v>1</v>
      </c>
    </row>
    <row r="487" spans="1:8" ht="14">
      <c r="A487" s="108">
        <v>2002</v>
      </c>
      <c r="B487" s="108">
        <v>29</v>
      </c>
      <c r="C487" s="108" t="s">
        <v>138</v>
      </c>
      <c r="D487" s="108">
        <v>10272.609418577</v>
      </c>
      <c r="E487" s="108">
        <v>0</v>
      </c>
      <c r="F487" s="108" t="s">
        <v>136</v>
      </c>
      <c r="G487" s="108"/>
      <c r="H487" s="108">
        <v>1</v>
      </c>
    </row>
    <row r="488" spans="1:8" ht="14">
      <c r="A488" s="108">
        <v>2002</v>
      </c>
      <c r="B488" s="108">
        <v>29</v>
      </c>
      <c r="C488" s="108" t="s">
        <v>138</v>
      </c>
      <c r="D488" s="108">
        <v>19.139934598199801</v>
      </c>
      <c r="E488" s="108">
        <v>0</v>
      </c>
      <c r="F488" s="108" t="s">
        <v>137</v>
      </c>
      <c r="G488" s="108"/>
      <c r="H488" s="108">
        <v>1</v>
      </c>
    </row>
    <row r="489" spans="1:8" ht="14">
      <c r="A489" s="108">
        <v>2002</v>
      </c>
      <c r="B489" s="108">
        <v>29</v>
      </c>
      <c r="C489" s="108" t="s">
        <v>139</v>
      </c>
      <c r="D489" s="108">
        <v>10359.180760007501</v>
      </c>
      <c r="E489" s="108">
        <v>0</v>
      </c>
      <c r="F489" s="108" t="s">
        <v>136</v>
      </c>
      <c r="G489" s="108"/>
      <c r="H489" s="108">
        <v>1</v>
      </c>
    </row>
    <row r="490" spans="1:8" ht="14">
      <c r="A490" s="108">
        <v>2002</v>
      </c>
      <c r="B490" s="108">
        <v>29</v>
      </c>
      <c r="C490" s="108" t="s">
        <v>139</v>
      </c>
      <c r="D490" s="108">
        <v>4488.6382399924196</v>
      </c>
      <c r="E490" s="108">
        <v>0</v>
      </c>
      <c r="F490" s="108" t="s">
        <v>135</v>
      </c>
      <c r="G490" s="108"/>
      <c r="H490" s="108">
        <v>1</v>
      </c>
    </row>
    <row r="491" spans="1:8" ht="14">
      <c r="A491" s="108">
        <v>2002</v>
      </c>
      <c r="B491" s="108">
        <v>29</v>
      </c>
      <c r="C491" s="108" t="s">
        <v>139</v>
      </c>
      <c r="D491" s="108">
        <v>121.83</v>
      </c>
      <c r="E491" s="108">
        <v>0</v>
      </c>
      <c r="F491" s="108" t="s">
        <v>137</v>
      </c>
      <c r="G491" s="108"/>
      <c r="H491" s="108">
        <v>1</v>
      </c>
    </row>
    <row r="492" spans="1:8" ht="14">
      <c r="A492" s="108">
        <v>2002</v>
      </c>
      <c r="B492" s="108">
        <v>31</v>
      </c>
      <c r="C492" s="108" t="s">
        <v>30</v>
      </c>
      <c r="D492" s="108">
        <v>18829.680847214</v>
      </c>
      <c r="E492" s="108">
        <v>1607.0694577582999</v>
      </c>
      <c r="F492" s="108" t="s">
        <v>136</v>
      </c>
      <c r="G492" s="108">
        <v>1607.06951391999</v>
      </c>
      <c r="H492" s="108">
        <v>1</v>
      </c>
    </row>
    <row r="493" spans="1:8" ht="14">
      <c r="A493" s="108">
        <v>2002</v>
      </c>
      <c r="B493" s="108">
        <v>31</v>
      </c>
      <c r="C493" s="108" t="s">
        <v>30</v>
      </c>
      <c r="D493" s="108">
        <v>952.01679737069503</v>
      </c>
      <c r="E493" s="108">
        <v>132.421785867967</v>
      </c>
      <c r="F493" s="108" t="s">
        <v>135</v>
      </c>
      <c r="G493" s="108">
        <v>132.42180450000001</v>
      </c>
      <c r="H493" s="108">
        <v>1</v>
      </c>
    </row>
    <row r="494" spans="1:8" ht="14">
      <c r="A494" s="108">
        <v>2002</v>
      </c>
      <c r="B494" s="108">
        <v>31</v>
      </c>
      <c r="C494" s="108" t="s">
        <v>30</v>
      </c>
      <c r="D494" s="108">
        <v>118.72635541527799</v>
      </c>
      <c r="E494" s="108">
        <v>43.837756373725199</v>
      </c>
      <c r="F494" s="108" t="s">
        <v>137</v>
      </c>
      <c r="G494" s="108">
        <v>43.837749592000002</v>
      </c>
      <c r="H494" s="108">
        <v>1</v>
      </c>
    </row>
    <row r="495" spans="1:8" ht="14">
      <c r="A495" s="108">
        <v>2002</v>
      </c>
      <c r="B495" s="108">
        <v>31</v>
      </c>
      <c r="C495" s="108" t="s">
        <v>138</v>
      </c>
      <c r="D495" s="108">
        <v>10643.3683606882</v>
      </c>
      <c r="E495" s="108">
        <v>831.95456352489498</v>
      </c>
      <c r="F495" s="108" t="s">
        <v>136</v>
      </c>
      <c r="G495" s="108">
        <v>831.95456917600302</v>
      </c>
      <c r="H495" s="108">
        <v>1</v>
      </c>
    </row>
    <row r="496" spans="1:8" ht="14">
      <c r="A496" s="108">
        <v>2002</v>
      </c>
      <c r="B496" s="108">
        <v>31</v>
      </c>
      <c r="C496" s="108" t="s">
        <v>138</v>
      </c>
      <c r="D496" s="108">
        <v>107.02555943273001</v>
      </c>
      <c r="E496" s="108">
        <v>13.3980935769877</v>
      </c>
      <c r="F496" s="108" t="s">
        <v>137</v>
      </c>
      <c r="G496" s="108">
        <v>13.398094359999901</v>
      </c>
      <c r="H496" s="108">
        <v>1</v>
      </c>
    </row>
    <row r="497" spans="1:8" ht="14">
      <c r="A497" s="108">
        <v>2002</v>
      </c>
      <c r="B497" s="108">
        <v>31</v>
      </c>
      <c r="C497" s="108" t="s">
        <v>138</v>
      </c>
      <c r="D497" s="108">
        <v>446.38407987898398</v>
      </c>
      <c r="E497" s="108">
        <v>67.140342898115605</v>
      </c>
      <c r="F497" s="108" t="s">
        <v>135</v>
      </c>
      <c r="G497" s="108">
        <v>67.140355314000004</v>
      </c>
      <c r="H497" s="108">
        <v>1</v>
      </c>
    </row>
    <row r="498" spans="1:8" ht="14">
      <c r="A498" s="108">
        <v>2002</v>
      </c>
      <c r="B498" s="108">
        <v>31</v>
      </c>
      <c r="C498" s="108" t="s">
        <v>139</v>
      </c>
      <c r="D498" s="108">
        <v>11.7007959825487</v>
      </c>
      <c r="E498" s="108">
        <v>30.439662796737501</v>
      </c>
      <c r="F498" s="108" t="s">
        <v>137</v>
      </c>
      <c r="G498" s="108">
        <v>30.439655232</v>
      </c>
      <c r="H498" s="108">
        <v>1</v>
      </c>
    </row>
    <row r="499" spans="1:8" ht="14">
      <c r="A499" s="108">
        <v>2002</v>
      </c>
      <c r="B499" s="108">
        <v>31</v>
      </c>
      <c r="C499" s="108" t="s">
        <v>139</v>
      </c>
      <c r="D499" s="108">
        <v>505.63271749171099</v>
      </c>
      <c r="E499" s="108">
        <v>65.281442969851796</v>
      </c>
      <c r="F499" s="108" t="s">
        <v>135</v>
      </c>
      <c r="G499" s="108">
        <v>65.281449186000003</v>
      </c>
      <c r="H499" s="108">
        <v>1</v>
      </c>
    </row>
    <row r="500" spans="1:8" ht="14">
      <c r="A500" s="108">
        <v>2002</v>
      </c>
      <c r="B500" s="108">
        <v>31</v>
      </c>
      <c r="C500" s="108" t="s">
        <v>139</v>
      </c>
      <c r="D500" s="108">
        <v>8186.3124865257396</v>
      </c>
      <c r="E500" s="108">
        <v>775.11489423341197</v>
      </c>
      <c r="F500" s="108" t="s">
        <v>136</v>
      </c>
      <c r="G500" s="108">
        <v>775.11494474400104</v>
      </c>
      <c r="H500" s="108">
        <v>1</v>
      </c>
    </row>
    <row r="501" spans="1:8" ht="14">
      <c r="A501" s="108">
        <v>2002</v>
      </c>
      <c r="B501" s="108">
        <v>32</v>
      </c>
      <c r="C501" s="108" t="s">
        <v>30</v>
      </c>
      <c r="D501" s="108">
        <v>194.72340259364699</v>
      </c>
      <c r="E501" s="108">
        <v>71.6040670382</v>
      </c>
      <c r="F501" s="108" t="s">
        <v>137</v>
      </c>
      <c r="G501" s="108">
        <v>143.20813321</v>
      </c>
      <c r="H501" s="108">
        <v>1</v>
      </c>
    </row>
    <row r="502" spans="1:8" ht="14">
      <c r="A502" s="108">
        <v>2002</v>
      </c>
      <c r="B502" s="108">
        <v>32</v>
      </c>
      <c r="C502" s="108" t="s">
        <v>30</v>
      </c>
      <c r="D502" s="108">
        <v>1265.13393988644</v>
      </c>
      <c r="E502" s="108">
        <v>113.83049379200401</v>
      </c>
      <c r="F502" s="108" t="s">
        <v>135</v>
      </c>
      <c r="G502" s="108">
        <v>227.66097166999899</v>
      </c>
      <c r="H502" s="108">
        <v>1</v>
      </c>
    </row>
    <row r="503" spans="1:8" ht="14">
      <c r="A503" s="108">
        <v>2002</v>
      </c>
      <c r="B503" s="108">
        <v>32</v>
      </c>
      <c r="C503" s="108" t="s">
        <v>30</v>
      </c>
      <c r="D503" s="108">
        <v>25305.848657519899</v>
      </c>
      <c r="E503" s="108">
        <v>2210.7684391697899</v>
      </c>
      <c r="F503" s="108" t="s">
        <v>136</v>
      </c>
      <c r="G503" s="108">
        <v>4421.5370342730203</v>
      </c>
      <c r="H503" s="108">
        <v>1</v>
      </c>
    </row>
    <row r="504" spans="1:8" ht="14">
      <c r="A504" s="108">
        <v>2002</v>
      </c>
      <c r="B504" s="108">
        <v>32</v>
      </c>
      <c r="C504" s="108" t="s">
        <v>138</v>
      </c>
      <c r="D504" s="108">
        <v>610.11569947940995</v>
      </c>
      <c r="E504" s="108">
        <v>54.295559879973801</v>
      </c>
      <c r="F504" s="108" t="s">
        <v>135</v>
      </c>
      <c r="G504" s="108">
        <v>108.591110329999</v>
      </c>
      <c r="H504" s="108">
        <v>1</v>
      </c>
    </row>
    <row r="505" spans="1:8" ht="14">
      <c r="A505" s="108">
        <v>2002</v>
      </c>
      <c r="B505" s="108">
        <v>32</v>
      </c>
      <c r="C505" s="108" t="s">
        <v>138</v>
      </c>
      <c r="D505" s="108">
        <v>186.60366698223601</v>
      </c>
      <c r="E505" s="108">
        <v>21.267601503023101</v>
      </c>
      <c r="F505" s="108" t="s">
        <v>137</v>
      </c>
      <c r="G505" s="108">
        <v>42.535207089999901</v>
      </c>
      <c r="H505" s="108">
        <v>1</v>
      </c>
    </row>
    <row r="506" spans="1:8" ht="14">
      <c r="A506" s="108">
        <v>2002</v>
      </c>
      <c r="B506" s="108">
        <v>32</v>
      </c>
      <c r="C506" s="108" t="s">
        <v>138</v>
      </c>
      <c r="D506" s="108">
        <v>14860.387633538299</v>
      </c>
      <c r="E506" s="108">
        <v>1135.3718386170001</v>
      </c>
      <c r="F506" s="108" t="s">
        <v>136</v>
      </c>
      <c r="G506" s="108">
        <v>2270.7437596200002</v>
      </c>
      <c r="H506" s="108">
        <v>1</v>
      </c>
    </row>
    <row r="507" spans="1:8" ht="14">
      <c r="A507" s="108">
        <v>2002</v>
      </c>
      <c r="B507" s="108">
        <v>32</v>
      </c>
      <c r="C507" s="108" t="s">
        <v>139</v>
      </c>
      <c r="D507" s="108">
        <v>8.1197356114109205</v>
      </c>
      <c r="E507" s="108">
        <v>50.336465535176899</v>
      </c>
      <c r="F507" s="108" t="s">
        <v>137</v>
      </c>
      <c r="G507" s="108">
        <v>100.67292612</v>
      </c>
      <c r="H507" s="108">
        <v>1</v>
      </c>
    </row>
    <row r="508" spans="1:8" ht="14">
      <c r="A508" s="108">
        <v>2002</v>
      </c>
      <c r="B508" s="108">
        <v>32</v>
      </c>
      <c r="C508" s="108" t="s">
        <v>139</v>
      </c>
      <c r="D508" s="108">
        <v>10445.461023981499</v>
      </c>
      <c r="E508" s="108">
        <v>1075.39660055279</v>
      </c>
      <c r="F508" s="108" t="s">
        <v>136</v>
      </c>
      <c r="G508" s="108">
        <v>2150.79327465299</v>
      </c>
      <c r="H508" s="108">
        <v>1</v>
      </c>
    </row>
    <row r="509" spans="1:8" ht="14">
      <c r="A509" s="108">
        <v>2002</v>
      </c>
      <c r="B509" s="108">
        <v>32</v>
      </c>
      <c r="C509" s="108" t="s">
        <v>139</v>
      </c>
      <c r="D509" s="108">
        <v>655.01824040703104</v>
      </c>
      <c r="E509" s="108">
        <v>59.534933912031001</v>
      </c>
      <c r="F509" s="108" t="s">
        <v>135</v>
      </c>
      <c r="G509" s="108">
        <v>119.06986134</v>
      </c>
      <c r="H509" s="108">
        <v>1</v>
      </c>
    </row>
    <row r="510" spans="1:8" ht="14">
      <c r="A510" s="108">
        <v>2002</v>
      </c>
      <c r="B510" s="108">
        <v>33</v>
      </c>
      <c r="C510" s="108" t="s">
        <v>30</v>
      </c>
      <c r="D510" s="108">
        <v>0</v>
      </c>
      <c r="E510" s="108">
        <v>3.0981996726677499E-3</v>
      </c>
      <c r="F510" s="108" t="s">
        <v>137</v>
      </c>
      <c r="G510" s="108">
        <v>4.6472999999999896E-3</v>
      </c>
      <c r="H510" s="108">
        <v>1</v>
      </c>
    </row>
    <row r="511" spans="1:8" ht="14">
      <c r="A511" s="108">
        <v>2002</v>
      </c>
      <c r="B511" s="108">
        <v>33</v>
      </c>
      <c r="C511" s="108" t="s">
        <v>30</v>
      </c>
      <c r="D511" s="108">
        <v>29.017159195522598</v>
      </c>
      <c r="E511" s="108">
        <v>4.5927670832394298</v>
      </c>
      <c r="F511" s="108" t="s">
        <v>135</v>
      </c>
      <c r="G511" s="108">
        <v>6.8891509599999896</v>
      </c>
      <c r="H511" s="108">
        <v>1</v>
      </c>
    </row>
    <row r="512" spans="1:8" ht="14">
      <c r="A512" s="108">
        <v>2002</v>
      </c>
      <c r="B512" s="108">
        <v>33</v>
      </c>
      <c r="C512" s="108" t="s">
        <v>30</v>
      </c>
      <c r="D512" s="108">
        <v>1159.1598408044699</v>
      </c>
      <c r="E512" s="108">
        <v>77.000134717087903</v>
      </c>
      <c r="F512" s="108" t="s">
        <v>136</v>
      </c>
      <c r="G512" s="108">
        <v>115.50019809200001</v>
      </c>
      <c r="H512" s="108">
        <v>1</v>
      </c>
    </row>
    <row r="513" spans="1:8" ht="14">
      <c r="A513" s="108">
        <v>2002</v>
      </c>
      <c r="B513" s="108">
        <v>33</v>
      </c>
      <c r="C513" s="108" t="s">
        <v>138</v>
      </c>
      <c r="D513" s="108">
        <v>675.84352054343299</v>
      </c>
      <c r="E513" s="108">
        <v>39.405054687162099</v>
      </c>
      <c r="F513" s="108" t="s">
        <v>136</v>
      </c>
      <c r="G513" s="108">
        <v>59.107580321999997</v>
      </c>
      <c r="H513" s="108">
        <v>1</v>
      </c>
    </row>
    <row r="514" spans="1:8" ht="14">
      <c r="A514" s="108">
        <v>2002</v>
      </c>
      <c r="B514" s="108">
        <v>33</v>
      </c>
      <c r="C514" s="108" t="s">
        <v>138</v>
      </c>
      <c r="D514" s="108">
        <v>17.105479456566801</v>
      </c>
      <c r="E514" s="108">
        <v>2.4269453128378702</v>
      </c>
      <c r="F514" s="108" t="s">
        <v>135</v>
      </c>
      <c r="G514" s="108">
        <v>3.6404185899999999</v>
      </c>
      <c r="H514" s="108">
        <v>1</v>
      </c>
    </row>
    <row r="515" spans="1:8" ht="14">
      <c r="A515" s="108">
        <v>2002</v>
      </c>
      <c r="B515" s="108">
        <v>33</v>
      </c>
      <c r="C515" s="108" t="s">
        <v>139</v>
      </c>
      <c r="D515" s="108">
        <v>483.31632026104398</v>
      </c>
      <c r="E515" s="108">
        <v>37.595080029925697</v>
      </c>
      <c r="F515" s="108" t="s">
        <v>136</v>
      </c>
      <c r="G515" s="108">
        <v>56.392617769999902</v>
      </c>
      <c r="H515" s="108">
        <v>1</v>
      </c>
    </row>
    <row r="516" spans="1:8" ht="14">
      <c r="A516" s="108">
        <v>2002</v>
      </c>
      <c r="B516" s="108">
        <v>33</v>
      </c>
      <c r="C516" s="108" t="s">
        <v>139</v>
      </c>
      <c r="D516" s="108">
        <v>0</v>
      </c>
      <c r="E516" s="108">
        <v>3.0981996726677499E-3</v>
      </c>
      <c r="F516" s="108" t="s">
        <v>137</v>
      </c>
      <c r="G516" s="108">
        <v>4.6472999999999896E-3</v>
      </c>
      <c r="H516" s="108">
        <v>1</v>
      </c>
    </row>
    <row r="517" spans="1:8" ht="14">
      <c r="A517" s="108">
        <v>2002</v>
      </c>
      <c r="B517" s="108">
        <v>33</v>
      </c>
      <c r="C517" s="108" t="s">
        <v>139</v>
      </c>
      <c r="D517" s="108">
        <v>11.911679738955799</v>
      </c>
      <c r="E517" s="108">
        <v>2.1658217704015499</v>
      </c>
      <c r="F517" s="108" t="s">
        <v>135</v>
      </c>
      <c r="G517" s="108">
        <v>3.2487323699999999</v>
      </c>
      <c r="H517" s="108">
        <v>1</v>
      </c>
    </row>
    <row r="518" spans="1:8" ht="14">
      <c r="A518" s="108">
        <v>2002</v>
      </c>
      <c r="B518" s="108">
        <v>34</v>
      </c>
      <c r="C518" s="108" t="s">
        <v>30</v>
      </c>
      <c r="D518" s="108">
        <v>0.41883953480476099</v>
      </c>
      <c r="E518" s="108">
        <v>5.4263391016213698E-2</v>
      </c>
      <c r="F518" s="108" t="s">
        <v>137</v>
      </c>
      <c r="G518" s="108">
        <v>0.12209262999999999</v>
      </c>
      <c r="H518" s="108">
        <v>1</v>
      </c>
    </row>
    <row r="519" spans="1:8" ht="14">
      <c r="A519" s="108">
        <v>2002</v>
      </c>
      <c r="B519" s="108">
        <v>34</v>
      </c>
      <c r="C519" s="108" t="s">
        <v>30</v>
      </c>
      <c r="D519" s="108">
        <v>3200.7909123387499</v>
      </c>
      <c r="E519" s="108">
        <v>222.79795348881899</v>
      </c>
      <c r="F519" s="108" t="s">
        <v>136</v>
      </c>
      <c r="G519" s="108">
        <v>501.295274718999</v>
      </c>
      <c r="H519" s="108">
        <v>1</v>
      </c>
    </row>
    <row r="520" spans="1:8" ht="14">
      <c r="A520" s="108">
        <v>2002</v>
      </c>
      <c r="B520" s="108">
        <v>34</v>
      </c>
      <c r="C520" s="108" t="s">
        <v>30</v>
      </c>
      <c r="D520" s="108">
        <v>44.707248126442103</v>
      </c>
      <c r="E520" s="108">
        <v>9.4397831201642592</v>
      </c>
      <c r="F520" s="108" t="s">
        <v>135</v>
      </c>
      <c r="G520" s="108">
        <v>21.239501059999998</v>
      </c>
      <c r="H520" s="108">
        <v>1</v>
      </c>
    </row>
    <row r="521" spans="1:8" ht="14">
      <c r="A521" s="108">
        <v>2002</v>
      </c>
      <c r="B521" s="108">
        <v>34</v>
      </c>
      <c r="C521" s="108" t="s">
        <v>138</v>
      </c>
      <c r="D521" s="108">
        <v>0.41883953480476099</v>
      </c>
      <c r="E521" s="108">
        <v>5.4263391016213698E-2</v>
      </c>
      <c r="F521" s="108" t="s">
        <v>137</v>
      </c>
      <c r="G521" s="108">
        <v>0.12209262999999999</v>
      </c>
      <c r="H521" s="108">
        <v>1</v>
      </c>
    </row>
    <row r="522" spans="1:8" ht="14">
      <c r="A522" s="108">
        <v>2002</v>
      </c>
      <c r="B522" s="108">
        <v>34</v>
      </c>
      <c r="C522" s="108" t="s">
        <v>138</v>
      </c>
      <c r="D522" s="108">
        <v>2042.38293662656</v>
      </c>
      <c r="E522" s="108">
        <v>114.839419397757</v>
      </c>
      <c r="F522" s="108" t="s">
        <v>136</v>
      </c>
      <c r="G522" s="108">
        <v>258.38867174000001</v>
      </c>
      <c r="H522" s="108">
        <v>1</v>
      </c>
    </row>
    <row r="523" spans="1:8" ht="14">
      <c r="A523" s="108">
        <v>2002</v>
      </c>
      <c r="B523" s="108">
        <v>34</v>
      </c>
      <c r="C523" s="108" t="s">
        <v>138</v>
      </c>
      <c r="D523" s="108">
        <v>23.117223838626799</v>
      </c>
      <c r="E523" s="108">
        <v>4.9923172112259904</v>
      </c>
      <c r="F523" s="108" t="s">
        <v>135</v>
      </c>
      <c r="G523" s="108">
        <v>11.232703839999999</v>
      </c>
      <c r="H523" s="108">
        <v>1</v>
      </c>
    </row>
    <row r="524" spans="1:8" ht="14">
      <c r="A524" s="108">
        <v>2002</v>
      </c>
      <c r="B524" s="108">
        <v>34</v>
      </c>
      <c r="C524" s="108" t="s">
        <v>139</v>
      </c>
      <c r="D524" s="108">
        <v>1158.4079757121799</v>
      </c>
      <c r="E524" s="108">
        <v>107.958534091061</v>
      </c>
      <c r="F524" s="108" t="s">
        <v>136</v>
      </c>
      <c r="G524" s="108">
        <v>242.90660297899899</v>
      </c>
      <c r="H524" s="108">
        <v>1</v>
      </c>
    </row>
    <row r="525" spans="1:8" ht="14">
      <c r="A525" s="108">
        <v>2002</v>
      </c>
      <c r="B525" s="108">
        <v>34</v>
      </c>
      <c r="C525" s="108" t="s">
        <v>139</v>
      </c>
      <c r="D525" s="108">
        <v>21.590024287815201</v>
      </c>
      <c r="E525" s="108">
        <v>4.44746590893826</v>
      </c>
      <c r="F525" s="108" t="s">
        <v>135</v>
      </c>
      <c r="G525" s="108">
        <v>10.006797219999999</v>
      </c>
      <c r="H525" s="108">
        <v>1</v>
      </c>
    </row>
    <row r="526" spans="1:8" ht="14">
      <c r="A526" s="108">
        <v>2002</v>
      </c>
      <c r="B526" s="108">
        <v>51</v>
      </c>
      <c r="C526" s="108" t="s">
        <v>30</v>
      </c>
      <c r="D526" s="108">
        <v>31571.368830844502</v>
      </c>
      <c r="E526" s="108">
        <v>2792.7888479318999</v>
      </c>
      <c r="F526" s="108" t="s">
        <v>136</v>
      </c>
      <c r="G526" s="108"/>
      <c r="H526" s="108">
        <v>1</v>
      </c>
    </row>
    <row r="527" spans="1:8" ht="14">
      <c r="A527" s="108">
        <v>2002</v>
      </c>
      <c r="B527" s="108">
        <v>51</v>
      </c>
      <c r="C527" s="108" t="s">
        <v>30</v>
      </c>
      <c r="D527" s="108">
        <v>7352.7531691554595</v>
      </c>
      <c r="E527" s="108">
        <v>633.80415206809096</v>
      </c>
      <c r="F527" s="108" t="s">
        <v>135</v>
      </c>
      <c r="G527" s="108"/>
      <c r="H527" s="108">
        <v>1</v>
      </c>
    </row>
    <row r="528" spans="1:8" ht="14">
      <c r="A528" s="108">
        <v>2002</v>
      </c>
      <c r="B528" s="108">
        <v>51</v>
      </c>
      <c r="C528" s="108" t="s">
        <v>138</v>
      </c>
      <c r="D528" s="108">
        <v>18921.313607265001</v>
      </c>
      <c r="E528" s="108">
        <v>1398.7872244319201</v>
      </c>
      <c r="F528" s="108" t="s">
        <v>136</v>
      </c>
      <c r="G528" s="108"/>
      <c r="H528" s="108">
        <v>1</v>
      </c>
    </row>
    <row r="529" spans="1:8" ht="14">
      <c r="A529" s="108">
        <v>2002</v>
      </c>
      <c r="B529" s="108">
        <v>51</v>
      </c>
      <c r="C529" s="108" t="s">
        <v>138</v>
      </c>
      <c r="D529" s="108">
        <v>3713.5933927349702</v>
      </c>
      <c r="E529" s="108">
        <v>314.21877556807499</v>
      </c>
      <c r="F529" s="108" t="s">
        <v>135</v>
      </c>
      <c r="G529" s="108"/>
      <c r="H529" s="108">
        <v>1</v>
      </c>
    </row>
    <row r="530" spans="1:8" ht="14">
      <c r="A530" s="108">
        <v>2002</v>
      </c>
      <c r="B530" s="108">
        <v>51</v>
      </c>
      <c r="C530" s="108" t="s">
        <v>139</v>
      </c>
      <c r="D530" s="108">
        <v>12650.0552235795</v>
      </c>
      <c r="E530" s="108">
        <v>1394.00162349998</v>
      </c>
      <c r="F530" s="108" t="s">
        <v>136</v>
      </c>
      <c r="G530" s="108"/>
      <c r="H530" s="108">
        <v>1</v>
      </c>
    </row>
    <row r="531" spans="1:8" ht="14">
      <c r="A531" s="108">
        <v>2002</v>
      </c>
      <c r="B531" s="108">
        <v>51</v>
      </c>
      <c r="C531" s="108" t="s">
        <v>139</v>
      </c>
      <c r="D531" s="108">
        <v>3639.1597764204898</v>
      </c>
      <c r="E531" s="108">
        <v>319.585376500015</v>
      </c>
      <c r="F531" s="108" t="s">
        <v>135</v>
      </c>
      <c r="G531" s="108"/>
      <c r="H531" s="108">
        <v>1</v>
      </c>
    </row>
    <row r="532" spans="1:8" ht="14">
      <c r="A532" s="108">
        <v>2002</v>
      </c>
      <c r="B532" s="108">
        <v>52</v>
      </c>
      <c r="C532" s="108" t="s">
        <v>30</v>
      </c>
      <c r="D532" s="108">
        <v>0</v>
      </c>
      <c r="E532" s="108">
        <v>5340.2930686827203</v>
      </c>
      <c r="F532" s="108" t="s">
        <v>136</v>
      </c>
      <c r="G532" s="108"/>
      <c r="H532" s="108">
        <v>1</v>
      </c>
    </row>
    <row r="533" spans="1:8" ht="14">
      <c r="A533" s="108">
        <v>2002</v>
      </c>
      <c r="B533" s="108">
        <v>52</v>
      </c>
      <c r="C533" s="108" t="s">
        <v>30</v>
      </c>
      <c r="D533" s="108">
        <v>0</v>
      </c>
      <c r="E533" s="108">
        <v>1368.70393131727</v>
      </c>
      <c r="F533" s="108" t="s">
        <v>135</v>
      </c>
      <c r="G533" s="108"/>
      <c r="H533" s="108">
        <v>1</v>
      </c>
    </row>
    <row r="534" spans="1:8" ht="14">
      <c r="A534" s="108">
        <v>2002</v>
      </c>
      <c r="B534" s="108">
        <v>52</v>
      </c>
      <c r="C534" s="108" t="s">
        <v>30</v>
      </c>
      <c r="D534" s="108">
        <v>0</v>
      </c>
      <c r="E534" s="108">
        <v>0</v>
      </c>
      <c r="F534" s="108" t="s">
        <v>137</v>
      </c>
      <c r="G534" s="108"/>
      <c r="H534" s="108">
        <v>1</v>
      </c>
    </row>
    <row r="535" spans="1:8" ht="14">
      <c r="A535" s="108">
        <v>2002</v>
      </c>
      <c r="B535" s="108">
        <v>52</v>
      </c>
      <c r="C535" s="108" t="s">
        <v>138</v>
      </c>
      <c r="D535" s="108">
        <v>0</v>
      </c>
      <c r="E535" s="108">
        <v>694.20588893163199</v>
      </c>
      <c r="F535" s="108" t="s">
        <v>135</v>
      </c>
      <c r="G535" s="108"/>
      <c r="H535" s="108">
        <v>1</v>
      </c>
    </row>
    <row r="536" spans="1:8" ht="14">
      <c r="A536" s="108">
        <v>2002</v>
      </c>
      <c r="B536" s="108">
        <v>52</v>
      </c>
      <c r="C536" s="108" t="s">
        <v>138</v>
      </c>
      <c r="D536" s="108">
        <v>0</v>
      </c>
      <c r="E536" s="108">
        <v>2673.7611110683602</v>
      </c>
      <c r="F536" s="108" t="s">
        <v>136</v>
      </c>
      <c r="G536" s="108"/>
      <c r="H536" s="108">
        <v>1</v>
      </c>
    </row>
    <row r="537" spans="1:8" ht="14">
      <c r="A537" s="108">
        <v>2002</v>
      </c>
      <c r="B537" s="108">
        <v>52</v>
      </c>
      <c r="C537" s="108" t="s">
        <v>139</v>
      </c>
      <c r="D537" s="108">
        <v>0</v>
      </c>
      <c r="E537" s="108">
        <v>674.498042385644</v>
      </c>
      <c r="F537" s="108" t="s">
        <v>135</v>
      </c>
      <c r="G537" s="108"/>
      <c r="H537" s="108">
        <v>1</v>
      </c>
    </row>
    <row r="538" spans="1:8" ht="14">
      <c r="A538" s="108">
        <v>2002</v>
      </c>
      <c r="B538" s="108">
        <v>52</v>
      </c>
      <c r="C538" s="108" t="s">
        <v>139</v>
      </c>
      <c r="D538" s="108">
        <v>0</v>
      </c>
      <c r="E538" s="108">
        <v>0</v>
      </c>
      <c r="F538" s="108" t="s">
        <v>137</v>
      </c>
      <c r="G538" s="108"/>
      <c r="H538" s="108">
        <v>1</v>
      </c>
    </row>
    <row r="539" spans="1:8" ht="14">
      <c r="A539" s="108">
        <v>2002</v>
      </c>
      <c r="B539" s="108">
        <v>52</v>
      </c>
      <c r="C539" s="108" t="s">
        <v>139</v>
      </c>
      <c r="D539" s="108">
        <v>0</v>
      </c>
      <c r="E539" s="108">
        <v>2666.5319576143502</v>
      </c>
      <c r="F539" s="108" t="s">
        <v>136</v>
      </c>
      <c r="G539" s="108"/>
      <c r="H539" s="108">
        <v>1</v>
      </c>
    </row>
    <row r="540" spans="1:8" ht="14">
      <c r="A540" s="108">
        <v>2002</v>
      </c>
      <c r="B540" s="108">
        <v>53</v>
      </c>
      <c r="C540" s="108" t="s">
        <v>30</v>
      </c>
      <c r="D540" s="108">
        <v>0</v>
      </c>
      <c r="E540" s="108">
        <v>16.924783769353901</v>
      </c>
      <c r="F540" s="108" t="s">
        <v>135</v>
      </c>
      <c r="G540" s="108"/>
      <c r="H540" s="108">
        <v>1</v>
      </c>
    </row>
    <row r="541" spans="1:8" ht="14">
      <c r="A541" s="108">
        <v>2002</v>
      </c>
      <c r="B541" s="108">
        <v>53</v>
      </c>
      <c r="C541" s="108" t="s">
        <v>30</v>
      </c>
      <c r="D541" s="108">
        <v>0</v>
      </c>
      <c r="E541" s="108">
        <v>183.083216230646</v>
      </c>
      <c r="F541" s="108" t="s">
        <v>136</v>
      </c>
      <c r="G541" s="108"/>
      <c r="H541" s="108">
        <v>1</v>
      </c>
    </row>
    <row r="542" spans="1:8" ht="14">
      <c r="A542" s="108">
        <v>2002</v>
      </c>
      <c r="B542" s="108">
        <v>53</v>
      </c>
      <c r="C542" s="108" t="s">
        <v>138</v>
      </c>
      <c r="D542" s="108">
        <v>0</v>
      </c>
      <c r="E542" s="108">
        <v>92.141999999999996</v>
      </c>
      <c r="F542" s="108" t="s">
        <v>136</v>
      </c>
      <c r="G542" s="108"/>
      <c r="H542" s="108">
        <v>1</v>
      </c>
    </row>
    <row r="543" spans="1:8" ht="14">
      <c r="A543" s="108">
        <v>2002</v>
      </c>
      <c r="B543" s="108">
        <v>53</v>
      </c>
      <c r="C543" s="108" t="s">
        <v>138</v>
      </c>
      <c r="D543" s="108">
        <v>0</v>
      </c>
      <c r="E543" s="108">
        <v>8.5139999999999993</v>
      </c>
      <c r="F543" s="108" t="s">
        <v>135</v>
      </c>
      <c r="G543" s="108"/>
      <c r="H543" s="108">
        <v>1</v>
      </c>
    </row>
    <row r="544" spans="1:8" ht="14">
      <c r="A544" s="108">
        <v>2002</v>
      </c>
      <c r="B544" s="108">
        <v>53</v>
      </c>
      <c r="C544" s="108" t="s">
        <v>139</v>
      </c>
      <c r="D544" s="108">
        <v>0</v>
      </c>
      <c r="E544" s="108">
        <v>90.941216230646006</v>
      </c>
      <c r="F544" s="108" t="s">
        <v>136</v>
      </c>
      <c r="G544" s="108"/>
      <c r="H544" s="108">
        <v>1</v>
      </c>
    </row>
    <row r="545" spans="1:8" ht="14">
      <c r="A545" s="108">
        <v>2002</v>
      </c>
      <c r="B545" s="108">
        <v>53</v>
      </c>
      <c r="C545" s="108" t="s">
        <v>139</v>
      </c>
      <c r="D545" s="108">
        <v>0</v>
      </c>
      <c r="E545" s="108">
        <v>8.4107837693539693</v>
      </c>
      <c r="F545" s="108" t="s">
        <v>135</v>
      </c>
      <c r="G545" s="108"/>
      <c r="H545" s="108">
        <v>1</v>
      </c>
    </row>
    <row r="546" spans="1:8" ht="14">
      <c r="A546" s="108">
        <v>2002</v>
      </c>
      <c r="B546" s="108">
        <v>54</v>
      </c>
      <c r="C546" s="108" t="s">
        <v>30</v>
      </c>
      <c r="D546" s="108">
        <v>0.91656458943024599</v>
      </c>
      <c r="E546" s="108">
        <v>0.71903356496803705</v>
      </c>
      <c r="F546" s="108" t="s">
        <v>137</v>
      </c>
      <c r="G546" s="108"/>
      <c r="H546" s="108">
        <v>1</v>
      </c>
    </row>
    <row r="547" spans="1:8" ht="14">
      <c r="A547" s="108">
        <v>2002</v>
      </c>
      <c r="B547" s="108">
        <v>54</v>
      </c>
      <c r="C547" s="108" t="s">
        <v>30</v>
      </c>
      <c r="D547" s="108">
        <v>248.29666750929999</v>
      </c>
      <c r="E547" s="108">
        <v>215.23516568821</v>
      </c>
      <c r="F547" s="108" t="s">
        <v>135</v>
      </c>
      <c r="G547" s="108"/>
      <c r="H547" s="108">
        <v>1</v>
      </c>
    </row>
    <row r="548" spans="1:8" ht="14">
      <c r="A548" s="108">
        <v>2002</v>
      </c>
      <c r="B548" s="108">
        <v>54</v>
      </c>
      <c r="C548" s="108" t="s">
        <v>30</v>
      </c>
      <c r="D548" s="108">
        <v>4444.0797679012703</v>
      </c>
      <c r="E548" s="108">
        <v>3446.0448007468199</v>
      </c>
      <c r="F548" s="108" t="s">
        <v>136</v>
      </c>
      <c r="G548" s="108"/>
      <c r="H548" s="108">
        <v>1</v>
      </c>
    </row>
    <row r="549" spans="1:8" ht="14">
      <c r="A549" s="108">
        <v>2002</v>
      </c>
      <c r="B549" s="108">
        <v>54</v>
      </c>
      <c r="C549" s="108" t="s">
        <v>138</v>
      </c>
      <c r="D549" s="108">
        <v>2656.3137640393502</v>
      </c>
      <c r="E549" s="108">
        <v>2209.9420084499802</v>
      </c>
      <c r="F549" s="108" t="s">
        <v>136</v>
      </c>
      <c r="G549" s="108"/>
      <c r="H549" s="108">
        <v>1</v>
      </c>
    </row>
    <row r="550" spans="1:8" ht="14">
      <c r="A550" s="108">
        <v>2002</v>
      </c>
      <c r="B550" s="108">
        <v>54</v>
      </c>
      <c r="C550" s="108" t="s">
        <v>138</v>
      </c>
      <c r="D550" s="108">
        <v>108.646235960647</v>
      </c>
      <c r="E550" s="108">
        <v>90.644991550018304</v>
      </c>
      <c r="F550" s="108" t="s">
        <v>135</v>
      </c>
      <c r="G550" s="108"/>
      <c r="H550" s="108">
        <v>1</v>
      </c>
    </row>
    <row r="551" spans="1:8" ht="14">
      <c r="A551" s="108">
        <v>2002</v>
      </c>
      <c r="B551" s="108">
        <v>54</v>
      </c>
      <c r="C551" s="108" t="s">
        <v>139</v>
      </c>
      <c r="D551" s="108">
        <v>1787.7660038619099</v>
      </c>
      <c r="E551" s="108">
        <v>1236.1027922968301</v>
      </c>
      <c r="F551" s="108" t="s">
        <v>136</v>
      </c>
      <c r="G551" s="108"/>
      <c r="H551" s="108">
        <v>1</v>
      </c>
    </row>
    <row r="552" spans="1:8" ht="14">
      <c r="A552" s="108">
        <v>2002</v>
      </c>
      <c r="B552" s="108">
        <v>54</v>
      </c>
      <c r="C552" s="108" t="s">
        <v>139</v>
      </c>
      <c r="D552" s="108">
        <v>139.65043154865299</v>
      </c>
      <c r="E552" s="108">
        <v>124.590174138192</v>
      </c>
      <c r="F552" s="108" t="s">
        <v>135</v>
      </c>
      <c r="G552" s="108"/>
      <c r="H552" s="108">
        <v>1</v>
      </c>
    </row>
    <row r="553" spans="1:8" ht="14">
      <c r="A553" s="108">
        <v>2002</v>
      </c>
      <c r="B553" s="108">
        <v>54</v>
      </c>
      <c r="C553" s="108" t="s">
        <v>139</v>
      </c>
      <c r="D553" s="108">
        <v>0.91656458943024599</v>
      </c>
      <c r="E553" s="108">
        <v>0.71903356496803705</v>
      </c>
      <c r="F553" s="108" t="s">
        <v>137</v>
      </c>
      <c r="G553" s="108"/>
      <c r="H553" s="108">
        <v>1</v>
      </c>
    </row>
    <row r="554" spans="1:8" ht="14">
      <c r="A554" s="108">
        <v>2002</v>
      </c>
      <c r="B554" s="108">
        <v>56</v>
      </c>
      <c r="C554" s="108" t="s">
        <v>30</v>
      </c>
      <c r="D554" s="108">
        <v>0.434</v>
      </c>
      <c r="E554" s="108">
        <v>5.5739999999999998</v>
      </c>
      <c r="F554" s="108" t="s">
        <v>135</v>
      </c>
      <c r="G554" s="108"/>
      <c r="H554" s="108">
        <v>1</v>
      </c>
    </row>
    <row r="555" spans="1:8" ht="14">
      <c r="A555" s="108">
        <v>2002</v>
      </c>
      <c r="B555" s="108">
        <v>56</v>
      </c>
      <c r="C555" s="108" t="s">
        <v>138</v>
      </c>
      <c r="D555" s="108">
        <v>0.35599999999999998</v>
      </c>
      <c r="E555" s="108">
        <v>4.3079999999999998</v>
      </c>
      <c r="F555" s="108" t="s">
        <v>135</v>
      </c>
      <c r="G555" s="108"/>
      <c r="H555" s="108">
        <v>1</v>
      </c>
    </row>
    <row r="556" spans="1:8" ht="14">
      <c r="A556" s="108">
        <v>2002</v>
      </c>
      <c r="B556" s="108">
        <v>56</v>
      </c>
      <c r="C556" s="108" t="s">
        <v>139</v>
      </c>
      <c r="D556" s="108">
        <v>7.8E-2</v>
      </c>
      <c r="E556" s="108">
        <v>1.266</v>
      </c>
      <c r="F556" s="108" t="s">
        <v>135</v>
      </c>
      <c r="G556" s="108"/>
      <c r="H556" s="108">
        <v>1</v>
      </c>
    </row>
    <row r="557" spans="1:8" ht="14">
      <c r="A557" s="108">
        <v>2002</v>
      </c>
      <c r="B557" s="108">
        <v>59</v>
      </c>
      <c r="C557" s="108" t="s">
        <v>30</v>
      </c>
      <c r="D557" s="108">
        <v>2.2426078952101799E-2</v>
      </c>
      <c r="E557" s="108">
        <v>9.8397916850560493E-4</v>
      </c>
      <c r="F557" s="108" t="s">
        <v>137</v>
      </c>
      <c r="G557" s="108"/>
      <c r="H557" s="108">
        <v>1</v>
      </c>
    </row>
    <row r="558" spans="1:8" ht="14">
      <c r="A558" s="108">
        <v>2002</v>
      </c>
      <c r="B558" s="108">
        <v>59</v>
      </c>
      <c r="C558" s="108" t="s">
        <v>30</v>
      </c>
      <c r="D558" s="108">
        <v>315.28384825119798</v>
      </c>
      <c r="E558" s="108">
        <v>55.164580926245598</v>
      </c>
      <c r="F558" s="108" t="s">
        <v>136</v>
      </c>
      <c r="G558" s="108"/>
      <c r="H558" s="108">
        <v>1</v>
      </c>
    </row>
    <row r="559" spans="1:8" ht="14">
      <c r="A559" s="108">
        <v>2002</v>
      </c>
      <c r="B559" s="108">
        <v>59</v>
      </c>
      <c r="C559" s="108" t="s">
        <v>30</v>
      </c>
      <c r="D559" s="108">
        <v>25.615725669848999</v>
      </c>
      <c r="E559" s="108">
        <v>32.105435094585701</v>
      </c>
      <c r="F559" s="108" t="s">
        <v>135</v>
      </c>
      <c r="G559" s="108"/>
      <c r="H559" s="108">
        <v>1</v>
      </c>
    </row>
    <row r="560" spans="1:8" ht="14">
      <c r="A560" s="108">
        <v>2002</v>
      </c>
      <c r="B560" s="108">
        <v>59</v>
      </c>
      <c r="C560" s="108" t="s">
        <v>138</v>
      </c>
      <c r="D560" s="108">
        <v>236.82927433015001</v>
      </c>
      <c r="E560" s="108">
        <v>44.429564905414203</v>
      </c>
      <c r="F560" s="108" t="s">
        <v>136</v>
      </c>
      <c r="G560" s="108"/>
      <c r="H560" s="108">
        <v>1</v>
      </c>
    </row>
    <row r="561" spans="1:8" ht="14">
      <c r="A561" s="108">
        <v>2002</v>
      </c>
      <c r="B561" s="108">
        <v>59</v>
      </c>
      <c r="C561" s="108" t="s">
        <v>138</v>
      </c>
      <c r="D561" s="108">
        <v>13.116725669849</v>
      </c>
      <c r="E561" s="108">
        <v>14.768435094585699</v>
      </c>
      <c r="F561" s="108" t="s">
        <v>135</v>
      </c>
      <c r="G561" s="108"/>
      <c r="H561" s="108">
        <v>1</v>
      </c>
    </row>
    <row r="562" spans="1:8" ht="14">
      <c r="A562" s="108">
        <v>2002</v>
      </c>
      <c r="B562" s="108">
        <v>59</v>
      </c>
      <c r="C562" s="108" t="s">
        <v>139</v>
      </c>
      <c r="D562" s="108">
        <v>2.2426078952101799E-2</v>
      </c>
      <c r="E562" s="108">
        <v>9.8397916850560493E-4</v>
      </c>
      <c r="F562" s="108" t="s">
        <v>137</v>
      </c>
      <c r="G562" s="108"/>
      <c r="H562" s="108">
        <v>1</v>
      </c>
    </row>
    <row r="563" spans="1:8" ht="14">
      <c r="A563" s="108">
        <v>2002</v>
      </c>
      <c r="B563" s="108">
        <v>59</v>
      </c>
      <c r="C563" s="108" t="s">
        <v>139</v>
      </c>
      <c r="D563" s="108">
        <v>12.499000000000001</v>
      </c>
      <c r="E563" s="108">
        <v>17.3369999999999</v>
      </c>
      <c r="F563" s="108" t="s">
        <v>135</v>
      </c>
      <c r="G563" s="108"/>
      <c r="H563" s="108">
        <v>1</v>
      </c>
    </row>
    <row r="564" spans="1:8" ht="14">
      <c r="A564" s="108">
        <v>2002</v>
      </c>
      <c r="B564" s="108">
        <v>59</v>
      </c>
      <c r="C564" s="108" t="s">
        <v>139</v>
      </c>
      <c r="D564" s="108">
        <v>78.454573921047796</v>
      </c>
      <c r="E564" s="108">
        <v>10.7350160208314</v>
      </c>
      <c r="F564" s="108" t="s">
        <v>136</v>
      </c>
      <c r="G564" s="108"/>
      <c r="H564" s="108">
        <v>1</v>
      </c>
    </row>
    <row r="565" spans="1:8" ht="14">
      <c r="A565" s="108">
        <v>2002</v>
      </c>
      <c r="B565" s="108">
        <v>61</v>
      </c>
      <c r="C565" s="108" t="s">
        <v>30</v>
      </c>
      <c r="D565" s="108">
        <v>12121.9504397531</v>
      </c>
      <c r="E565" s="108">
        <v>963.98334654863004</v>
      </c>
      <c r="F565" s="108" t="s">
        <v>135</v>
      </c>
      <c r="G565" s="108"/>
      <c r="H565" s="108">
        <v>1</v>
      </c>
    </row>
    <row r="566" spans="1:8" ht="14">
      <c r="A566" s="108">
        <v>2002</v>
      </c>
      <c r="B566" s="108">
        <v>61</v>
      </c>
      <c r="C566" s="108" t="s">
        <v>30</v>
      </c>
      <c r="D566" s="108">
        <v>23868.378560246801</v>
      </c>
      <c r="E566" s="108">
        <v>1719.65465345136</v>
      </c>
      <c r="F566" s="108" t="s">
        <v>136</v>
      </c>
      <c r="G566" s="108"/>
      <c r="H566" s="108">
        <v>1</v>
      </c>
    </row>
    <row r="567" spans="1:8" ht="14">
      <c r="A567" s="108">
        <v>2002</v>
      </c>
      <c r="B567" s="108">
        <v>61</v>
      </c>
      <c r="C567" s="108" t="s">
        <v>138</v>
      </c>
      <c r="D567" s="108">
        <v>6312.3404213834401</v>
      </c>
      <c r="E567" s="108">
        <v>485.79137471104599</v>
      </c>
      <c r="F567" s="108" t="s">
        <v>135</v>
      </c>
      <c r="G567" s="108"/>
      <c r="H567" s="108">
        <v>1</v>
      </c>
    </row>
    <row r="568" spans="1:8" ht="14">
      <c r="A568" s="108">
        <v>2002</v>
      </c>
      <c r="B568" s="108">
        <v>61</v>
      </c>
      <c r="C568" s="108" t="s">
        <v>138</v>
      </c>
      <c r="D568" s="108">
        <v>13759.0105786165</v>
      </c>
      <c r="E568" s="108">
        <v>860.69062528895302</v>
      </c>
      <c r="F568" s="108" t="s">
        <v>136</v>
      </c>
      <c r="G568" s="108"/>
      <c r="H568" s="108">
        <v>1</v>
      </c>
    </row>
    <row r="569" spans="1:8" ht="14">
      <c r="A569" s="108">
        <v>2002</v>
      </c>
      <c r="B569" s="108">
        <v>61</v>
      </c>
      <c r="C569" s="108" t="s">
        <v>139</v>
      </c>
      <c r="D569" s="108">
        <v>10109.367981630199</v>
      </c>
      <c r="E569" s="108">
        <v>858.96402816241596</v>
      </c>
      <c r="F569" s="108" t="s">
        <v>136</v>
      </c>
      <c r="G569" s="108"/>
      <c r="H569" s="108">
        <v>1</v>
      </c>
    </row>
    <row r="570" spans="1:8" ht="14">
      <c r="A570" s="108">
        <v>2002</v>
      </c>
      <c r="B570" s="108">
        <v>61</v>
      </c>
      <c r="C570" s="108" t="s">
        <v>139</v>
      </c>
      <c r="D570" s="108">
        <v>5809.6100183697499</v>
      </c>
      <c r="E570" s="108">
        <v>478.19197183758303</v>
      </c>
      <c r="F570" s="108" t="s">
        <v>135</v>
      </c>
      <c r="G570" s="108"/>
      <c r="H570" s="108">
        <v>1</v>
      </c>
    </row>
    <row r="571" spans="1:8" ht="14">
      <c r="A571" s="108">
        <v>2002</v>
      </c>
      <c r="B571" s="108">
        <v>62</v>
      </c>
      <c r="C571" s="108" t="s">
        <v>30</v>
      </c>
      <c r="D571" s="108">
        <v>564.55941861331598</v>
      </c>
      <c r="E571" s="108">
        <v>13.047507229585401</v>
      </c>
      <c r="F571" s="108" t="s">
        <v>136</v>
      </c>
      <c r="G571" s="108"/>
      <c r="H571" s="108">
        <v>1</v>
      </c>
    </row>
    <row r="572" spans="1:8" ht="14">
      <c r="A572" s="108">
        <v>2002</v>
      </c>
      <c r="B572" s="108">
        <v>62</v>
      </c>
      <c r="C572" s="108" t="s">
        <v>30</v>
      </c>
      <c r="D572" s="108">
        <v>51.516581386682901</v>
      </c>
      <c r="E572" s="108">
        <v>19.670492770414501</v>
      </c>
      <c r="F572" s="108" t="s">
        <v>135</v>
      </c>
      <c r="G572" s="108"/>
      <c r="H572" s="108">
        <v>1</v>
      </c>
    </row>
    <row r="573" spans="1:8" ht="14">
      <c r="A573" s="108">
        <v>2002</v>
      </c>
      <c r="B573" s="108">
        <v>62</v>
      </c>
      <c r="C573" s="108" t="s">
        <v>138</v>
      </c>
      <c r="D573" s="108">
        <v>504.42742036924301</v>
      </c>
      <c r="E573" s="108">
        <v>5.2511911278905101</v>
      </c>
      <c r="F573" s="108" t="s">
        <v>136</v>
      </c>
      <c r="G573" s="108"/>
      <c r="H573" s="108">
        <v>1</v>
      </c>
    </row>
    <row r="574" spans="1:8" ht="14">
      <c r="A574" s="108">
        <v>2002</v>
      </c>
      <c r="B574" s="108">
        <v>62</v>
      </c>
      <c r="C574" s="108" t="s">
        <v>138</v>
      </c>
      <c r="D574" s="108">
        <v>32.194579630756699</v>
      </c>
      <c r="E574" s="108">
        <v>10.314808872109399</v>
      </c>
      <c r="F574" s="108" t="s">
        <v>135</v>
      </c>
      <c r="G574" s="108"/>
      <c r="H574" s="108">
        <v>1</v>
      </c>
    </row>
    <row r="575" spans="1:8" ht="14">
      <c r="A575" s="108">
        <v>2002</v>
      </c>
      <c r="B575" s="108">
        <v>62</v>
      </c>
      <c r="C575" s="108" t="s">
        <v>139</v>
      </c>
      <c r="D575" s="108">
        <v>19.322001755926198</v>
      </c>
      <c r="E575" s="108">
        <v>9.3556838983050792</v>
      </c>
      <c r="F575" s="108" t="s">
        <v>135</v>
      </c>
      <c r="G575" s="108"/>
      <c r="H575" s="108">
        <v>1</v>
      </c>
    </row>
    <row r="576" spans="1:8" ht="14">
      <c r="A576" s="108">
        <v>2002</v>
      </c>
      <c r="B576" s="108">
        <v>62</v>
      </c>
      <c r="C576" s="108" t="s">
        <v>139</v>
      </c>
      <c r="D576" s="108">
        <v>60.131998244073699</v>
      </c>
      <c r="E576" s="108">
        <v>7.7963161016949103</v>
      </c>
      <c r="F576" s="108" t="s">
        <v>136</v>
      </c>
      <c r="G576" s="108"/>
      <c r="H576" s="108">
        <v>1</v>
      </c>
    </row>
    <row r="577" spans="1:8" ht="14">
      <c r="A577" s="108">
        <v>2002</v>
      </c>
      <c r="B577" s="108">
        <v>63</v>
      </c>
      <c r="C577" s="108" t="s">
        <v>30</v>
      </c>
      <c r="D577" s="108">
        <v>7.74</v>
      </c>
      <c r="E577" s="108">
        <v>2.03530276631344</v>
      </c>
      <c r="F577" s="108" t="s">
        <v>135</v>
      </c>
      <c r="G577" s="108"/>
      <c r="H577" s="108">
        <v>1</v>
      </c>
    </row>
    <row r="578" spans="1:8" ht="14">
      <c r="A578" s="108">
        <v>2002</v>
      </c>
      <c r="B578" s="108">
        <v>63</v>
      </c>
      <c r="C578" s="108" t="s">
        <v>30</v>
      </c>
      <c r="D578" s="108">
        <v>5285.8289999999897</v>
      </c>
      <c r="E578" s="108">
        <v>345.65969723368602</v>
      </c>
      <c r="F578" s="108" t="s">
        <v>136</v>
      </c>
      <c r="G578" s="108"/>
      <c r="H578" s="108">
        <v>1</v>
      </c>
    </row>
    <row r="579" spans="1:8" ht="14">
      <c r="A579" s="108">
        <v>2002</v>
      </c>
      <c r="B579" s="108">
        <v>63</v>
      </c>
      <c r="C579" s="108" t="s">
        <v>138</v>
      </c>
      <c r="D579" s="108">
        <v>3398.23</v>
      </c>
      <c r="E579" s="108">
        <v>179.883671779141</v>
      </c>
      <c r="F579" s="108" t="s">
        <v>136</v>
      </c>
      <c r="G579" s="108"/>
      <c r="H579" s="108">
        <v>1</v>
      </c>
    </row>
    <row r="580" spans="1:8" ht="14">
      <c r="A580" s="108">
        <v>2002</v>
      </c>
      <c r="B580" s="108">
        <v>63</v>
      </c>
      <c r="C580" s="108" t="s">
        <v>138</v>
      </c>
      <c r="D580" s="108">
        <v>7.2270000000000003</v>
      </c>
      <c r="E580" s="108">
        <v>1.5013282208588901</v>
      </c>
      <c r="F580" s="108" t="s">
        <v>135</v>
      </c>
      <c r="G580" s="108"/>
      <c r="H580" s="108">
        <v>1</v>
      </c>
    </row>
    <row r="581" spans="1:8" ht="14">
      <c r="A581" s="108">
        <v>2002</v>
      </c>
      <c r="B581" s="108">
        <v>63</v>
      </c>
      <c r="C581" s="108" t="s">
        <v>139</v>
      </c>
      <c r="D581" s="108">
        <v>0.51300000000000001</v>
      </c>
      <c r="E581" s="108">
        <v>0.53397454545454504</v>
      </c>
      <c r="F581" s="108" t="s">
        <v>135</v>
      </c>
      <c r="G581" s="108"/>
      <c r="H581" s="108">
        <v>1</v>
      </c>
    </row>
    <row r="582" spans="1:8" ht="14">
      <c r="A582" s="108">
        <v>2002</v>
      </c>
      <c r="B582" s="108">
        <v>63</v>
      </c>
      <c r="C582" s="108" t="s">
        <v>139</v>
      </c>
      <c r="D582" s="108">
        <v>1887.5989999999999</v>
      </c>
      <c r="E582" s="108">
        <v>165.77602545454499</v>
      </c>
      <c r="F582" s="108" t="s">
        <v>136</v>
      </c>
      <c r="G582" s="108"/>
      <c r="H582" s="108">
        <v>1</v>
      </c>
    </row>
    <row r="583" spans="1:8" ht="14">
      <c r="A583" s="108">
        <v>2002</v>
      </c>
      <c r="B583" s="108">
        <v>69</v>
      </c>
      <c r="C583" s="108" t="s">
        <v>30</v>
      </c>
      <c r="D583" s="108">
        <v>444.435719514661</v>
      </c>
      <c r="E583" s="108">
        <v>37.856313960833802</v>
      </c>
      <c r="F583" s="108" t="s">
        <v>135</v>
      </c>
      <c r="G583" s="108"/>
      <c r="H583" s="108">
        <v>1</v>
      </c>
    </row>
    <row r="584" spans="1:8" ht="14">
      <c r="A584" s="108">
        <v>2002</v>
      </c>
      <c r="B584" s="108">
        <v>69</v>
      </c>
      <c r="C584" s="108" t="s">
        <v>30</v>
      </c>
      <c r="D584" s="108">
        <v>35.323280485338699</v>
      </c>
      <c r="E584" s="108">
        <v>3.6106860391661302</v>
      </c>
      <c r="F584" s="108" t="s">
        <v>136</v>
      </c>
      <c r="G584" s="108"/>
      <c r="H584" s="108">
        <v>1</v>
      </c>
    </row>
    <row r="585" spans="1:8" ht="14">
      <c r="A585" s="108">
        <v>2002</v>
      </c>
      <c r="B585" s="108">
        <v>69</v>
      </c>
      <c r="C585" s="108" t="s">
        <v>138</v>
      </c>
      <c r="D585" s="108">
        <v>10.160280485338699</v>
      </c>
      <c r="E585" s="108">
        <v>1.0606860391661399</v>
      </c>
      <c r="F585" s="108" t="s">
        <v>136</v>
      </c>
      <c r="G585" s="108"/>
      <c r="H585" s="108">
        <v>1</v>
      </c>
    </row>
    <row r="586" spans="1:8" ht="14">
      <c r="A586" s="108">
        <v>2002</v>
      </c>
      <c r="B586" s="108">
        <v>69</v>
      </c>
      <c r="C586" s="108" t="s">
        <v>138</v>
      </c>
      <c r="D586" s="108">
        <v>224.83871951466099</v>
      </c>
      <c r="E586" s="108">
        <v>19.490313960833799</v>
      </c>
      <c r="F586" s="108" t="s">
        <v>135</v>
      </c>
      <c r="G586" s="108"/>
      <c r="H586" s="108">
        <v>1</v>
      </c>
    </row>
    <row r="587" spans="1:8" ht="14">
      <c r="A587" s="108">
        <v>2002</v>
      </c>
      <c r="B587" s="108">
        <v>69</v>
      </c>
      <c r="C587" s="108" t="s">
        <v>139</v>
      </c>
      <c r="D587" s="108">
        <v>25.163</v>
      </c>
      <c r="E587" s="108">
        <v>2.5499999999999901</v>
      </c>
      <c r="F587" s="108" t="s">
        <v>136</v>
      </c>
      <c r="G587" s="108"/>
      <c r="H587" s="108">
        <v>1</v>
      </c>
    </row>
    <row r="588" spans="1:8" ht="14">
      <c r="A588" s="108">
        <v>2002</v>
      </c>
      <c r="B588" s="108">
        <v>69</v>
      </c>
      <c r="C588" s="108" t="s">
        <v>139</v>
      </c>
      <c r="D588" s="108">
        <v>219.59699999999901</v>
      </c>
      <c r="E588" s="108">
        <v>18.366</v>
      </c>
      <c r="F588" s="108" t="s">
        <v>135</v>
      </c>
      <c r="G588" s="108"/>
      <c r="H588" s="108">
        <v>1</v>
      </c>
    </row>
    <row r="589" spans="1:8" ht="14">
      <c r="A589" s="108">
        <v>2002</v>
      </c>
      <c r="B589" s="108">
        <v>91</v>
      </c>
      <c r="C589" s="108" t="s">
        <v>30</v>
      </c>
      <c r="D589" s="108">
        <v>9890.8931095370608</v>
      </c>
      <c r="E589" s="108">
        <v>0</v>
      </c>
      <c r="F589" s="108" t="s">
        <v>136</v>
      </c>
      <c r="G589" s="108"/>
      <c r="H589" s="108">
        <v>1</v>
      </c>
    </row>
    <row r="590" spans="1:8" ht="14">
      <c r="A590" s="108">
        <v>2002</v>
      </c>
      <c r="B590" s="108">
        <v>91</v>
      </c>
      <c r="C590" s="108" t="s">
        <v>30</v>
      </c>
      <c r="D590" s="108">
        <v>274.02983649233198</v>
      </c>
      <c r="E590" s="108">
        <v>0</v>
      </c>
      <c r="F590" s="108" t="s">
        <v>135</v>
      </c>
      <c r="G590" s="108"/>
      <c r="H590" s="108">
        <v>1</v>
      </c>
    </row>
    <row r="591" spans="1:8" ht="14">
      <c r="A591" s="108">
        <v>2002</v>
      </c>
      <c r="B591" s="108">
        <v>91</v>
      </c>
      <c r="C591" s="108" t="s">
        <v>30</v>
      </c>
      <c r="D591" s="108">
        <v>25.709053970602898</v>
      </c>
      <c r="E591" s="108">
        <v>0</v>
      </c>
      <c r="F591" s="108" t="s">
        <v>137</v>
      </c>
      <c r="G591" s="108"/>
      <c r="H591" s="108">
        <v>1</v>
      </c>
    </row>
    <row r="592" spans="1:8" ht="14">
      <c r="A592" s="108">
        <v>2002</v>
      </c>
      <c r="B592" s="108">
        <v>91</v>
      </c>
      <c r="C592" s="108" t="s">
        <v>138</v>
      </c>
      <c r="D592" s="108">
        <v>2.9853807032761699</v>
      </c>
      <c r="E592" s="108">
        <v>0</v>
      </c>
      <c r="F592" s="108" t="s">
        <v>137</v>
      </c>
      <c r="G592" s="108"/>
      <c r="H592" s="108">
        <v>1</v>
      </c>
    </row>
    <row r="593" spans="1:8" ht="14">
      <c r="A593" s="108">
        <v>2002</v>
      </c>
      <c r="B593" s="108">
        <v>91</v>
      </c>
      <c r="C593" s="108" t="s">
        <v>138</v>
      </c>
      <c r="D593" s="108">
        <v>10.408598246344001</v>
      </c>
      <c r="E593" s="108">
        <v>0</v>
      </c>
      <c r="F593" s="108" t="s">
        <v>135</v>
      </c>
      <c r="G593" s="108"/>
      <c r="H593" s="108">
        <v>1</v>
      </c>
    </row>
    <row r="594" spans="1:8" ht="14">
      <c r="A594" s="108">
        <v>2002</v>
      </c>
      <c r="B594" s="108">
        <v>91</v>
      </c>
      <c r="C594" s="108" t="s">
        <v>138</v>
      </c>
      <c r="D594" s="108">
        <v>9864.1830210503795</v>
      </c>
      <c r="E594" s="108">
        <v>0</v>
      </c>
      <c r="F594" s="108" t="s">
        <v>136</v>
      </c>
      <c r="G594" s="108"/>
      <c r="H594" s="108">
        <v>1</v>
      </c>
    </row>
    <row r="595" spans="1:8" ht="14">
      <c r="A595" s="108">
        <v>2002</v>
      </c>
      <c r="B595" s="108">
        <v>91</v>
      </c>
      <c r="C595" s="108" t="s">
        <v>139</v>
      </c>
      <c r="D595" s="108">
        <v>263.62123824598802</v>
      </c>
      <c r="E595" s="108">
        <v>0</v>
      </c>
      <c r="F595" s="108" t="s">
        <v>135</v>
      </c>
      <c r="G595" s="108"/>
      <c r="H595" s="108">
        <v>1</v>
      </c>
    </row>
    <row r="596" spans="1:8" ht="14">
      <c r="A596" s="108">
        <v>2002</v>
      </c>
      <c r="B596" s="108">
        <v>91</v>
      </c>
      <c r="C596" s="108" t="s">
        <v>139</v>
      </c>
      <c r="D596" s="108">
        <v>22.723673267326699</v>
      </c>
      <c r="E596" s="108">
        <v>0</v>
      </c>
      <c r="F596" s="108" t="s">
        <v>137</v>
      </c>
      <c r="G596" s="108"/>
      <c r="H596" s="108">
        <v>1</v>
      </c>
    </row>
    <row r="597" spans="1:8" ht="14">
      <c r="A597" s="108">
        <v>2002</v>
      </c>
      <c r="B597" s="108">
        <v>91</v>
      </c>
      <c r="C597" s="108" t="s">
        <v>139</v>
      </c>
      <c r="D597" s="108">
        <v>26.710088486684398</v>
      </c>
      <c r="E597" s="108">
        <v>0</v>
      </c>
      <c r="F597" s="108" t="s">
        <v>136</v>
      </c>
      <c r="G597" s="108"/>
      <c r="H597" s="108">
        <v>1</v>
      </c>
    </row>
    <row r="598" spans="1:8" ht="14">
      <c r="A598" s="108">
        <v>2002</v>
      </c>
      <c r="B598" s="108">
        <v>92</v>
      </c>
      <c r="C598" s="108" t="s">
        <v>30</v>
      </c>
      <c r="D598" s="108">
        <v>433.39824817302502</v>
      </c>
      <c r="E598" s="108">
        <v>0</v>
      </c>
      <c r="F598" s="108" t="s">
        <v>135</v>
      </c>
      <c r="G598" s="108"/>
      <c r="H598" s="108">
        <v>1</v>
      </c>
    </row>
    <row r="599" spans="1:8" ht="14">
      <c r="A599" s="108">
        <v>2002</v>
      </c>
      <c r="B599" s="108">
        <v>92</v>
      </c>
      <c r="C599" s="108" t="s">
        <v>30</v>
      </c>
      <c r="D599" s="108">
        <v>9808.8032557193401</v>
      </c>
      <c r="E599" s="108">
        <v>0</v>
      </c>
      <c r="F599" s="108" t="s">
        <v>136</v>
      </c>
      <c r="G599" s="108"/>
      <c r="H599" s="108">
        <v>1</v>
      </c>
    </row>
    <row r="600" spans="1:8" ht="14">
      <c r="A600" s="108">
        <v>2002</v>
      </c>
      <c r="B600" s="108">
        <v>92</v>
      </c>
      <c r="C600" s="108" t="s">
        <v>30</v>
      </c>
      <c r="D600" s="108">
        <v>19.177496107625402</v>
      </c>
      <c r="E600" s="108">
        <v>0</v>
      </c>
      <c r="F600" s="108" t="s">
        <v>137</v>
      </c>
      <c r="G600" s="108"/>
      <c r="H600" s="108">
        <v>1</v>
      </c>
    </row>
    <row r="601" spans="1:8" ht="14">
      <c r="A601" s="108">
        <v>2002</v>
      </c>
      <c r="B601" s="108">
        <v>92</v>
      </c>
      <c r="C601" s="108" t="s">
        <v>138</v>
      </c>
      <c r="D601" s="108">
        <v>6576.2347419074504</v>
      </c>
      <c r="E601" s="108">
        <v>0</v>
      </c>
      <c r="F601" s="108" t="s">
        <v>136</v>
      </c>
      <c r="G601" s="108"/>
      <c r="H601" s="108">
        <v>1</v>
      </c>
    </row>
    <row r="602" spans="1:8" ht="14">
      <c r="A602" s="108">
        <v>2002</v>
      </c>
      <c r="B602" s="108">
        <v>92</v>
      </c>
      <c r="C602" s="108" t="s">
        <v>138</v>
      </c>
      <c r="D602" s="108">
        <v>11.999496107625401</v>
      </c>
      <c r="E602" s="108">
        <v>0</v>
      </c>
      <c r="F602" s="108" t="s">
        <v>137</v>
      </c>
      <c r="G602" s="108"/>
      <c r="H602" s="108">
        <v>1</v>
      </c>
    </row>
    <row r="603" spans="1:8" ht="14">
      <c r="A603" s="108">
        <v>2002</v>
      </c>
      <c r="B603" s="108">
        <v>92</v>
      </c>
      <c r="C603" s="108" t="s">
        <v>138</v>
      </c>
      <c r="D603" s="108">
        <v>164.03876198491699</v>
      </c>
      <c r="E603" s="108">
        <v>0</v>
      </c>
      <c r="F603" s="108" t="s">
        <v>135</v>
      </c>
      <c r="G603" s="108"/>
      <c r="H603" s="108">
        <v>1</v>
      </c>
    </row>
    <row r="604" spans="1:8" ht="14">
      <c r="A604" s="108">
        <v>2002</v>
      </c>
      <c r="B604" s="108">
        <v>92</v>
      </c>
      <c r="C604" s="108" t="s">
        <v>139</v>
      </c>
      <c r="D604" s="108">
        <v>269.35948618810801</v>
      </c>
      <c r="E604" s="108">
        <v>0</v>
      </c>
      <c r="F604" s="108" t="s">
        <v>135</v>
      </c>
      <c r="G604" s="108"/>
      <c r="H604" s="108">
        <v>1</v>
      </c>
    </row>
    <row r="605" spans="1:8" ht="14">
      <c r="A605" s="108">
        <v>2002</v>
      </c>
      <c r="B605" s="108">
        <v>92</v>
      </c>
      <c r="C605" s="108" t="s">
        <v>139</v>
      </c>
      <c r="D605" s="108">
        <v>3232.5685138118902</v>
      </c>
      <c r="E605" s="108">
        <v>0</v>
      </c>
      <c r="F605" s="108" t="s">
        <v>136</v>
      </c>
      <c r="G605" s="108"/>
      <c r="H605" s="108">
        <v>1</v>
      </c>
    </row>
    <row r="606" spans="1:8" ht="14">
      <c r="A606" s="108">
        <v>2002</v>
      </c>
      <c r="B606" s="108">
        <v>92</v>
      </c>
      <c r="C606" s="108" t="s">
        <v>139</v>
      </c>
      <c r="D606" s="108">
        <v>7.1779999999999999</v>
      </c>
      <c r="E606" s="108">
        <v>0</v>
      </c>
      <c r="F606" s="108" t="s">
        <v>137</v>
      </c>
      <c r="G606" s="108"/>
      <c r="H606" s="108">
        <v>1</v>
      </c>
    </row>
    <row r="607" spans="1:8" ht="14">
      <c r="A607" s="108">
        <v>2002</v>
      </c>
      <c r="B607" s="108">
        <v>99</v>
      </c>
      <c r="C607" s="108" t="s">
        <v>30</v>
      </c>
      <c r="D607" s="108">
        <v>29.4654157218487</v>
      </c>
      <c r="E607" s="108">
        <v>0</v>
      </c>
      <c r="F607" s="108" t="s">
        <v>137</v>
      </c>
      <c r="G607" s="108"/>
      <c r="H607" s="108">
        <v>1</v>
      </c>
    </row>
    <row r="608" spans="1:8" ht="14">
      <c r="A608" s="108">
        <v>2002</v>
      </c>
      <c r="B608" s="108">
        <v>99</v>
      </c>
      <c r="C608" s="108" t="s">
        <v>30</v>
      </c>
      <c r="D608" s="108">
        <v>5230.0219873666101</v>
      </c>
      <c r="E608" s="108">
        <v>0</v>
      </c>
      <c r="F608" s="108" t="s">
        <v>136</v>
      </c>
      <c r="G608" s="108"/>
      <c r="H608" s="108">
        <v>1</v>
      </c>
    </row>
    <row r="609" spans="1:8" ht="14">
      <c r="A609" s="108">
        <v>2002</v>
      </c>
      <c r="B609" s="108">
        <v>99</v>
      </c>
      <c r="C609" s="108" t="s">
        <v>30</v>
      </c>
      <c r="D609" s="108">
        <v>1425.89359691153</v>
      </c>
      <c r="E609" s="108">
        <v>0</v>
      </c>
      <c r="F609" s="108" t="s">
        <v>135</v>
      </c>
      <c r="G609" s="108"/>
      <c r="H609" s="108">
        <v>1</v>
      </c>
    </row>
    <row r="610" spans="1:8" ht="14">
      <c r="A610" s="108">
        <v>2002</v>
      </c>
      <c r="B610" s="108">
        <v>99</v>
      </c>
      <c r="C610" s="108" t="s">
        <v>138</v>
      </c>
      <c r="D610" s="108">
        <v>5.4454157218487502</v>
      </c>
      <c r="E610" s="108">
        <v>0</v>
      </c>
      <c r="F610" s="108" t="s">
        <v>137</v>
      </c>
      <c r="G610" s="108"/>
      <c r="H610" s="108">
        <v>1</v>
      </c>
    </row>
    <row r="611" spans="1:8" ht="14">
      <c r="A611" s="108">
        <v>2002</v>
      </c>
      <c r="B611" s="108">
        <v>99</v>
      </c>
      <c r="C611" s="108" t="s">
        <v>138</v>
      </c>
      <c r="D611" s="108">
        <v>3600.49691706575</v>
      </c>
      <c r="E611" s="108">
        <v>0</v>
      </c>
      <c r="F611" s="108" t="s">
        <v>136</v>
      </c>
      <c r="G611" s="108"/>
      <c r="H611" s="108">
        <v>1</v>
      </c>
    </row>
    <row r="612" spans="1:8" ht="14">
      <c r="A612" s="108">
        <v>2002</v>
      </c>
      <c r="B612" s="108">
        <v>99</v>
      </c>
      <c r="C612" s="108" t="s">
        <v>138</v>
      </c>
      <c r="D612" s="108">
        <v>557.19666721239503</v>
      </c>
      <c r="E612" s="108">
        <v>0</v>
      </c>
      <c r="F612" s="108" t="s">
        <v>135</v>
      </c>
      <c r="G612" s="108"/>
      <c r="H612" s="108">
        <v>1</v>
      </c>
    </row>
    <row r="613" spans="1:8" ht="14">
      <c r="A613" s="108">
        <v>2002</v>
      </c>
      <c r="B613" s="108">
        <v>99</v>
      </c>
      <c r="C613" s="108" t="s">
        <v>139</v>
      </c>
      <c r="D613" s="108">
        <v>24.02</v>
      </c>
      <c r="E613" s="108">
        <v>0</v>
      </c>
      <c r="F613" s="108" t="s">
        <v>137</v>
      </c>
      <c r="G613" s="108"/>
      <c r="H613" s="108">
        <v>1</v>
      </c>
    </row>
    <row r="614" spans="1:8" ht="14">
      <c r="A614" s="108">
        <v>2002</v>
      </c>
      <c r="B614" s="108">
        <v>99</v>
      </c>
      <c r="C614" s="108" t="s">
        <v>139</v>
      </c>
      <c r="D614" s="108">
        <v>868.69692969914195</v>
      </c>
      <c r="E614" s="108">
        <v>0</v>
      </c>
      <c r="F614" s="108" t="s">
        <v>135</v>
      </c>
      <c r="G614" s="108"/>
      <c r="H614" s="108">
        <v>1</v>
      </c>
    </row>
    <row r="615" spans="1:8" ht="14">
      <c r="A615" s="108">
        <v>2002</v>
      </c>
      <c r="B615" s="108">
        <v>99</v>
      </c>
      <c r="C615" s="108" t="s">
        <v>139</v>
      </c>
      <c r="D615" s="108">
        <v>1629.5250703008501</v>
      </c>
      <c r="E615" s="108">
        <v>0</v>
      </c>
      <c r="F615" s="108" t="s">
        <v>136</v>
      </c>
      <c r="G615" s="108"/>
      <c r="H615" s="108">
        <v>1</v>
      </c>
    </row>
    <row r="616" spans="1:8" ht="14">
      <c r="A616" s="108">
        <v>2003</v>
      </c>
      <c r="B616" s="108">
        <v>11</v>
      </c>
      <c r="C616" s="108" t="s">
        <v>30</v>
      </c>
      <c r="D616" s="108">
        <v>2067.38855171574</v>
      </c>
      <c r="E616" s="108">
        <v>0</v>
      </c>
      <c r="F616" s="108" t="s">
        <v>135</v>
      </c>
      <c r="G616" s="108"/>
      <c r="H616" s="108">
        <v>1</v>
      </c>
    </row>
    <row r="617" spans="1:8" ht="14">
      <c r="A617" s="108">
        <v>2003</v>
      </c>
      <c r="B617" s="108">
        <v>11</v>
      </c>
      <c r="C617" s="108" t="s">
        <v>30</v>
      </c>
      <c r="D617" s="108">
        <v>5471.7134568329202</v>
      </c>
      <c r="E617" s="108">
        <v>0</v>
      </c>
      <c r="F617" s="108" t="s">
        <v>136</v>
      </c>
      <c r="G617" s="108"/>
      <c r="H617" s="108">
        <v>1</v>
      </c>
    </row>
    <row r="618" spans="1:8" ht="14">
      <c r="A618" s="108">
        <v>2003</v>
      </c>
      <c r="B618" s="108">
        <v>11</v>
      </c>
      <c r="C618" s="108" t="s">
        <v>30</v>
      </c>
      <c r="D618" s="108">
        <v>3.8539914513362401</v>
      </c>
      <c r="E618" s="108">
        <v>0</v>
      </c>
      <c r="F618" s="108" t="s">
        <v>137</v>
      </c>
      <c r="G618" s="108"/>
      <c r="H618" s="108">
        <v>1</v>
      </c>
    </row>
    <row r="619" spans="1:8" ht="14">
      <c r="A619" s="108">
        <v>2003</v>
      </c>
      <c r="B619" s="108">
        <v>11</v>
      </c>
      <c r="C619" s="108" t="s">
        <v>138</v>
      </c>
      <c r="D619" s="108">
        <v>879.28776945280401</v>
      </c>
      <c r="E619" s="108">
        <v>0</v>
      </c>
      <c r="F619" s="108" t="s">
        <v>135</v>
      </c>
      <c r="G619" s="108"/>
      <c r="H619" s="108">
        <v>1</v>
      </c>
    </row>
    <row r="620" spans="1:8" ht="14">
      <c r="A620" s="108">
        <v>2003</v>
      </c>
      <c r="B620" s="108">
        <v>11</v>
      </c>
      <c r="C620" s="108" t="s">
        <v>138</v>
      </c>
      <c r="D620" s="108">
        <v>708.16423054719496</v>
      </c>
      <c r="E620" s="108">
        <v>0</v>
      </c>
      <c r="F620" s="108" t="s">
        <v>136</v>
      </c>
      <c r="G620" s="108"/>
      <c r="H620" s="108">
        <v>1</v>
      </c>
    </row>
    <row r="621" spans="1:8" ht="14">
      <c r="A621" s="108">
        <v>2003</v>
      </c>
      <c r="B621" s="108">
        <v>11</v>
      </c>
      <c r="C621" s="108" t="s">
        <v>139</v>
      </c>
      <c r="D621" s="108">
        <v>4763.5492262857197</v>
      </c>
      <c r="E621" s="108">
        <v>0</v>
      </c>
      <c r="F621" s="108" t="s">
        <v>136</v>
      </c>
      <c r="G621" s="108"/>
      <c r="H621" s="108">
        <v>1</v>
      </c>
    </row>
    <row r="622" spans="1:8" ht="14">
      <c r="A622" s="108">
        <v>2003</v>
      </c>
      <c r="B622" s="108">
        <v>11</v>
      </c>
      <c r="C622" s="108" t="s">
        <v>139</v>
      </c>
      <c r="D622" s="108">
        <v>3.8539914513362401</v>
      </c>
      <c r="E622" s="108">
        <v>0</v>
      </c>
      <c r="F622" s="108" t="s">
        <v>137</v>
      </c>
      <c r="G622" s="108"/>
      <c r="H622" s="108">
        <v>1</v>
      </c>
    </row>
    <row r="623" spans="1:8" ht="14">
      <c r="A623" s="108">
        <v>2003</v>
      </c>
      <c r="B623" s="108">
        <v>11</v>
      </c>
      <c r="C623" s="108" t="s">
        <v>139</v>
      </c>
      <c r="D623" s="108">
        <v>1188.1007822629299</v>
      </c>
      <c r="E623" s="108">
        <v>0</v>
      </c>
      <c r="F623" s="108" t="s">
        <v>135</v>
      </c>
      <c r="G623" s="108"/>
      <c r="H623" s="108">
        <v>1</v>
      </c>
    </row>
    <row r="624" spans="1:8" ht="14">
      <c r="A624" s="108">
        <v>2003</v>
      </c>
      <c r="B624" s="108">
        <v>12</v>
      </c>
      <c r="C624" s="108" t="s">
        <v>30</v>
      </c>
      <c r="D624" s="108">
        <v>60584.514508436303</v>
      </c>
      <c r="E624" s="108">
        <v>0</v>
      </c>
      <c r="F624" s="108" t="s">
        <v>135</v>
      </c>
      <c r="G624" s="108"/>
      <c r="H624" s="108">
        <v>1</v>
      </c>
    </row>
    <row r="625" spans="1:8" ht="14">
      <c r="A625" s="108">
        <v>2003</v>
      </c>
      <c r="B625" s="108">
        <v>12</v>
      </c>
      <c r="C625" s="108" t="s">
        <v>30</v>
      </c>
      <c r="D625" s="108">
        <v>99734.376491563598</v>
      </c>
      <c r="E625" s="108">
        <v>0</v>
      </c>
      <c r="F625" s="108" t="s">
        <v>136</v>
      </c>
      <c r="G625" s="108"/>
      <c r="H625" s="108">
        <v>1</v>
      </c>
    </row>
    <row r="626" spans="1:8" ht="14">
      <c r="A626" s="108">
        <v>2003</v>
      </c>
      <c r="B626" s="108">
        <v>12</v>
      </c>
      <c r="C626" s="108" t="s">
        <v>138</v>
      </c>
      <c r="D626" s="108">
        <v>35053.829273359501</v>
      </c>
      <c r="E626" s="108">
        <v>0</v>
      </c>
      <c r="F626" s="108" t="s">
        <v>136</v>
      </c>
      <c r="G626" s="108"/>
      <c r="H626" s="108">
        <v>1</v>
      </c>
    </row>
    <row r="627" spans="1:8" ht="14">
      <c r="A627" s="108">
        <v>2003</v>
      </c>
      <c r="B627" s="108">
        <v>12</v>
      </c>
      <c r="C627" s="108" t="s">
        <v>138</v>
      </c>
      <c r="D627" s="108">
        <v>42278.752726640399</v>
      </c>
      <c r="E627" s="108">
        <v>0</v>
      </c>
      <c r="F627" s="108" t="s">
        <v>135</v>
      </c>
      <c r="G627" s="108"/>
      <c r="H627" s="108">
        <v>1</v>
      </c>
    </row>
    <row r="628" spans="1:8" ht="14">
      <c r="A628" s="108">
        <v>2003</v>
      </c>
      <c r="B628" s="108">
        <v>12</v>
      </c>
      <c r="C628" s="108" t="s">
        <v>139</v>
      </c>
      <c r="D628" s="108">
        <v>18305.7617817959</v>
      </c>
      <c r="E628" s="108">
        <v>0</v>
      </c>
      <c r="F628" s="108" t="s">
        <v>135</v>
      </c>
      <c r="G628" s="108"/>
      <c r="H628" s="108">
        <v>1</v>
      </c>
    </row>
    <row r="629" spans="1:8" ht="14">
      <c r="A629" s="108">
        <v>2003</v>
      </c>
      <c r="B629" s="108">
        <v>12</v>
      </c>
      <c r="C629" s="108" t="s">
        <v>139</v>
      </c>
      <c r="D629" s="108">
        <v>64680.547218204098</v>
      </c>
      <c r="E629" s="108">
        <v>0</v>
      </c>
      <c r="F629" s="108" t="s">
        <v>136</v>
      </c>
      <c r="G629" s="108"/>
      <c r="H629" s="108">
        <v>1</v>
      </c>
    </row>
    <row r="630" spans="1:8" ht="14">
      <c r="A630" s="108">
        <v>2003</v>
      </c>
      <c r="B630" s="108">
        <v>13</v>
      </c>
      <c r="C630" s="108" t="s">
        <v>30</v>
      </c>
      <c r="D630" s="108">
        <v>12.691228245026601</v>
      </c>
      <c r="E630" s="108">
        <v>0</v>
      </c>
      <c r="F630" s="108" t="s">
        <v>137</v>
      </c>
      <c r="G630" s="108"/>
      <c r="H630" s="108">
        <v>1</v>
      </c>
    </row>
    <row r="631" spans="1:8" ht="14">
      <c r="A631" s="108">
        <v>2003</v>
      </c>
      <c r="B631" s="108">
        <v>13</v>
      </c>
      <c r="C631" s="108" t="s">
        <v>30</v>
      </c>
      <c r="D631" s="108">
        <v>29179.732486539298</v>
      </c>
      <c r="E631" s="108">
        <v>0</v>
      </c>
      <c r="F631" s="108" t="s">
        <v>135</v>
      </c>
      <c r="G631" s="108"/>
      <c r="H631" s="108">
        <v>1</v>
      </c>
    </row>
    <row r="632" spans="1:8" ht="14">
      <c r="A632" s="108">
        <v>2003</v>
      </c>
      <c r="B632" s="108">
        <v>13</v>
      </c>
      <c r="C632" s="108" t="s">
        <v>30</v>
      </c>
      <c r="D632" s="108">
        <v>51158.589285215603</v>
      </c>
      <c r="E632" s="108">
        <v>0</v>
      </c>
      <c r="F632" s="108" t="s">
        <v>136</v>
      </c>
      <c r="G632" s="108"/>
      <c r="H632" s="108">
        <v>1</v>
      </c>
    </row>
    <row r="633" spans="1:8" ht="14">
      <c r="A633" s="108">
        <v>2003</v>
      </c>
      <c r="B633" s="108">
        <v>13</v>
      </c>
      <c r="C633" s="108" t="s">
        <v>138</v>
      </c>
      <c r="D633" s="108">
        <v>23887.984143337198</v>
      </c>
      <c r="E633" s="108">
        <v>0</v>
      </c>
      <c r="F633" s="108" t="s">
        <v>136</v>
      </c>
      <c r="G633" s="108"/>
      <c r="H633" s="108">
        <v>1</v>
      </c>
    </row>
    <row r="634" spans="1:8" ht="14">
      <c r="A634" s="108">
        <v>2003</v>
      </c>
      <c r="B634" s="108">
        <v>13</v>
      </c>
      <c r="C634" s="108" t="s">
        <v>138</v>
      </c>
      <c r="D634" s="108">
        <v>13735.486600324701</v>
      </c>
      <c r="E634" s="108">
        <v>0</v>
      </c>
      <c r="F634" s="108" t="s">
        <v>135</v>
      </c>
      <c r="G634" s="108"/>
      <c r="H634" s="108">
        <v>1</v>
      </c>
    </row>
    <row r="635" spans="1:8" ht="14">
      <c r="A635" s="108">
        <v>2003</v>
      </c>
      <c r="B635" s="108">
        <v>13</v>
      </c>
      <c r="C635" s="108" t="s">
        <v>138</v>
      </c>
      <c r="D635" s="108">
        <v>4.8562563379851902</v>
      </c>
      <c r="E635" s="108">
        <v>0</v>
      </c>
      <c r="F635" s="108" t="s">
        <v>137</v>
      </c>
      <c r="G635" s="108"/>
      <c r="H635" s="108">
        <v>1</v>
      </c>
    </row>
    <row r="636" spans="1:8" ht="14">
      <c r="A636" s="108">
        <v>2003</v>
      </c>
      <c r="B636" s="108">
        <v>13</v>
      </c>
      <c r="C636" s="108" t="s">
        <v>139</v>
      </c>
      <c r="D636" s="108">
        <v>7.8349719070414698</v>
      </c>
      <c r="E636" s="108">
        <v>0</v>
      </c>
      <c r="F636" s="108" t="s">
        <v>137</v>
      </c>
      <c r="G636" s="108"/>
      <c r="H636" s="108">
        <v>1</v>
      </c>
    </row>
    <row r="637" spans="1:8" ht="14">
      <c r="A637" s="108">
        <v>2003</v>
      </c>
      <c r="B637" s="108">
        <v>13</v>
      </c>
      <c r="C637" s="108" t="s">
        <v>139</v>
      </c>
      <c r="D637" s="108">
        <v>15444.245886214499</v>
      </c>
      <c r="E637" s="108">
        <v>0</v>
      </c>
      <c r="F637" s="108" t="s">
        <v>135</v>
      </c>
      <c r="G637" s="108"/>
      <c r="H637" s="108">
        <v>1</v>
      </c>
    </row>
    <row r="638" spans="1:8" ht="14">
      <c r="A638" s="108">
        <v>2003</v>
      </c>
      <c r="B638" s="108">
        <v>13</v>
      </c>
      <c r="C638" s="108" t="s">
        <v>139</v>
      </c>
      <c r="D638" s="108">
        <v>27270.605141878401</v>
      </c>
      <c r="E638" s="108">
        <v>0</v>
      </c>
      <c r="F638" s="108" t="s">
        <v>136</v>
      </c>
      <c r="G638" s="108"/>
      <c r="H638" s="108">
        <v>1</v>
      </c>
    </row>
    <row r="639" spans="1:8" ht="14">
      <c r="A639" s="108">
        <v>2003</v>
      </c>
      <c r="B639" s="108">
        <v>19</v>
      </c>
      <c r="C639" s="108" t="s">
        <v>30</v>
      </c>
      <c r="D639" s="108">
        <v>10107.8902629554</v>
      </c>
      <c r="E639" s="108">
        <v>0</v>
      </c>
      <c r="F639" s="108" t="s">
        <v>136</v>
      </c>
      <c r="G639" s="108"/>
      <c r="H639" s="108">
        <v>1</v>
      </c>
    </row>
    <row r="640" spans="1:8" ht="14">
      <c r="A640" s="108">
        <v>2003</v>
      </c>
      <c r="B640" s="108">
        <v>19</v>
      </c>
      <c r="C640" s="108" t="s">
        <v>30</v>
      </c>
      <c r="D640" s="108">
        <v>1950.03151338062</v>
      </c>
      <c r="E640" s="108">
        <v>0</v>
      </c>
      <c r="F640" s="108" t="s">
        <v>135</v>
      </c>
      <c r="G640" s="108"/>
      <c r="H640" s="108">
        <v>1</v>
      </c>
    </row>
    <row r="641" spans="1:8" ht="14">
      <c r="A641" s="108">
        <v>2003</v>
      </c>
      <c r="B641" s="108">
        <v>19</v>
      </c>
      <c r="C641" s="108" t="s">
        <v>30</v>
      </c>
      <c r="D641" s="108">
        <v>28.630223663906499</v>
      </c>
      <c r="E641" s="108">
        <v>0</v>
      </c>
      <c r="F641" s="108" t="s">
        <v>137</v>
      </c>
      <c r="G641" s="108"/>
      <c r="H641" s="108">
        <v>1</v>
      </c>
    </row>
    <row r="642" spans="1:8" ht="14">
      <c r="A642" s="108">
        <v>2003</v>
      </c>
      <c r="B642" s="108">
        <v>19</v>
      </c>
      <c r="C642" s="108" t="s">
        <v>138</v>
      </c>
      <c r="D642" s="108">
        <v>11.6017520700162</v>
      </c>
      <c r="E642" s="108">
        <v>0</v>
      </c>
      <c r="F642" s="108" t="s">
        <v>137</v>
      </c>
      <c r="G642" s="108"/>
      <c r="H642" s="108">
        <v>1</v>
      </c>
    </row>
    <row r="643" spans="1:8" ht="14">
      <c r="A643" s="108">
        <v>2003</v>
      </c>
      <c r="B643" s="108">
        <v>19</v>
      </c>
      <c r="C643" s="108" t="s">
        <v>138</v>
      </c>
      <c r="D643" s="108">
        <v>6217.69769942328</v>
      </c>
      <c r="E643" s="108">
        <v>0</v>
      </c>
      <c r="F643" s="108" t="s">
        <v>136</v>
      </c>
      <c r="G643" s="108"/>
      <c r="H643" s="108">
        <v>1</v>
      </c>
    </row>
    <row r="644" spans="1:8" ht="14">
      <c r="A644" s="108">
        <v>2003</v>
      </c>
      <c r="B644" s="108">
        <v>19</v>
      </c>
      <c r="C644" s="108" t="s">
        <v>138</v>
      </c>
      <c r="D644" s="108">
        <v>1050.1875485066901</v>
      </c>
      <c r="E644" s="108">
        <v>0</v>
      </c>
      <c r="F644" s="108" t="s">
        <v>135</v>
      </c>
      <c r="G644" s="108"/>
      <c r="H644" s="108">
        <v>1</v>
      </c>
    </row>
    <row r="645" spans="1:8" ht="14">
      <c r="A645" s="108">
        <v>2003</v>
      </c>
      <c r="B645" s="108">
        <v>19</v>
      </c>
      <c r="C645" s="108" t="s">
        <v>139</v>
      </c>
      <c r="D645" s="108">
        <v>899.84396487392996</v>
      </c>
      <c r="E645" s="108">
        <v>0</v>
      </c>
      <c r="F645" s="108" t="s">
        <v>135</v>
      </c>
      <c r="G645" s="108"/>
      <c r="H645" s="108">
        <v>1</v>
      </c>
    </row>
    <row r="646" spans="1:8" ht="14">
      <c r="A646" s="108">
        <v>2003</v>
      </c>
      <c r="B646" s="108">
        <v>19</v>
      </c>
      <c r="C646" s="108" t="s">
        <v>139</v>
      </c>
      <c r="D646" s="108">
        <v>17.028471593890298</v>
      </c>
      <c r="E646" s="108">
        <v>0</v>
      </c>
      <c r="F646" s="108" t="s">
        <v>137</v>
      </c>
      <c r="G646" s="108"/>
      <c r="H646" s="108">
        <v>1</v>
      </c>
    </row>
    <row r="647" spans="1:8" ht="14">
      <c r="A647" s="108">
        <v>2003</v>
      </c>
      <c r="B647" s="108">
        <v>19</v>
      </c>
      <c r="C647" s="108" t="s">
        <v>139</v>
      </c>
      <c r="D647" s="108">
        <v>3890.19256353217</v>
      </c>
      <c r="E647" s="108">
        <v>0</v>
      </c>
      <c r="F647" s="108" t="s">
        <v>136</v>
      </c>
      <c r="G647" s="108"/>
      <c r="H647" s="108">
        <v>1</v>
      </c>
    </row>
    <row r="648" spans="1:8" ht="14">
      <c r="A648" s="108">
        <v>2003</v>
      </c>
      <c r="B648" s="108">
        <v>21</v>
      </c>
      <c r="C648" s="108" t="s">
        <v>30</v>
      </c>
      <c r="D648" s="108">
        <v>17937.3657002779</v>
      </c>
      <c r="E648" s="108">
        <v>0</v>
      </c>
      <c r="F648" s="108" t="s">
        <v>136</v>
      </c>
      <c r="G648" s="108"/>
      <c r="H648" s="108">
        <v>1</v>
      </c>
    </row>
    <row r="649" spans="1:8" ht="14">
      <c r="A649" s="108">
        <v>2003</v>
      </c>
      <c r="B649" s="108">
        <v>21</v>
      </c>
      <c r="C649" s="108" t="s">
        <v>30</v>
      </c>
      <c r="D649" s="108">
        <v>10.8262997220736</v>
      </c>
      <c r="E649" s="108">
        <v>0</v>
      </c>
      <c r="F649" s="108" t="s">
        <v>135</v>
      </c>
      <c r="G649" s="108"/>
      <c r="H649" s="108">
        <v>1</v>
      </c>
    </row>
    <row r="650" spans="1:8" ht="14">
      <c r="A650" s="108">
        <v>2003</v>
      </c>
      <c r="B650" s="108">
        <v>21</v>
      </c>
      <c r="C650" s="108" t="s">
        <v>30</v>
      </c>
      <c r="D650" s="108">
        <v>40.594000000000001</v>
      </c>
      <c r="E650" s="108">
        <v>0</v>
      </c>
      <c r="F650" s="108" t="s">
        <v>137</v>
      </c>
      <c r="G650" s="108"/>
      <c r="H650" s="108">
        <v>1</v>
      </c>
    </row>
    <row r="651" spans="1:8" ht="14">
      <c r="A651" s="108">
        <v>2003</v>
      </c>
      <c r="B651" s="108">
        <v>21</v>
      </c>
      <c r="C651" s="108" t="s">
        <v>138</v>
      </c>
      <c r="D651" s="108">
        <v>17375.940700277901</v>
      </c>
      <c r="E651" s="108">
        <v>0</v>
      </c>
      <c r="F651" s="108" t="s">
        <v>136</v>
      </c>
      <c r="G651" s="108"/>
      <c r="H651" s="108">
        <v>1</v>
      </c>
    </row>
    <row r="652" spans="1:8" ht="14">
      <c r="A652" s="108">
        <v>2003</v>
      </c>
      <c r="B652" s="108">
        <v>21</v>
      </c>
      <c r="C652" s="108" t="s">
        <v>138</v>
      </c>
      <c r="D652" s="108">
        <v>10.8262997220736</v>
      </c>
      <c r="E652" s="108">
        <v>0</v>
      </c>
      <c r="F652" s="108" t="s">
        <v>135</v>
      </c>
      <c r="G652" s="108"/>
      <c r="H652" s="108">
        <v>1</v>
      </c>
    </row>
    <row r="653" spans="1:8" ht="14">
      <c r="A653" s="108">
        <v>2003</v>
      </c>
      <c r="B653" s="108">
        <v>21</v>
      </c>
      <c r="C653" s="108" t="s">
        <v>138</v>
      </c>
      <c r="D653" s="108">
        <v>2.1040000000000001</v>
      </c>
      <c r="E653" s="108">
        <v>0</v>
      </c>
      <c r="F653" s="108" t="s">
        <v>137</v>
      </c>
      <c r="G653" s="108"/>
      <c r="H653" s="108">
        <v>1</v>
      </c>
    </row>
    <row r="654" spans="1:8" ht="14">
      <c r="A654" s="108">
        <v>2003</v>
      </c>
      <c r="B654" s="108">
        <v>21</v>
      </c>
      <c r="C654" s="108" t="s">
        <v>139</v>
      </c>
      <c r="D654" s="108">
        <v>561.42499999999995</v>
      </c>
      <c r="E654" s="108">
        <v>0</v>
      </c>
      <c r="F654" s="108" t="s">
        <v>136</v>
      </c>
      <c r="G654" s="108"/>
      <c r="H654" s="108">
        <v>1</v>
      </c>
    </row>
    <row r="655" spans="1:8" ht="14">
      <c r="A655" s="108">
        <v>2003</v>
      </c>
      <c r="B655" s="108">
        <v>21</v>
      </c>
      <c r="C655" s="108" t="s">
        <v>139</v>
      </c>
      <c r="D655" s="108">
        <v>38.49</v>
      </c>
      <c r="E655" s="108">
        <v>0</v>
      </c>
      <c r="F655" s="108" t="s">
        <v>137</v>
      </c>
      <c r="G655" s="108"/>
      <c r="H655" s="108">
        <v>1</v>
      </c>
    </row>
    <row r="656" spans="1:8" ht="14">
      <c r="A656" s="108">
        <v>2003</v>
      </c>
      <c r="B656" s="108">
        <v>21</v>
      </c>
      <c r="C656" s="108" t="s">
        <v>139</v>
      </c>
      <c r="D656" s="108">
        <v>0</v>
      </c>
      <c r="E656" s="108">
        <v>0</v>
      </c>
      <c r="F656" s="108" t="s">
        <v>135</v>
      </c>
      <c r="G656" s="108"/>
      <c r="H656" s="108">
        <v>1</v>
      </c>
    </row>
    <row r="657" spans="1:8" ht="14">
      <c r="A657" s="108">
        <v>2003</v>
      </c>
      <c r="B657" s="108">
        <v>22</v>
      </c>
      <c r="C657" s="108" t="s">
        <v>30</v>
      </c>
      <c r="D657" s="108">
        <v>34630.806981702401</v>
      </c>
      <c r="E657" s="108">
        <v>0</v>
      </c>
      <c r="F657" s="108" t="s">
        <v>136</v>
      </c>
      <c r="G657" s="108"/>
      <c r="H657" s="108">
        <v>1</v>
      </c>
    </row>
    <row r="658" spans="1:8" ht="14">
      <c r="A658" s="108">
        <v>2003</v>
      </c>
      <c r="B658" s="108">
        <v>22</v>
      </c>
      <c r="C658" s="108" t="s">
        <v>30</v>
      </c>
      <c r="D658" s="108">
        <v>4.492</v>
      </c>
      <c r="E658" s="108">
        <v>0</v>
      </c>
      <c r="F658" s="108" t="s">
        <v>137</v>
      </c>
      <c r="G658" s="108"/>
      <c r="H658" s="108">
        <v>1</v>
      </c>
    </row>
    <row r="659" spans="1:8" ht="14">
      <c r="A659" s="108">
        <v>2003</v>
      </c>
      <c r="B659" s="108">
        <v>22</v>
      </c>
      <c r="C659" s="108" t="s">
        <v>30</v>
      </c>
      <c r="D659" s="108">
        <v>2645.4290182975601</v>
      </c>
      <c r="E659" s="108">
        <v>0</v>
      </c>
      <c r="F659" s="108" t="s">
        <v>135</v>
      </c>
      <c r="G659" s="108"/>
      <c r="H659" s="108">
        <v>1</v>
      </c>
    </row>
    <row r="660" spans="1:8" ht="14">
      <c r="A660" s="108">
        <v>2003</v>
      </c>
      <c r="B660" s="108">
        <v>22</v>
      </c>
      <c r="C660" s="108" t="s">
        <v>138</v>
      </c>
      <c r="D660" s="108">
        <v>33514.505415435</v>
      </c>
      <c r="E660" s="108">
        <v>0</v>
      </c>
      <c r="F660" s="108" t="s">
        <v>136</v>
      </c>
      <c r="G660" s="108"/>
      <c r="H660" s="108">
        <v>1</v>
      </c>
    </row>
    <row r="661" spans="1:8" ht="14">
      <c r="A661" s="108">
        <v>2003</v>
      </c>
      <c r="B661" s="108">
        <v>22</v>
      </c>
      <c r="C661" s="108" t="s">
        <v>138</v>
      </c>
      <c r="D661" s="108">
        <v>1324.097584565</v>
      </c>
      <c r="E661" s="108">
        <v>0</v>
      </c>
      <c r="F661" s="108" t="s">
        <v>135</v>
      </c>
      <c r="G661" s="108"/>
      <c r="H661" s="108">
        <v>1</v>
      </c>
    </row>
    <row r="662" spans="1:8" ht="14">
      <c r="A662" s="108">
        <v>2003</v>
      </c>
      <c r="B662" s="108">
        <v>22</v>
      </c>
      <c r="C662" s="108" t="s">
        <v>139</v>
      </c>
      <c r="D662" s="108">
        <v>1321.3314337325601</v>
      </c>
      <c r="E662" s="108">
        <v>0</v>
      </c>
      <c r="F662" s="108" t="s">
        <v>135</v>
      </c>
      <c r="G662" s="108"/>
      <c r="H662" s="108">
        <v>1</v>
      </c>
    </row>
    <row r="663" spans="1:8" ht="14">
      <c r="A663" s="108">
        <v>2003</v>
      </c>
      <c r="B663" s="108">
        <v>22</v>
      </c>
      <c r="C663" s="108" t="s">
        <v>139</v>
      </c>
      <c r="D663" s="108">
        <v>4.492</v>
      </c>
      <c r="E663" s="108">
        <v>0</v>
      </c>
      <c r="F663" s="108" t="s">
        <v>137</v>
      </c>
      <c r="G663" s="108"/>
      <c r="H663" s="108">
        <v>1</v>
      </c>
    </row>
    <row r="664" spans="1:8" ht="14">
      <c r="A664" s="108">
        <v>2003</v>
      </c>
      <c r="B664" s="108">
        <v>22</v>
      </c>
      <c r="C664" s="108" t="s">
        <v>139</v>
      </c>
      <c r="D664" s="108">
        <v>1116.30156626743</v>
      </c>
      <c r="E664" s="108">
        <v>0</v>
      </c>
      <c r="F664" s="108" t="s">
        <v>136</v>
      </c>
      <c r="G664" s="108"/>
      <c r="H664" s="108">
        <v>1</v>
      </c>
    </row>
    <row r="665" spans="1:8" ht="14">
      <c r="A665" s="108">
        <v>2003</v>
      </c>
      <c r="B665" s="108">
        <v>23</v>
      </c>
      <c r="C665" s="108" t="s">
        <v>30</v>
      </c>
      <c r="D665" s="108">
        <v>13101.635499423801</v>
      </c>
      <c r="E665" s="108">
        <v>0</v>
      </c>
      <c r="F665" s="108" t="s">
        <v>136</v>
      </c>
      <c r="G665" s="108"/>
      <c r="H665" s="108">
        <v>1</v>
      </c>
    </row>
    <row r="666" spans="1:8" ht="14">
      <c r="A666" s="108">
        <v>2003</v>
      </c>
      <c r="B666" s="108">
        <v>23</v>
      </c>
      <c r="C666" s="108" t="s">
        <v>30</v>
      </c>
      <c r="D666" s="108">
        <v>1.41417002218752</v>
      </c>
      <c r="E666" s="108">
        <v>0</v>
      </c>
      <c r="F666" s="108" t="s">
        <v>137</v>
      </c>
      <c r="G666" s="108"/>
      <c r="H666" s="108">
        <v>1</v>
      </c>
    </row>
    <row r="667" spans="1:8" ht="14">
      <c r="A667" s="108">
        <v>2003</v>
      </c>
      <c r="B667" s="108">
        <v>23</v>
      </c>
      <c r="C667" s="108" t="s">
        <v>30</v>
      </c>
      <c r="D667" s="108">
        <v>1648.9243305540001</v>
      </c>
      <c r="E667" s="108">
        <v>0</v>
      </c>
      <c r="F667" s="108" t="s">
        <v>135</v>
      </c>
      <c r="G667" s="108"/>
      <c r="H667" s="108">
        <v>1</v>
      </c>
    </row>
    <row r="668" spans="1:8" ht="14">
      <c r="A668" s="108">
        <v>2003</v>
      </c>
      <c r="B668" s="108">
        <v>23</v>
      </c>
      <c r="C668" s="108" t="s">
        <v>138</v>
      </c>
      <c r="D668" s="108">
        <v>1.41417002218752</v>
      </c>
      <c r="E668" s="108">
        <v>0</v>
      </c>
      <c r="F668" s="108" t="s">
        <v>137</v>
      </c>
      <c r="G668" s="108"/>
      <c r="H668" s="108">
        <v>1</v>
      </c>
    </row>
    <row r="669" spans="1:8" ht="14">
      <c r="A669" s="108">
        <v>2003</v>
      </c>
      <c r="B669" s="108">
        <v>23</v>
      </c>
      <c r="C669" s="108" t="s">
        <v>138</v>
      </c>
      <c r="D669" s="108">
        <v>8288.0735286453892</v>
      </c>
      <c r="E669" s="108">
        <v>0</v>
      </c>
      <c r="F669" s="108" t="s">
        <v>136</v>
      </c>
      <c r="G669" s="108"/>
      <c r="H669" s="108">
        <v>1</v>
      </c>
    </row>
    <row r="670" spans="1:8" ht="14">
      <c r="A670" s="108">
        <v>2003</v>
      </c>
      <c r="B670" s="108">
        <v>23</v>
      </c>
      <c r="C670" s="108" t="s">
        <v>138</v>
      </c>
      <c r="D670" s="108">
        <v>849.76330133242402</v>
      </c>
      <c r="E670" s="108">
        <v>0</v>
      </c>
      <c r="F670" s="108" t="s">
        <v>135</v>
      </c>
      <c r="G670" s="108"/>
      <c r="H670" s="108">
        <v>1</v>
      </c>
    </row>
    <row r="671" spans="1:8" ht="14">
      <c r="A671" s="108">
        <v>2003</v>
      </c>
      <c r="B671" s="108">
        <v>23</v>
      </c>
      <c r="C671" s="108" t="s">
        <v>139</v>
      </c>
      <c r="D671" s="108">
        <v>4813.5619707784099</v>
      </c>
      <c r="E671" s="108">
        <v>0</v>
      </c>
      <c r="F671" s="108" t="s">
        <v>136</v>
      </c>
      <c r="G671" s="108"/>
      <c r="H671" s="108">
        <v>1</v>
      </c>
    </row>
    <row r="672" spans="1:8" ht="14">
      <c r="A672" s="108">
        <v>2003</v>
      </c>
      <c r="B672" s="108">
        <v>23</v>
      </c>
      <c r="C672" s="108" t="s">
        <v>139</v>
      </c>
      <c r="D672" s="108">
        <v>799.16102922157995</v>
      </c>
      <c r="E672" s="108">
        <v>0</v>
      </c>
      <c r="F672" s="108" t="s">
        <v>135</v>
      </c>
      <c r="G672" s="108"/>
      <c r="H672" s="108">
        <v>1</v>
      </c>
    </row>
    <row r="673" spans="1:8" ht="14">
      <c r="A673" s="108">
        <v>2003</v>
      </c>
      <c r="B673" s="108">
        <v>29</v>
      </c>
      <c r="C673" s="108" t="s">
        <v>30</v>
      </c>
      <c r="D673" s="108">
        <v>22523.1067202739</v>
      </c>
      <c r="E673" s="108">
        <v>0</v>
      </c>
      <c r="F673" s="108" t="s">
        <v>135</v>
      </c>
      <c r="G673" s="108"/>
      <c r="H673" s="108">
        <v>1</v>
      </c>
    </row>
    <row r="674" spans="1:8" ht="14">
      <c r="A674" s="108">
        <v>2003</v>
      </c>
      <c r="B674" s="108">
        <v>29</v>
      </c>
      <c r="C674" s="108" t="s">
        <v>30</v>
      </c>
      <c r="D674" s="108">
        <v>15.076729552149001</v>
      </c>
      <c r="E674" s="108">
        <v>0</v>
      </c>
      <c r="F674" s="108" t="s">
        <v>137</v>
      </c>
      <c r="G674" s="108"/>
      <c r="H674" s="108">
        <v>1</v>
      </c>
    </row>
    <row r="675" spans="1:8" ht="14">
      <c r="A675" s="108">
        <v>2003</v>
      </c>
      <c r="B675" s="108">
        <v>29</v>
      </c>
      <c r="C675" s="108" t="s">
        <v>30</v>
      </c>
      <c r="D675" s="108">
        <v>21869.2895501739</v>
      </c>
      <c r="E675" s="108">
        <v>0</v>
      </c>
      <c r="F675" s="108" t="s">
        <v>136</v>
      </c>
      <c r="G675" s="108"/>
      <c r="H675" s="108">
        <v>1</v>
      </c>
    </row>
    <row r="676" spans="1:8" ht="14">
      <c r="A676" s="108">
        <v>2003</v>
      </c>
      <c r="B676" s="108">
        <v>29</v>
      </c>
      <c r="C676" s="108" t="s">
        <v>138</v>
      </c>
      <c r="D676" s="108">
        <v>10796.608025990001</v>
      </c>
      <c r="E676" s="108">
        <v>0</v>
      </c>
      <c r="F676" s="108" t="s">
        <v>136</v>
      </c>
      <c r="G676" s="108"/>
      <c r="H676" s="108">
        <v>1</v>
      </c>
    </row>
    <row r="677" spans="1:8" ht="14">
      <c r="A677" s="108">
        <v>2003</v>
      </c>
      <c r="B677" s="108">
        <v>29</v>
      </c>
      <c r="C677" s="108" t="s">
        <v>138</v>
      </c>
      <c r="D677" s="108">
        <v>10.729997902454601</v>
      </c>
      <c r="E677" s="108">
        <v>0</v>
      </c>
      <c r="F677" s="108" t="s">
        <v>137</v>
      </c>
      <c r="G677" s="108"/>
      <c r="H677" s="108">
        <v>1</v>
      </c>
    </row>
    <row r="678" spans="1:8" ht="14">
      <c r="A678" s="108">
        <v>2003</v>
      </c>
      <c r="B678" s="108">
        <v>29</v>
      </c>
      <c r="C678" s="108" t="s">
        <v>138</v>
      </c>
      <c r="D678" s="108">
        <v>17736.212976107501</v>
      </c>
      <c r="E678" s="108">
        <v>0</v>
      </c>
      <c r="F678" s="108" t="s">
        <v>135</v>
      </c>
      <c r="G678" s="108"/>
      <c r="H678" s="108">
        <v>1</v>
      </c>
    </row>
    <row r="679" spans="1:8" ht="14">
      <c r="A679" s="108">
        <v>2003</v>
      </c>
      <c r="B679" s="108">
        <v>29</v>
      </c>
      <c r="C679" s="108" t="s">
        <v>139</v>
      </c>
      <c r="D679" s="108">
        <v>4.3467316496943598</v>
      </c>
      <c r="E679" s="108">
        <v>0</v>
      </c>
      <c r="F679" s="108" t="s">
        <v>137</v>
      </c>
      <c r="G679" s="108"/>
      <c r="H679" s="108">
        <v>1</v>
      </c>
    </row>
    <row r="680" spans="1:8" ht="14">
      <c r="A680" s="108">
        <v>2003</v>
      </c>
      <c r="B680" s="108">
        <v>29</v>
      </c>
      <c r="C680" s="108" t="s">
        <v>139</v>
      </c>
      <c r="D680" s="108">
        <v>4786.8937441663702</v>
      </c>
      <c r="E680" s="108">
        <v>0</v>
      </c>
      <c r="F680" s="108" t="s">
        <v>135</v>
      </c>
      <c r="G680" s="108"/>
      <c r="H680" s="108">
        <v>1</v>
      </c>
    </row>
    <row r="681" spans="1:8" ht="14">
      <c r="A681" s="108">
        <v>2003</v>
      </c>
      <c r="B681" s="108">
        <v>29</v>
      </c>
      <c r="C681" s="108" t="s">
        <v>139</v>
      </c>
      <c r="D681" s="108">
        <v>11072.681524183899</v>
      </c>
      <c r="E681" s="108">
        <v>0</v>
      </c>
      <c r="F681" s="108" t="s">
        <v>136</v>
      </c>
      <c r="G681" s="108"/>
      <c r="H681" s="108">
        <v>1</v>
      </c>
    </row>
    <row r="682" spans="1:8" ht="14">
      <c r="A682" s="108">
        <v>2003</v>
      </c>
      <c r="B682" s="108">
        <v>31</v>
      </c>
      <c r="C682" s="108" t="s">
        <v>30</v>
      </c>
      <c r="D682" s="108">
        <v>866.56524255378201</v>
      </c>
      <c r="E682" s="108">
        <v>122.496341958748</v>
      </c>
      <c r="F682" s="108" t="s">
        <v>135</v>
      </c>
      <c r="G682" s="108">
        <v>122.496339642999</v>
      </c>
      <c r="H682" s="108">
        <v>1</v>
      </c>
    </row>
    <row r="683" spans="1:8" ht="14">
      <c r="A683" s="108">
        <v>2003</v>
      </c>
      <c r="B683" s="108">
        <v>31</v>
      </c>
      <c r="C683" s="108" t="s">
        <v>30</v>
      </c>
      <c r="D683" s="108">
        <v>18934.281427744299</v>
      </c>
      <c r="E683" s="108">
        <v>1576.7555127798901</v>
      </c>
      <c r="F683" s="108" t="s">
        <v>136</v>
      </c>
      <c r="G683" s="108">
        <v>1576.7553185730001</v>
      </c>
      <c r="H683" s="108">
        <v>1</v>
      </c>
    </row>
    <row r="684" spans="1:8" ht="14">
      <c r="A684" s="108">
        <v>2003</v>
      </c>
      <c r="B684" s="108">
        <v>31</v>
      </c>
      <c r="C684" s="108" t="s">
        <v>30</v>
      </c>
      <c r="D684" s="108">
        <v>54.637329701829998</v>
      </c>
      <c r="E684" s="108">
        <v>47.051145261351898</v>
      </c>
      <c r="F684" s="108" t="s">
        <v>137</v>
      </c>
      <c r="G684" s="108">
        <v>47.051145695999999</v>
      </c>
      <c r="H684" s="108">
        <v>1</v>
      </c>
    </row>
    <row r="685" spans="1:8" ht="14">
      <c r="A685" s="108">
        <v>2003</v>
      </c>
      <c r="B685" s="108">
        <v>31</v>
      </c>
      <c r="C685" s="108" t="s">
        <v>138</v>
      </c>
      <c r="D685" s="108">
        <v>10682.943283962901</v>
      </c>
      <c r="E685" s="108">
        <v>828.64166161949095</v>
      </c>
      <c r="F685" s="108" t="s">
        <v>136</v>
      </c>
      <c r="G685" s="108">
        <v>828.64161805600202</v>
      </c>
      <c r="H685" s="108">
        <v>1</v>
      </c>
    </row>
    <row r="686" spans="1:8" ht="14">
      <c r="A686" s="108">
        <v>2003</v>
      </c>
      <c r="B686" s="108">
        <v>31</v>
      </c>
      <c r="C686" s="108" t="s">
        <v>138</v>
      </c>
      <c r="D686" s="108">
        <v>43.557382405869703</v>
      </c>
      <c r="E686" s="108">
        <v>5.4061632706871299</v>
      </c>
      <c r="F686" s="108" t="s">
        <v>137</v>
      </c>
      <c r="G686" s="108">
        <v>5.4061636799999997</v>
      </c>
      <c r="H686" s="108">
        <v>1</v>
      </c>
    </row>
    <row r="687" spans="1:8" ht="14">
      <c r="A687" s="108">
        <v>2003</v>
      </c>
      <c r="B687" s="108">
        <v>31</v>
      </c>
      <c r="C687" s="108" t="s">
        <v>138</v>
      </c>
      <c r="D687" s="108">
        <v>440.15533363112502</v>
      </c>
      <c r="E687" s="108">
        <v>59.722175109823198</v>
      </c>
      <c r="F687" s="108" t="s">
        <v>135</v>
      </c>
      <c r="G687" s="108">
        <v>59.722171809000002</v>
      </c>
      <c r="H687" s="108">
        <v>1</v>
      </c>
    </row>
    <row r="688" spans="1:8" ht="14">
      <c r="A688" s="108">
        <v>2003</v>
      </c>
      <c r="B688" s="108">
        <v>31</v>
      </c>
      <c r="C688" s="108" t="s">
        <v>139</v>
      </c>
      <c r="D688" s="108">
        <v>8251.3381437813696</v>
      </c>
      <c r="E688" s="108">
        <v>748.11385116040799</v>
      </c>
      <c r="F688" s="108" t="s">
        <v>136</v>
      </c>
      <c r="G688" s="108">
        <v>748.11370051699998</v>
      </c>
      <c r="H688" s="108">
        <v>1</v>
      </c>
    </row>
    <row r="689" spans="1:8" ht="14">
      <c r="A689" s="108">
        <v>2003</v>
      </c>
      <c r="B689" s="108">
        <v>31</v>
      </c>
      <c r="C689" s="108" t="s">
        <v>139</v>
      </c>
      <c r="D689" s="108">
        <v>426.40990892265597</v>
      </c>
      <c r="E689" s="108">
        <v>62.774166848925503</v>
      </c>
      <c r="F689" s="108" t="s">
        <v>135</v>
      </c>
      <c r="G689" s="108">
        <v>62.774167833999897</v>
      </c>
      <c r="H689" s="108">
        <v>1</v>
      </c>
    </row>
    <row r="690" spans="1:8" ht="14">
      <c r="A690" s="108">
        <v>2003</v>
      </c>
      <c r="B690" s="108">
        <v>31</v>
      </c>
      <c r="C690" s="108" t="s">
        <v>139</v>
      </c>
      <c r="D690" s="108">
        <v>11.079947295960199</v>
      </c>
      <c r="E690" s="108">
        <v>41.644981990664803</v>
      </c>
      <c r="F690" s="108" t="s">
        <v>137</v>
      </c>
      <c r="G690" s="108">
        <v>41.644982016</v>
      </c>
      <c r="H690" s="108">
        <v>1</v>
      </c>
    </row>
    <row r="691" spans="1:8" ht="14">
      <c r="A691" s="108">
        <v>2003</v>
      </c>
      <c r="B691" s="108">
        <v>32</v>
      </c>
      <c r="C691" s="108" t="s">
        <v>30</v>
      </c>
      <c r="D691" s="108">
        <v>24576.681784380798</v>
      </c>
      <c r="E691" s="108">
        <v>2214.5197261683202</v>
      </c>
      <c r="F691" s="108" t="s">
        <v>136</v>
      </c>
      <c r="G691" s="108">
        <v>4429.0397241150004</v>
      </c>
      <c r="H691" s="108">
        <v>1</v>
      </c>
    </row>
    <row r="692" spans="1:8" ht="14">
      <c r="A692" s="108">
        <v>2003</v>
      </c>
      <c r="B692" s="108">
        <v>32</v>
      </c>
      <c r="C692" s="108" t="s">
        <v>30</v>
      </c>
      <c r="D692" s="108">
        <v>80.872876507315397</v>
      </c>
      <c r="E692" s="108">
        <v>52.455424857776997</v>
      </c>
      <c r="F692" s="108" t="s">
        <v>137</v>
      </c>
      <c r="G692" s="108">
        <v>104.91085418</v>
      </c>
      <c r="H692" s="108">
        <v>1</v>
      </c>
    </row>
    <row r="693" spans="1:8" ht="14">
      <c r="A693" s="108">
        <v>2003</v>
      </c>
      <c r="B693" s="108">
        <v>32</v>
      </c>
      <c r="C693" s="108" t="s">
        <v>30</v>
      </c>
      <c r="D693" s="108">
        <v>1042.8813391118799</v>
      </c>
      <c r="E693" s="108">
        <v>100.912848973902</v>
      </c>
      <c r="F693" s="108" t="s">
        <v>135</v>
      </c>
      <c r="G693" s="108">
        <v>201.82568738699899</v>
      </c>
      <c r="H693" s="108">
        <v>1</v>
      </c>
    </row>
    <row r="694" spans="1:8" ht="14">
      <c r="A694" s="108">
        <v>2003</v>
      </c>
      <c r="B694" s="108">
        <v>32</v>
      </c>
      <c r="C694" s="108" t="s">
        <v>138</v>
      </c>
      <c r="D694" s="108">
        <v>557.064478069487</v>
      </c>
      <c r="E694" s="108">
        <v>49.937490288034198</v>
      </c>
      <c r="F694" s="108" t="s">
        <v>135</v>
      </c>
      <c r="G694" s="108">
        <v>99.874996999999993</v>
      </c>
      <c r="H694" s="108">
        <v>1</v>
      </c>
    </row>
    <row r="695" spans="1:8" ht="14">
      <c r="A695" s="108">
        <v>2003</v>
      </c>
      <c r="B695" s="108">
        <v>32</v>
      </c>
      <c r="C695" s="108" t="s">
        <v>138</v>
      </c>
      <c r="D695" s="108">
        <v>75.105038432227403</v>
      </c>
      <c r="E695" s="108">
        <v>8.7290021757196605</v>
      </c>
      <c r="F695" s="108" t="s">
        <v>137</v>
      </c>
      <c r="G695" s="108">
        <v>17.458015069999998</v>
      </c>
      <c r="H695" s="108">
        <v>1</v>
      </c>
    </row>
    <row r="696" spans="1:8" ht="14">
      <c r="A696" s="108">
        <v>2003</v>
      </c>
      <c r="B696" s="108">
        <v>32</v>
      </c>
      <c r="C696" s="108" t="s">
        <v>138</v>
      </c>
      <c r="D696" s="108">
        <v>14272.1214834982</v>
      </c>
      <c r="E696" s="108">
        <v>1126.6515075362499</v>
      </c>
      <c r="F696" s="108" t="s">
        <v>136</v>
      </c>
      <c r="G696" s="108">
        <v>2253.3032735699899</v>
      </c>
      <c r="H696" s="108">
        <v>1</v>
      </c>
    </row>
    <row r="697" spans="1:8" ht="14">
      <c r="A697" s="108">
        <v>2003</v>
      </c>
      <c r="B697" s="108">
        <v>32</v>
      </c>
      <c r="C697" s="108" t="s">
        <v>139</v>
      </c>
      <c r="D697" s="108">
        <v>5.7678380750879796</v>
      </c>
      <c r="E697" s="108">
        <v>43.726422682057397</v>
      </c>
      <c r="F697" s="108" t="s">
        <v>137</v>
      </c>
      <c r="G697" s="108">
        <v>87.452839109999999</v>
      </c>
      <c r="H697" s="108">
        <v>1</v>
      </c>
    </row>
    <row r="698" spans="1:8" ht="14">
      <c r="A698" s="108">
        <v>2003</v>
      </c>
      <c r="B698" s="108">
        <v>32</v>
      </c>
      <c r="C698" s="108" t="s">
        <v>139</v>
      </c>
      <c r="D698" s="108">
        <v>485.81686104239498</v>
      </c>
      <c r="E698" s="108">
        <v>50.975358685867697</v>
      </c>
      <c r="F698" s="108" t="s">
        <v>135</v>
      </c>
      <c r="G698" s="108">
        <v>101.950690386999</v>
      </c>
      <c r="H698" s="108">
        <v>1</v>
      </c>
    </row>
    <row r="699" spans="1:8" ht="14">
      <c r="A699" s="108">
        <v>2003</v>
      </c>
      <c r="B699" s="108">
        <v>32</v>
      </c>
      <c r="C699" s="108" t="s">
        <v>139</v>
      </c>
      <c r="D699" s="108">
        <v>10304.5603008825</v>
      </c>
      <c r="E699" s="108">
        <v>1087.86821863207</v>
      </c>
      <c r="F699" s="108" t="s">
        <v>136</v>
      </c>
      <c r="G699" s="108">
        <v>2175.73645054499</v>
      </c>
      <c r="H699" s="108">
        <v>1</v>
      </c>
    </row>
    <row r="700" spans="1:8" ht="14">
      <c r="A700" s="108">
        <v>2003</v>
      </c>
      <c r="B700" s="108">
        <v>33</v>
      </c>
      <c r="C700" s="108" t="s">
        <v>30</v>
      </c>
      <c r="D700" s="108">
        <v>33.898345477134797</v>
      </c>
      <c r="E700" s="108">
        <v>5.5554058136822597</v>
      </c>
      <c r="F700" s="108" t="s">
        <v>135</v>
      </c>
      <c r="G700" s="108">
        <v>8.3331073999999994</v>
      </c>
      <c r="H700" s="108">
        <v>1</v>
      </c>
    </row>
    <row r="701" spans="1:8" ht="14">
      <c r="A701" s="108">
        <v>2003</v>
      </c>
      <c r="B701" s="108">
        <v>33</v>
      </c>
      <c r="C701" s="108" t="s">
        <v>30</v>
      </c>
      <c r="D701" s="108">
        <v>3.2174521290548202E-3</v>
      </c>
      <c r="E701" s="108">
        <v>2.1118091936817998E-3</v>
      </c>
      <c r="F701" s="108" t="s">
        <v>137</v>
      </c>
      <c r="G701" s="108">
        <v>3.1677099999999998E-3</v>
      </c>
      <c r="H701" s="108">
        <v>1</v>
      </c>
    </row>
    <row r="702" spans="1:8" ht="14">
      <c r="A702" s="108">
        <v>2003</v>
      </c>
      <c r="B702" s="108">
        <v>33</v>
      </c>
      <c r="C702" s="108" t="s">
        <v>30</v>
      </c>
      <c r="D702" s="108">
        <v>1472.96143707073</v>
      </c>
      <c r="E702" s="108">
        <v>90.332482377123995</v>
      </c>
      <c r="F702" s="108" t="s">
        <v>136</v>
      </c>
      <c r="G702" s="108">
        <v>135.498702172999</v>
      </c>
      <c r="H702" s="108">
        <v>1</v>
      </c>
    </row>
    <row r="703" spans="1:8" ht="14">
      <c r="A703" s="108">
        <v>2003</v>
      </c>
      <c r="B703" s="108">
        <v>33</v>
      </c>
      <c r="C703" s="108" t="s">
        <v>138</v>
      </c>
      <c r="D703" s="108">
        <v>914.34210997910998</v>
      </c>
      <c r="E703" s="108">
        <v>48.2998725798967</v>
      </c>
      <c r="F703" s="108" t="s">
        <v>136</v>
      </c>
      <c r="G703" s="108">
        <v>72.449804455000006</v>
      </c>
      <c r="H703" s="108">
        <v>1</v>
      </c>
    </row>
    <row r="704" spans="1:8" ht="14">
      <c r="A704" s="108">
        <v>2003</v>
      </c>
      <c r="B704" s="108">
        <v>33</v>
      </c>
      <c r="C704" s="108" t="s">
        <v>138</v>
      </c>
      <c r="D704" s="108">
        <v>3.2174521290548202E-3</v>
      </c>
      <c r="E704" s="108">
        <v>1.0835073068893499E-3</v>
      </c>
      <c r="F704" s="108" t="s">
        <v>137</v>
      </c>
      <c r="G704" s="108">
        <v>1.6252599999999999E-3</v>
      </c>
      <c r="H704" s="108">
        <v>1</v>
      </c>
    </row>
    <row r="705" spans="1:8" ht="14">
      <c r="A705" s="108">
        <v>2003</v>
      </c>
      <c r="B705" s="108">
        <v>33</v>
      </c>
      <c r="C705" s="108" t="s">
        <v>138</v>
      </c>
      <c r="D705" s="108">
        <v>18.735672568760201</v>
      </c>
      <c r="E705" s="108">
        <v>3.2070439127963399</v>
      </c>
      <c r="F705" s="108" t="s">
        <v>135</v>
      </c>
      <c r="G705" s="108">
        <v>4.8105644700000001</v>
      </c>
      <c r="H705" s="108">
        <v>1</v>
      </c>
    </row>
    <row r="706" spans="1:8" ht="14">
      <c r="A706" s="108">
        <v>2003</v>
      </c>
      <c r="B706" s="108">
        <v>33</v>
      </c>
      <c r="C706" s="108" t="s">
        <v>139</v>
      </c>
      <c r="D706" s="108">
        <v>15.1626729083745</v>
      </c>
      <c r="E706" s="108">
        <v>2.3483619008859198</v>
      </c>
      <c r="F706" s="108" t="s">
        <v>135</v>
      </c>
      <c r="G706" s="108">
        <v>3.5225429300000002</v>
      </c>
      <c r="H706" s="108">
        <v>1</v>
      </c>
    </row>
    <row r="707" spans="1:8" ht="14">
      <c r="A707" s="108">
        <v>2003</v>
      </c>
      <c r="B707" s="108">
        <v>33</v>
      </c>
      <c r="C707" s="108" t="s">
        <v>139</v>
      </c>
      <c r="D707" s="108">
        <v>0</v>
      </c>
      <c r="E707" s="108">
        <v>1.0283018867924499E-3</v>
      </c>
      <c r="F707" s="108" t="s">
        <v>137</v>
      </c>
      <c r="G707" s="108">
        <v>1.5424499999999999E-3</v>
      </c>
      <c r="H707" s="108">
        <v>1</v>
      </c>
    </row>
    <row r="708" spans="1:8" ht="14">
      <c r="A708" s="108">
        <v>2003</v>
      </c>
      <c r="B708" s="108">
        <v>33</v>
      </c>
      <c r="C708" s="108" t="s">
        <v>139</v>
      </c>
      <c r="D708" s="108">
        <v>558.619327091625</v>
      </c>
      <c r="E708" s="108">
        <v>42.032609797227202</v>
      </c>
      <c r="F708" s="108" t="s">
        <v>136</v>
      </c>
      <c r="G708" s="108">
        <v>63.048897717999999</v>
      </c>
      <c r="H708" s="108">
        <v>1</v>
      </c>
    </row>
    <row r="709" spans="1:8" ht="14">
      <c r="A709" s="108">
        <v>2003</v>
      </c>
      <c r="B709" s="108">
        <v>34</v>
      </c>
      <c r="C709" s="108" t="s">
        <v>30</v>
      </c>
      <c r="D709" s="108">
        <v>4151.8772059848297</v>
      </c>
      <c r="E709" s="108">
        <v>288.81147244894299</v>
      </c>
      <c r="F709" s="108" t="s">
        <v>136</v>
      </c>
      <c r="G709" s="108">
        <v>649.82577607799897</v>
      </c>
      <c r="H709" s="108">
        <v>1</v>
      </c>
    </row>
    <row r="710" spans="1:8" ht="14">
      <c r="A710" s="108">
        <v>2003</v>
      </c>
      <c r="B710" s="108">
        <v>34</v>
      </c>
      <c r="C710" s="108" t="s">
        <v>30</v>
      </c>
      <c r="D710" s="108">
        <v>64.248794015170105</v>
      </c>
      <c r="E710" s="108">
        <v>11.512527551056801</v>
      </c>
      <c r="F710" s="108" t="s">
        <v>135</v>
      </c>
      <c r="G710" s="108">
        <v>25.9031859699999</v>
      </c>
      <c r="H710" s="108">
        <v>1</v>
      </c>
    </row>
    <row r="711" spans="1:8" ht="14">
      <c r="A711" s="108">
        <v>2003</v>
      </c>
      <c r="B711" s="108">
        <v>34</v>
      </c>
      <c r="C711" s="108" t="s">
        <v>30</v>
      </c>
      <c r="D711" s="108">
        <v>0</v>
      </c>
      <c r="E711" s="108">
        <v>0</v>
      </c>
      <c r="F711" s="108" t="s">
        <v>137</v>
      </c>
      <c r="G711" s="108">
        <v>0</v>
      </c>
      <c r="H711" s="108">
        <v>1</v>
      </c>
    </row>
    <row r="712" spans="1:8" ht="14">
      <c r="A712" s="108">
        <v>2003</v>
      </c>
      <c r="B712" s="108">
        <v>34</v>
      </c>
      <c r="C712" s="108" t="s">
        <v>138</v>
      </c>
      <c r="D712" s="108">
        <v>2598.1136584749302</v>
      </c>
      <c r="E712" s="108">
        <v>151.715064599085</v>
      </c>
      <c r="F712" s="108" t="s">
        <v>136</v>
      </c>
      <c r="G712" s="108">
        <v>341.35887015999998</v>
      </c>
      <c r="H712" s="108">
        <v>1</v>
      </c>
    </row>
    <row r="713" spans="1:8" ht="14">
      <c r="A713" s="108">
        <v>2003</v>
      </c>
      <c r="B713" s="108">
        <v>34</v>
      </c>
      <c r="C713" s="108" t="s">
        <v>138</v>
      </c>
      <c r="D713" s="108">
        <v>0</v>
      </c>
      <c r="E713" s="108">
        <v>0</v>
      </c>
      <c r="F713" s="108" t="s">
        <v>137</v>
      </c>
      <c r="G713" s="108">
        <v>0</v>
      </c>
      <c r="H713" s="108">
        <v>1</v>
      </c>
    </row>
    <row r="714" spans="1:8" ht="14">
      <c r="A714" s="108">
        <v>2003</v>
      </c>
      <c r="B714" s="108">
        <v>34</v>
      </c>
      <c r="C714" s="108" t="s">
        <v>138</v>
      </c>
      <c r="D714" s="108">
        <v>32.178341525064702</v>
      </c>
      <c r="E714" s="108">
        <v>5.7959354009143</v>
      </c>
      <c r="F714" s="108" t="s">
        <v>135</v>
      </c>
      <c r="G714" s="108">
        <v>13.040849929999901</v>
      </c>
      <c r="H714" s="108">
        <v>1</v>
      </c>
    </row>
    <row r="715" spans="1:8" ht="14">
      <c r="A715" s="108">
        <v>2003</v>
      </c>
      <c r="B715" s="108">
        <v>34</v>
      </c>
      <c r="C715" s="108" t="s">
        <v>139</v>
      </c>
      <c r="D715" s="108">
        <v>32.070452490105303</v>
      </c>
      <c r="E715" s="108">
        <v>5.7165921501425299</v>
      </c>
      <c r="F715" s="108" t="s">
        <v>135</v>
      </c>
      <c r="G715" s="108">
        <v>12.862336040000001</v>
      </c>
      <c r="H715" s="108">
        <v>1</v>
      </c>
    </row>
    <row r="716" spans="1:8" ht="14">
      <c r="A716" s="108">
        <v>2003</v>
      </c>
      <c r="B716" s="108">
        <v>34</v>
      </c>
      <c r="C716" s="108" t="s">
        <v>139</v>
      </c>
      <c r="D716" s="108">
        <v>1553.76354750989</v>
      </c>
      <c r="E716" s="108">
        <v>137.096407849857</v>
      </c>
      <c r="F716" s="108" t="s">
        <v>136</v>
      </c>
      <c r="G716" s="108">
        <v>308.46690591800001</v>
      </c>
      <c r="H716" s="108">
        <v>1</v>
      </c>
    </row>
    <row r="717" spans="1:8" ht="14">
      <c r="A717" s="108">
        <v>2003</v>
      </c>
      <c r="B717" s="108">
        <v>51</v>
      </c>
      <c r="C717" s="108" t="s">
        <v>30</v>
      </c>
      <c r="D717" s="108">
        <v>7600.67168846813</v>
      </c>
      <c r="E717" s="108">
        <v>649.68561414340104</v>
      </c>
      <c r="F717" s="108" t="s">
        <v>135</v>
      </c>
      <c r="G717" s="108"/>
      <c r="H717" s="108">
        <v>1</v>
      </c>
    </row>
    <row r="718" spans="1:8" ht="14">
      <c r="A718" s="108">
        <v>2003</v>
      </c>
      <c r="B718" s="108">
        <v>51</v>
      </c>
      <c r="C718" s="108" t="s">
        <v>30</v>
      </c>
      <c r="D718" s="108">
        <v>31067.6823115318</v>
      </c>
      <c r="E718" s="108">
        <v>2854.1933858565899</v>
      </c>
      <c r="F718" s="108" t="s">
        <v>136</v>
      </c>
      <c r="G718" s="108"/>
      <c r="H718" s="108">
        <v>1</v>
      </c>
    </row>
    <row r="719" spans="1:8" ht="14">
      <c r="A719" s="108">
        <v>2003</v>
      </c>
      <c r="B719" s="108">
        <v>51</v>
      </c>
      <c r="C719" s="108" t="s">
        <v>138</v>
      </c>
      <c r="D719" s="108">
        <v>3801.6947233562501</v>
      </c>
      <c r="E719" s="108">
        <v>319.068286923122</v>
      </c>
      <c r="F719" s="108" t="s">
        <v>135</v>
      </c>
      <c r="G719" s="108"/>
      <c r="H719" s="108">
        <v>1</v>
      </c>
    </row>
    <row r="720" spans="1:8" ht="14">
      <c r="A720" s="108">
        <v>2003</v>
      </c>
      <c r="B720" s="108">
        <v>51</v>
      </c>
      <c r="C720" s="108" t="s">
        <v>138</v>
      </c>
      <c r="D720" s="108">
        <v>19035.311276643701</v>
      </c>
      <c r="E720" s="108">
        <v>1418.9557130768701</v>
      </c>
      <c r="F720" s="108" t="s">
        <v>136</v>
      </c>
      <c r="G720" s="108"/>
      <c r="H720" s="108">
        <v>1</v>
      </c>
    </row>
    <row r="721" spans="1:8" ht="14">
      <c r="A721" s="108">
        <v>2003</v>
      </c>
      <c r="B721" s="108">
        <v>51</v>
      </c>
      <c r="C721" s="108" t="s">
        <v>139</v>
      </c>
      <c r="D721" s="108">
        <v>3798.97696511187</v>
      </c>
      <c r="E721" s="108">
        <v>330.61732722027801</v>
      </c>
      <c r="F721" s="108" t="s">
        <v>135</v>
      </c>
      <c r="G721" s="108"/>
      <c r="H721" s="108">
        <v>1</v>
      </c>
    </row>
    <row r="722" spans="1:8" ht="14">
      <c r="A722" s="108">
        <v>2003</v>
      </c>
      <c r="B722" s="108">
        <v>51</v>
      </c>
      <c r="C722" s="108" t="s">
        <v>139</v>
      </c>
      <c r="D722" s="108">
        <v>12032.3710348881</v>
      </c>
      <c r="E722" s="108">
        <v>1435.23767277972</v>
      </c>
      <c r="F722" s="108" t="s">
        <v>136</v>
      </c>
      <c r="G722" s="108"/>
      <c r="H722" s="108">
        <v>1</v>
      </c>
    </row>
    <row r="723" spans="1:8" ht="14">
      <c r="A723" s="108">
        <v>2003</v>
      </c>
      <c r="B723" s="108">
        <v>52</v>
      </c>
      <c r="C723" s="108" t="s">
        <v>30</v>
      </c>
      <c r="D723" s="108">
        <v>0</v>
      </c>
      <c r="E723" s="108">
        <v>5201.9188675752803</v>
      </c>
      <c r="F723" s="108" t="s">
        <v>136</v>
      </c>
      <c r="G723" s="108"/>
      <c r="H723" s="108">
        <v>1</v>
      </c>
    </row>
    <row r="724" spans="1:8" ht="14">
      <c r="A724" s="108">
        <v>2003</v>
      </c>
      <c r="B724" s="108">
        <v>52</v>
      </c>
      <c r="C724" s="108" t="s">
        <v>30</v>
      </c>
      <c r="D724" s="108">
        <v>0</v>
      </c>
      <c r="E724" s="108">
        <v>1317.0251324247099</v>
      </c>
      <c r="F724" s="108" t="s">
        <v>135</v>
      </c>
      <c r="G724" s="108"/>
      <c r="H724" s="108">
        <v>1</v>
      </c>
    </row>
    <row r="725" spans="1:8" ht="14">
      <c r="A725" s="108">
        <v>2003</v>
      </c>
      <c r="B725" s="108">
        <v>52</v>
      </c>
      <c r="C725" s="108" t="s">
        <v>138</v>
      </c>
      <c r="D725" s="108">
        <v>0</v>
      </c>
      <c r="E725" s="108">
        <v>663.74048730226798</v>
      </c>
      <c r="F725" s="108" t="s">
        <v>135</v>
      </c>
      <c r="G725" s="108"/>
      <c r="H725" s="108">
        <v>1</v>
      </c>
    </row>
    <row r="726" spans="1:8" ht="14">
      <c r="A726" s="108">
        <v>2003</v>
      </c>
      <c r="B726" s="108">
        <v>52</v>
      </c>
      <c r="C726" s="108" t="s">
        <v>138</v>
      </c>
      <c r="D726" s="108">
        <v>0</v>
      </c>
      <c r="E726" s="108">
        <v>2585.7365126977302</v>
      </c>
      <c r="F726" s="108" t="s">
        <v>136</v>
      </c>
      <c r="G726" s="108"/>
      <c r="H726" s="108">
        <v>1</v>
      </c>
    </row>
    <row r="727" spans="1:8" ht="14">
      <c r="A727" s="108">
        <v>2003</v>
      </c>
      <c r="B727" s="108">
        <v>52</v>
      </c>
      <c r="C727" s="108" t="s">
        <v>139</v>
      </c>
      <c r="D727" s="108">
        <v>0</v>
      </c>
      <c r="E727" s="108">
        <v>2616.1823548775501</v>
      </c>
      <c r="F727" s="108" t="s">
        <v>136</v>
      </c>
      <c r="G727" s="108"/>
      <c r="H727" s="108">
        <v>1</v>
      </c>
    </row>
    <row r="728" spans="1:8" ht="14">
      <c r="A728" s="108">
        <v>2003</v>
      </c>
      <c r="B728" s="108">
        <v>52</v>
      </c>
      <c r="C728" s="108" t="s">
        <v>139</v>
      </c>
      <c r="D728" s="108">
        <v>0</v>
      </c>
      <c r="E728" s="108">
        <v>653.28464512244898</v>
      </c>
      <c r="F728" s="108" t="s">
        <v>135</v>
      </c>
      <c r="G728" s="108"/>
      <c r="H728" s="108">
        <v>1</v>
      </c>
    </row>
    <row r="729" spans="1:8" ht="14">
      <c r="A729" s="108">
        <v>2003</v>
      </c>
      <c r="B729" s="108">
        <v>53</v>
      </c>
      <c r="C729" s="108" t="s">
        <v>30</v>
      </c>
      <c r="D729" s="108">
        <v>0</v>
      </c>
      <c r="E729" s="108">
        <v>17.6440035959317</v>
      </c>
      <c r="F729" s="108" t="s">
        <v>135</v>
      </c>
      <c r="G729" s="108"/>
      <c r="H729" s="108">
        <v>1</v>
      </c>
    </row>
    <row r="730" spans="1:8" ht="14">
      <c r="A730" s="108">
        <v>2003</v>
      </c>
      <c r="B730" s="108">
        <v>53</v>
      </c>
      <c r="C730" s="108" t="s">
        <v>30</v>
      </c>
      <c r="D730" s="108">
        <v>0</v>
      </c>
      <c r="E730" s="108">
        <v>168.80199640406801</v>
      </c>
      <c r="F730" s="108" t="s">
        <v>136</v>
      </c>
      <c r="G730" s="108"/>
      <c r="H730" s="108">
        <v>1</v>
      </c>
    </row>
    <row r="731" spans="1:8" ht="14">
      <c r="A731" s="108">
        <v>2003</v>
      </c>
      <c r="B731" s="108">
        <v>53</v>
      </c>
      <c r="C731" s="108" t="s">
        <v>138</v>
      </c>
      <c r="D731" s="108">
        <v>0</v>
      </c>
      <c r="E731" s="108">
        <v>84.605432680151694</v>
      </c>
      <c r="F731" s="108" t="s">
        <v>136</v>
      </c>
      <c r="G731" s="108"/>
      <c r="H731" s="108">
        <v>1</v>
      </c>
    </row>
    <row r="732" spans="1:8" ht="14">
      <c r="A732" s="108">
        <v>2003</v>
      </c>
      <c r="B732" s="108">
        <v>53</v>
      </c>
      <c r="C732" s="108" t="s">
        <v>138</v>
      </c>
      <c r="D732" s="108">
        <v>0</v>
      </c>
      <c r="E732" s="108">
        <v>8.6175673198482894</v>
      </c>
      <c r="F732" s="108" t="s">
        <v>135</v>
      </c>
      <c r="G732" s="108"/>
      <c r="H732" s="108">
        <v>1</v>
      </c>
    </row>
    <row r="733" spans="1:8" ht="14">
      <c r="A733" s="108">
        <v>2003</v>
      </c>
      <c r="B733" s="108">
        <v>53</v>
      </c>
      <c r="C733" s="108" t="s">
        <v>139</v>
      </c>
      <c r="D733" s="108">
        <v>0</v>
      </c>
      <c r="E733" s="108">
        <v>9.0264362760834604</v>
      </c>
      <c r="F733" s="108" t="s">
        <v>135</v>
      </c>
      <c r="G733" s="108"/>
      <c r="H733" s="108">
        <v>1</v>
      </c>
    </row>
    <row r="734" spans="1:8" ht="14">
      <c r="A734" s="108">
        <v>2003</v>
      </c>
      <c r="B734" s="108">
        <v>53</v>
      </c>
      <c r="C734" s="108" t="s">
        <v>139</v>
      </c>
      <c r="D734" s="108">
        <v>0</v>
      </c>
      <c r="E734" s="108">
        <v>84.196563723916498</v>
      </c>
      <c r="F734" s="108" t="s">
        <v>136</v>
      </c>
      <c r="G734" s="108"/>
      <c r="H734" s="108">
        <v>1</v>
      </c>
    </row>
    <row r="735" spans="1:8" ht="14">
      <c r="A735" s="108">
        <v>2003</v>
      </c>
      <c r="B735" s="108">
        <v>54</v>
      </c>
      <c r="C735" s="108" t="s">
        <v>30</v>
      </c>
      <c r="D735" s="108">
        <v>4610.5905490878304</v>
      </c>
      <c r="E735" s="108">
        <v>3544.8957885997602</v>
      </c>
      <c r="F735" s="108" t="s">
        <v>136</v>
      </c>
      <c r="G735" s="108"/>
      <c r="H735" s="108">
        <v>1</v>
      </c>
    </row>
    <row r="736" spans="1:8" ht="14">
      <c r="A736" s="108">
        <v>2003</v>
      </c>
      <c r="B736" s="108">
        <v>54</v>
      </c>
      <c r="C736" s="108" t="s">
        <v>30</v>
      </c>
      <c r="D736" s="108">
        <v>228.43445091216401</v>
      </c>
      <c r="E736" s="108">
        <v>190.72921140023701</v>
      </c>
      <c r="F736" s="108" t="s">
        <v>135</v>
      </c>
      <c r="G736" s="108"/>
      <c r="H736" s="108">
        <v>1</v>
      </c>
    </row>
    <row r="737" spans="1:8" ht="14">
      <c r="A737" s="108">
        <v>2003</v>
      </c>
      <c r="B737" s="108">
        <v>54</v>
      </c>
      <c r="C737" s="108" t="s">
        <v>138</v>
      </c>
      <c r="D737" s="108">
        <v>105.332285720694</v>
      </c>
      <c r="E737" s="108">
        <v>89.591507111416306</v>
      </c>
      <c r="F737" s="108" t="s">
        <v>135</v>
      </c>
      <c r="G737" s="108"/>
      <c r="H737" s="108">
        <v>1</v>
      </c>
    </row>
    <row r="738" spans="1:8" ht="14">
      <c r="A738" s="108">
        <v>2003</v>
      </c>
      <c r="B738" s="108">
        <v>54</v>
      </c>
      <c r="C738" s="108" t="s">
        <v>138</v>
      </c>
      <c r="D738" s="108">
        <v>2725.4247142793001</v>
      </c>
      <c r="E738" s="108">
        <v>2261.5704928885798</v>
      </c>
      <c r="F738" s="108" t="s">
        <v>136</v>
      </c>
      <c r="G738" s="108"/>
      <c r="H738" s="108">
        <v>1</v>
      </c>
    </row>
    <row r="739" spans="1:8" ht="14">
      <c r="A739" s="108">
        <v>2003</v>
      </c>
      <c r="B739" s="108">
        <v>54</v>
      </c>
      <c r="C739" s="108" t="s">
        <v>139</v>
      </c>
      <c r="D739" s="108">
        <v>123.102165191469</v>
      </c>
      <c r="E739" s="108">
        <v>101.137704288821</v>
      </c>
      <c r="F739" s="108" t="s">
        <v>135</v>
      </c>
      <c r="G739" s="108"/>
      <c r="H739" s="108">
        <v>1</v>
      </c>
    </row>
    <row r="740" spans="1:8" ht="14">
      <c r="A740" s="108">
        <v>2003</v>
      </c>
      <c r="B740" s="108">
        <v>54</v>
      </c>
      <c r="C740" s="108" t="s">
        <v>139</v>
      </c>
      <c r="D740" s="108">
        <v>1885.16583480853</v>
      </c>
      <c r="E740" s="108">
        <v>1283.3252957111699</v>
      </c>
      <c r="F740" s="108" t="s">
        <v>136</v>
      </c>
      <c r="G740" s="108"/>
      <c r="H740" s="108">
        <v>1</v>
      </c>
    </row>
    <row r="741" spans="1:8" ht="14">
      <c r="A741" s="108">
        <v>2003</v>
      </c>
      <c r="B741" s="108">
        <v>56</v>
      </c>
      <c r="C741" s="108" t="s">
        <v>30</v>
      </c>
      <c r="D741" s="108">
        <v>5.3999999999999999E-2</v>
      </c>
      <c r="E741" s="108">
        <v>5.3999999999999999E-2</v>
      </c>
      <c r="F741" s="108" t="s">
        <v>135</v>
      </c>
      <c r="G741" s="108"/>
      <c r="H741" s="108">
        <v>1</v>
      </c>
    </row>
    <row r="742" spans="1:8" ht="14">
      <c r="A742" s="108">
        <v>2003</v>
      </c>
      <c r="B742" s="108">
        <v>56</v>
      </c>
      <c r="C742" s="108" t="s">
        <v>138</v>
      </c>
      <c r="D742" s="108">
        <v>5.3999999999999999E-2</v>
      </c>
      <c r="E742" s="108">
        <v>5.3999999999999999E-2</v>
      </c>
      <c r="F742" s="108" t="s">
        <v>135</v>
      </c>
      <c r="G742" s="108"/>
      <c r="H742" s="108">
        <v>1</v>
      </c>
    </row>
    <row r="743" spans="1:8" ht="14">
      <c r="A743" s="108">
        <v>2003</v>
      </c>
      <c r="B743" s="108">
        <v>59</v>
      </c>
      <c r="C743" s="108" t="s">
        <v>30</v>
      </c>
      <c r="D743" s="108">
        <v>34.744733655061403</v>
      </c>
      <c r="E743" s="108">
        <v>39.181919372900303</v>
      </c>
      <c r="F743" s="108" t="s">
        <v>135</v>
      </c>
      <c r="G743" s="108"/>
      <c r="H743" s="108">
        <v>1</v>
      </c>
    </row>
    <row r="744" spans="1:8" ht="14">
      <c r="A744" s="108">
        <v>2003</v>
      </c>
      <c r="B744" s="108">
        <v>59</v>
      </c>
      <c r="C744" s="108" t="s">
        <v>30</v>
      </c>
      <c r="D744" s="108">
        <v>347.76126634493801</v>
      </c>
      <c r="E744" s="108">
        <v>46.434080627099597</v>
      </c>
      <c r="F744" s="108" t="s">
        <v>136</v>
      </c>
      <c r="G744" s="108"/>
      <c r="H744" s="108">
        <v>1</v>
      </c>
    </row>
    <row r="745" spans="1:8" ht="14">
      <c r="A745" s="108">
        <v>2003</v>
      </c>
      <c r="B745" s="108">
        <v>59</v>
      </c>
      <c r="C745" s="108" t="s">
        <v>138</v>
      </c>
      <c r="D745" s="108">
        <v>225.771266344938</v>
      </c>
      <c r="E745" s="108">
        <v>36.005080627099602</v>
      </c>
      <c r="F745" s="108" t="s">
        <v>136</v>
      </c>
      <c r="G745" s="108"/>
      <c r="H745" s="108">
        <v>1</v>
      </c>
    </row>
    <row r="746" spans="1:8" ht="14">
      <c r="A746" s="108">
        <v>2003</v>
      </c>
      <c r="B746" s="108">
        <v>59</v>
      </c>
      <c r="C746" s="108" t="s">
        <v>138</v>
      </c>
      <c r="D746" s="108">
        <v>17.8267336550614</v>
      </c>
      <c r="E746" s="108">
        <v>19.3189193729003</v>
      </c>
      <c r="F746" s="108" t="s">
        <v>135</v>
      </c>
      <c r="G746" s="108"/>
      <c r="H746" s="108">
        <v>1</v>
      </c>
    </row>
    <row r="747" spans="1:8" ht="14">
      <c r="A747" s="108">
        <v>2003</v>
      </c>
      <c r="B747" s="108">
        <v>59</v>
      </c>
      <c r="C747" s="108" t="s">
        <v>139</v>
      </c>
      <c r="D747" s="108">
        <v>16.917999999999999</v>
      </c>
      <c r="E747" s="108">
        <v>19.863</v>
      </c>
      <c r="F747" s="108" t="s">
        <v>135</v>
      </c>
      <c r="G747" s="108"/>
      <c r="H747" s="108">
        <v>1</v>
      </c>
    </row>
    <row r="748" spans="1:8" ht="14">
      <c r="A748" s="108">
        <v>2003</v>
      </c>
      <c r="B748" s="108">
        <v>59</v>
      </c>
      <c r="C748" s="108" t="s">
        <v>139</v>
      </c>
      <c r="D748" s="108">
        <v>121.99</v>
      </c>
      <c r="E748" s="108">
        <v>10.429</v>
      </c>
      <c r="F748" s="108" t="s">
        <v>136</v>
      </c>
      <c r="G748" s="108"/>
      <c r="H748" s="108">
        <v>1</v>
      </c>
    </row>
    <row r="749" spans="1:8" ht="14">
      <c r="A749" s="108">
        <v>2003</v>
      </c>
      <c r="B749" s="108">
        <v>61</v>
      </c>
      <c r="C749" s="108" t="s">
        <v>30</v>
      </c>
      <c r="D749" s="108">
        <v>24187.013459910901</v>
      </c>
      <c r="E749" s="108">
        <v>1729.50685943952</v>
      </c>
      <c r="F749" s="108" t="s">
        <v>136</v>
      </c>
      <c r="G749" s="108"/>
      <c r="H749" s="108">
        <v>1</v>
      </c>
    </row>
    <row r="750" spans="1:8" ht="14">
      <c r="A750" s="108">
        <v>2003</v>
      </c>
      <c r="B750" s="108">
        <v>61</v>
      </c>
      <c r="C750" s="108" t="s">
        <v>30</v>
      </c>
      <c r="D750" s="108">
        <v>12279.666540089</v>
      </c>
      <c r="E750" s="108">
        <v>972.157140560475</v>
      </c>
      <c r="F750" s="108" t="s">
        <v>135</v>
      </c>
      <c r="G750" s="108"/>
      <c r="H750" s="108">
        <v>1</v>
      </c>
    </row>
    <row r="751" spans="1:8" ht="14">
      <c r="A751" s="108">
        <v>2003</v>
      </c>
      <c r="B751" s="108">
        <v>61</v>
      </c>
      <c r="C751" s="108" t="s">
        <v>138</v>
      </c>
      <c r="D751" s="108">
        <v>6244.8116379117801</v>
      </c>
      <c r="E751" s="108">
        <v>488.16996628859698</v>
      </c>
      <c r="F751" s="108" t="s">
        <v>135</v>
      </c>
      <c r="G751" s="108"/>
      <c r="H751" s="108">
        <v>1</v>
      </c>
    </row>
    <row r="752" spans="1:8" ht="14">
      <c r="A752" s="108">
        <v>2003</v>
      </c>
      <c r="B752" s="108">
        <v>61</v>
      </c>
      <c r="C752" s="108" t="s">
        <v>138</v>
      </c>
      <c r="D752" s="108">
        <v>14187.2083620882</v>
      </c>
      <c r="E752" s="108">
        <v>878.12103371140199</v>
      </c>
      <c r="F752" s="108" t="s">
        <v>136</v>
      </c>
      <c r="G752" s="108"/>
      <c r="H752" s="108">
        <v>1</v>
      </c>
    </row>
    <row r="753" spans="1:8" ht="14">
      <c r="A753" s="108">
        <v>2003</v>
      </c>
      <c r="B753" s="108">
        <v>61</v>
      </c>
      <c r="C753" s="108" t="s">
        <v>139</v>
      </c>
      <c r="D753" s="108">
        <v>6034.8549021772396</v>
      </c>
      <c r="E753" s="108">
        <v>483.987174271877</v>
      </c>
      <c r="F753" s="108" t="s">
        <v>135</v>
      </c>
      <c r="G753" s="108"/>
      <c r="H753" s="108">
        <v>1</v>
      </c>
    </row>
    <row r="754" spans="1:8" ht="14">
      <c r="A754" s="108">
        <v>2003</v>
      </c>
      <c r="B754" s="108">
        <v>61</v>
      </c>
      <c r="C754" s="108" t="s">
        <v>139</v>
      </c>
      <c r="D754" s="108">
        <v>9999.8050978227493</v>
      </c>
      <c r="E754" s="108">
        <v>851.38582572812197</v>
      </c>
      <c r="F754" s="108" t="s">
        <v>136</v>
      </c>
      <c r="G754" s="108"/>
      <c r="H754" s="108">
        <v>1</v>
      </c>
    </row>
    <row r="755" spans="1:8" ht="14">
      <c r="A755" s="108">
        <v>2003</v>
      </c>
      <c r="B755" s="108">
        <v>62</v>
      </c>
      <c r="C755" s="108" t="s">
        <v>30</v>
      </c>
      <c r="D755" s="108">
        <v>62.870749640198298</v>
      </c>
      <c r="E755" s="108">
        <v>22.859496148290798</v>
      </c>
      <c r="F755" s="108" t="s">
        <v>135</v>
      </c>
      <c r="G755" s="108"/>
      <c r="H755" s="108">
        <v>1</v>
      </c>
    </row>
    <row r="756" spans="1:8" ht="14">
      <c r="A756" s="108">
        <v>2003</v>
      </c>
      <c r="B756" s="108">
        <v>62</v>
      </c>
      <c r="C756" s="108" t="s">
        <v>30</v>
      </c>
      <c r="D756" s="108">
        <v>586.57125035980096</v>
      </c>
      <c r="E756" s="108">
        <v>16.232503851709101</v>
      </c>
      <c r="F756" s="108" t="s">
        <v>136</v>
      </c>
      <c r="G756" s="108"/>
      <c r="H756" s="108">
        <v>1</v>
      </c>
    </row>
    <row r="757" spans="1:8" ht="14">
      <c r="A757" s="108">
        <v>2003</v>
      </c>
      <c r="B757" s="108">
        <v>62</v>
      </c>
      <c r="C757" s="108" t="s">
        <v>138</v>
      </c>
      <c r="D757" s="108">
        <v>526.604256849796</v>
      </c>
      <c r="E757" s="108">
        <v>5.8574516129032199</v>
      </c>
      <c r="F757" s="108" t="s">
        <v>136</v>
      </c>
      <c r="G757" s="108"/>
      <c r="H757" s="108">
        <v>1</v>
      </c>
    </row>
    <row r="758" spans="1:8" ht="14">
      <c r="A758" s="108">
        <v>2003</v>
      </c>
      <c r="B758" s="108">
        <v>62</v>
      </c>
      <c r="C758" s="108" t="s">
        <v>138</v>
      </c>
      <c r="D758" s="108">
        <v>39.139743150203699</v>
      </c>
      <c r="E758" s="108">
        <v>11.5485483870967</v>
      </c>
      <c r="F758" s="108" t="s">
        <v>135</v>
      </c>
      <c r="G758" s="108"/>
      <c r="H758" s="108">
        <v>1</v>
      </c>
    </row>
    <row r="759" spans="1:8" ht="14">
      <c r="A759" s="108">
        <v>2003</v>
      </c>
      <c r="B759" s="108">
        <v>62</v>
      </c>
      <c r="C759" s="108" t="s">
        <v>139</v>
      </c>
      <c r="D759" s="108">
        <v>23.731006489994499</v>
      </c>
      <c r="E759" s="108">
        <v>11.310947761194001</v>
      </c>
      <c r="F759" s="108" t="s">
        <v>135</v>
      </c>
      <c r="G759" s="108"/>
      <c r="H759" s="108">
        <v>1</v>
      </c>
    </row>
    <row r="760" spans="1:8" ht="14">
      <c r="A760" s="108">
        <v>2003</v>
      </c>
      <c r="B760" s="108">
        <v>62</v>
      </c>
      <c r="C760" s="108" t="s">
        <v>139</v>
      </c>
      <c r="D760" s="108">
        <v>59.966993510005302</v>
      </c>
      <c r="E760" s="108">
        <v>10.3750522388059</v>
      </c>
      <c r="F760" s="108" t="s">
        <v>136</v>
      </c>
      <c r="G760" s="108"/>
      <c r="H760" s="108">
        <v>1</v>
      </c>
    </row>
    <row r="761" spans="1:8" ht="14">
      <c r="A761" s="108">
        <v>2003</v>
      </c>
      <c r="B761" s="108">
        <v>63</v>
      </c>
      <c r="C761" s="108" t="s">
        <v>30</v>
      </c>
      <c r="D761" s="108">
        <v>5503.79899999999</v>
      </c>
      <c r="E761" s="108">
        <v>373.536</v>
      </c>
      <c r="F761" s="108" t="s">
        <v>136</v>
      </c>
      <c r="G761" s="108"/>
      <c r="H761" s="108">
        <v>1</v>
      </c>
    </row>
    <row r="762" spans="1:8" ht="14">
      <c r="A762" s="108">
        <v>2003</v>
      </c>
      <c r="B762" s="108">
        <v>63</v>
      </c>
      <c r="C762" s="108" t="s">
        <v>30</v>
      </c>
      <c r="D762" s="108">
        <v>1.2150000000000001</v>
      </c>
      <c r="E762" s="108">
        <v>0.39200000000000002</v>
      </c>
      <c r="F762" s="108" t="s">
        <v>135</v>
      </c>
      <c r="G762" s="108"/>
      <c r="H762" s="108">
        <v>1</v>
      </c>
    </row>
    <row r="763" spans="1:8" ht="14">
      <c r="A763" s="108">
        <v>2003</v>
      </c>
      <c r="B763" s="108">
        <v>63</v>
      </c>
      <c r="C763" s="108" t="s">
        <v>138</v>
      </c>
      <c r="D763" s="108">
        <v>3479.8510000000001</v>
      </c>
      <c r="E763" s="108">
        <v>191.76</v>
      </c>
      <c r="F763" s="108" t="s">
        <v>136</v>
      </c>
      <c r="G763" s="108"/>
      <c r="H763" s="108">
        <v>1</v>
      </c>
    </row>
    <row r="764" spans="1:8" ht="14">
      <c r="A764" s="108">
        <v>2003</v>
      </c>
      <c r="B764" s="108">
        <v>63</v>
      </c>
      <c r="C764" s="108" t="s">
        <v>138</v>
      </c>
      <c r="D764" s="108">
        <v>1.21</v>
      </c>
      <c r="E764" s="108">
        <v>0.191</v>
      </c>
      <c r="F764" s="108" t="s">
        <v>135</v>
      </c>
      <c r="G764" s="108"/>
      <c r="H764" s="108">
        <v>1</v>
      </c>
    </row>
    <row r="765" spans="1:8" ht="14">
      <c r="A765" s="108">
        <v>2003</v>
      </c>
      <c r="B765" s="108">
        <v>63</v>
      </c>
      <c r="C765" s="108" t="s">
        <v>139</v>
      </c>
      <c r="D765" s="108">
        <v>5.0000000000000001E-3</v>
      </c>
      <c r="E765" s="108">
        <v>0.20100000000000001</v>
      </c>
      <c r="F765" s="108" t="s">
        <v>135</v>
      </c>
      <c r="G765" s="108"/>
      <c r="H765" s="108">
        <v>1</v>
      </c>
    </row>
    <row r="766" spans="1:8" ht="14">
      <c r="A766" s="108">
        <v>2003</v>
      </c>
      <c r="B766" s="108">
        <v>63</v>
      </c>
      <c r="C766" s="108" t="s">
        <v>139</v>
      </c>
      <c r="D766" s="108">
        <v>2023.9480000000001</v>
      </c>
      <c r="E766" s="108">
        <v>181.77599999999899</v>
      </c>
      <c r="F766" s="108" t="s">
        <v>136</v>
      </c>
      <c r="G766" s="108"/>
      <c r="H766" s="108">
        <v>1</v>
      </c>
    </row>
    <row r="767" spans="1:8" ht="14">
      <c r="A767" s="108">
        <v>2003</v>
      </c>
      <c r="B767" s="108">
        <v>69</v>
      </c>
      <c r="C767" s="108" t="s">
        <v>30</v>
      </c>
      <c r="D767" s="108">
        <v>460.87099999999998</v>
      </c>
      <c r="E767" s="108">
        <v>37.966999999999999</v>
      </c>
      <c r="F767" s="108" t="s">
        <v>135</v>
      </c>
      <c r="G767" s="108"/>
      <c r="H767" s="108">
        <v>1</v>
      </c>
    </row>
    <row r="768" spans="1:8" ht="14">
      <c r="A768" s="108">
        <v>2003</v>
      </c>
      <c r="B768" s="108">
        <v>69</v>
      </c>
      <c r="C768" s="108" t="s">
        <v>30</v>
      </c>
      <c r="D768" s="108">
        <v>3.8220000000000001</v>
      </c>
      <c r="E768" s="108">
        <v>0.29199999999999998</v>
      </c>
      <c r="F768" s="108" t="s">
        <v>136</v>
      </c>
      <c r="G768" s="108"/>
      <c r="H768" s="108">
        <v>1</v>
      </c>
    </row>
    <row r="769" spans="1:8" ht="14">
      <c r="A769" s="108">
        <v>2003</v>
      </c>
      <c r="B769" s="108">
        <v>69</v>
      </c>
      <c r="C769" s="108" t="s">
        <v>138</v>
      </c>
      <c r="D769" s="108">
        <v>2.3959999999999999</v>
      </c>
      <c r="E769" s="108">
        <v>0.24299999999999999</v>
      </c>
      <c r="F769" s="108" t="s">
        <v>136</v>
      </c>
      <c r="G769" s="108"/>
      <c r="H769" s="108">
        <v>1</v>
      </c>
    </row>
    <row r="770" spans="1:8" ht="14">
      <c r="A770" s="108">
        <v>2003</v>
      </c>
      <c r="B770" s="108">
        <v>69</v>
      </c>
      <c r="C770" s="108" t="s">
        <v>138</v>
      </c>
      <c r="D770" s="108">
        <v>232.99</v>
      </c>
      <c r="E770" s="108">
        <v>19.425000000000001</v>
      </c>
      <c r="F770" s="108" t="s">
        <v>135</v>
      </c>
      <c r="G770" s="108"/>
      <c r="H770" s="108">
        <v>1</v>
      </c>
    </row>
    <row r="771" spans="1:8" ht="14">
      <c r="A771" s="108">
        <v>2003</v>
      </c>
      <c r="B771" s="108">
        <v>69</v>
      </c>
      <c r="C771" s="108" t="s">
        <v>139</v>
      </c>
      <c r="D771" s="108">
        <v>1.4259999999999999</v>
      </c>
      <c r="E771" s="108">
        <v>4.9000000000000002E-2</v>
      </c>
      <c r="F771" s="108" t="s">
        <v>136</v>
      </c>
      <c r="G771" s="108"/>
      <c r="H771" s="108">
        <v>1</v>
      </c>
    </row>
    <row r="772" spans="1:8" ht="14">
      <c r="A772" s="108">
        <v>2003</v>
      </c>
      <c r="B772" s="108">
        <v>69</v>
      </c>
      <c r="C772" s="108" t="s">
        <v>139</v>
      </c>
      <c r="D772" s="108">
        <v>227.881</v>
      </c>
      <c r="E772" s="108">
        <v>18.542000000000002</v>
      </c>
      <c r="F772" s="108" t="s">
        <v>135</v>
      </c>
      <c r="G772" s="108"/>
      <c r="H772" s="108">
        <v>1</v>
      </c>
    </row>
    <row r="773" spans="1:8" ht="14">
      <c r="A773" s="108">
        <v>2003</v>
      </c>
      <c r="B773" s="108">
        <v>91</v>
      </c>
      <c r="C773" s="108" t="s">
        <v>30</v>
      </c>
      <c r="D773" s="108">
        <v>260.75597779097001</v>
      </c>
      <c r="E773" s="108">
        <v>0</v>
      </c>
      <c r="F773" s="108" t="s">
        <v>135</v>
      </c>
      <c r="G773" s="108"/>
      <c r="H773" s="108">
        <v>1</v>
      </c>
    </row>
    <row r="774" spans="1:8" ht="14">
      <c r="A774" s="108">
        <v>2003</v>
      </c>
      <c r="B774" s="108">
        <v>91</v>
      </c>
      <c r="C774" s="108" t="s">
        <v>30</v>
      </c>
      <c r="D774" s="108">
        <v>9986.2903461114292</v>
      </c>
      <c r="E774" s="108">
        <v>0</v>
      </c>
      <c r="F774" s="108" t="s">
        <v>136</v>
      </c>
      <c r="G774" s="108"/>
      <c r="H774" s="108">
        <v>1</v>
      </c>
    </row>
    <row r="775" spans="1:8" ht="14">
      <c r="A775" s="108">
        <v>2003</v>
      </c>
      <c r="B775" s="108">
        <v>91</v>
      </c>
      <c r="C775" s="108" t="s">
        <v>30</v>
      </c>
      <c r="D775" s="108">
        <v>1.72467609759715</v>
      </c>
      <c r="E775" s="108">
        <v>0</v>
      </c>
      <c r="F775" s="108" t="s">
        <v>137</v>
      </c>
      <c r="G775" s="108"/>
      <c r="H775" s="108">
        <v>1</v>
      </c>
    </row>
    <row r="776" spans="1:8" ht="14">
      <c r="A776" s="108">
        <v>2003</v>
      </c>
      <c r="B776" s="108">
        <v>91</v>
      </c>
      <c r="C776" s="108" t="s">
        <v>138</v>
      </c>
      <c r="D776" s="108">
        <v>9829.5797717318801</v>
      </c>
      <c r="E776" s="108">
        <v>0</v>
      </c>
      <c r="F776" s="108" t="s">
        <v>136</v>
      </c>
      <c r="G776" s="108"/>
      <c r="H776" s="108">
        <v>1</v>
      </c>
    </row>
    <row r="777" spans="1:8" ht="14">
      <c r="A777" s="108">
        <v>2003</v>
      </c>
      <c r="B777" s="108">
        <v>91</v>
      </c>
      <c r="C777" s="108" t="s">
        <v>138</v>
      </c>
      <c r="D777" s="108">
        <v>1.58567609759715</v>
      </c>
      <c r="E777" s="108">
        <v>0</v>
      </c>
      <c r="F777" s="108" t="s">
        <v>137</v>
      </c>
      <c r="G777" s="108"/>
      <c r="H777" s="108">
        <v>1</v>
      </c>
    </row>
    <row r="778" spans="1:8" ht="14">
      <c r="A778" s="108">
        <v>2003</v>
      </c>
      <c r="B778" s="108">
        <v>91</v>
      </c>
      <c r="C778" s="108" t="s">
        <v>138</v>
      </c>
      <c r="D778" s="108">
        <v>35.807552170523898</v>
      </c>
      <c r="E778" s="108">
        <v>0</v>
      </c>
      <c r="F778" s="108" t="s">
        <v>135</v>
      </c>
      <c r="G778" s="108"/>
      <c r="H778" s="108">
        <v>1</v>
      </c>
    </row>
    <row r="779" spans="1:8" ht="14">
      <c r="A779" s="108">
        <v>2003</v>
      </c>
      <c r="B779" s="108">
        <v>91</v>
      </c>
      <c r="C779" s="108" t="s">
        <v>139</v>
      </c>
      <c r="D779" s="108">
        <v>224.94842562044599</v>
      </c>
      <c r="E779" s="108">
        <v>0</v>
      </c>
      <c r="F779" s="108" t="s">
        <v>135</v>
      </c>
      <c r="G779" s="108"/>
      <c r="H779" s="108">
        <v>1</v>
      </c>
    </row>
    <row r="780" spans="1:8" ht="14">
      <c r="A780" s="108">
        <v>2003</v>
      </c>
      <c r="B780" s="108">
        <v>91</v>
      </c>
      <c r="C780" s="108" t="s">
        <v>139</v>
      </c>
      <c r="D780" s="108">
        <v>0.13900000000000001</v>
      </c>
      <c r="E780" s="108">
        <v>0</v>
      </c>
      <c r="F780" s="108" t="s">
        <v>137</v>
      </c>
      <c r="G780" s="108"/>
      <c r="H780" s="108">
        <v>1</v>
      </c>
    </row>
    <row r="781" spans="1:8" ht="14">
      <c r="A781" s="108">
        <v>2003</v>
      </c>
      <c r="B781" s="108">
        <v>91</v>
      </c>
      <c r="C781" s="108" t="s">
        <v>139</v>
      </c>
      <c r="D781" s="108">
        <v>156.71057437955301</v>
      </c>
      <c r="E781" s="108">
        <v>0</v>
      </c>
      <c r="F781" s="108" t="s">
        <v>136</v>
      </c>
      <c r="G781" s="108"/>
      <c r="H781" s="108">
        <v>1</v>
      </c>
    </row>
    <row r="782" spans="1:8" ht="14">
      <c r="A782" s="108">
        <v>2003</v>
      </c>
      <c r="B782" s="108">
        <v>92</v>
      </c>
      <c r="C782" s="108" t="s">
        <v>30</v>
      </c>
      <c r="D782" s="108">
        <v>26.465</v>
      </c>
      <c r="E782" s="108">
        <v>0</v>
      </c>
      <c r="F782" s="108" t="s">
        <v>137</v>
      </c>
      <c r="G782" s="108"/>
      <c r="H782" s="108">
        <v>1</v>
      </c>
    </row>
    <row r="783" spans="1:8" ht="14">
      <c r="A783" s="108">
        <v>2003</v>
      </c>
      <c r="B783" s="108">
        <v>92</v>
      </c>
      <c r="C783" s="108" t="s">
        <v>30</v>
      </c>
      <c r="D783" s="108">
        <v>330.80801532221602</v>
      </c>
      <c r="E783" s="108">
        <v>0</v>
      </c>
      <c r="F783" s="108" t="s">
        <v>135</v>
      </c>
      <c r="G783" s="108"/>
      <c r="H783" s="108">
        <v>1</v>
      </c>
    </row>
    <row r="784" spans="1:8" ht="14">
      <c r="A784" s="108">
        <v>2003</v>
      </c>
      <c r="B784" s="108">
        <v>92</v>
      </c>
      <c r="C784" s="108" t="s">
        <v>30</v>
      </c>
      <c r="D784" s="108">
        <v>8637.5609846777807</v>
      </c>
      <c r="E784" s="108">
        <v>0</v>
      </c>
      <c r="F784" s="108" t="s">
        <v>136</v>
      </c>
      <c r="G784" s="108"/>
      <c r="H784" s="108">
        <v>1</v>
      </c>
    </row>
    <row r="785" spans="1:8" ht="14">
      <c r="A785" s="108">
        <v>2003</v>
      </c>
      <c r="B785" s="108">
        <v>92</v>
      </c>
      <c r="C785" s="108" t="s">
        <v>138</v>
      </c>
      <c r="D785" s="108">
        <v>167.67448117353999</v>
      </c>
      <c r="E785" s="108">
        <v>0</v>
      </c>
      <c r="F785" s="108" t="s">
        <v>135</v>
      </c>
      <c r="G785" s="108"/>
      <c r="H785" s="108">
        <v>1</v>
      </c>
    </row>
    <row r="786" spans="1:8" ht="14">
      <c r="A786" s="108">
        <v>2003</v>
      </c>
      <c r="B786" s="108">
        <v>92</v>
      </c>
      <c r="C786" s="108" t="s">
        <v>138</v>
      </c>
      <c r="D786" s="108">
        <v>2.9750000000000001</v>
      </c>
      <c r="E786" s="108">
        <v>0</v>
      </c>
      <c r="F786" s="108" t="s">
        <v>137</v>
      </c>
      <c r="G786" s="108"/>
      <c r="H786" s="108">
        <v>1</v>
      </c>
    </row>
    <row r="787" spans="1:8" ht="14">
      <c r="A787" s="108">
        <v>2003</v>
      </c>
      <c r="B787" s="108">
        <v>92</v>
      </c>
      <c r="C787" s="108" t="s">
        <v>138</v>
      </c>
      <c r="D787" s="108">
        <v>5294.54751882646</v>
      </c>
      <c r="E787" s="108">
        <v>0</v>
      </c>
      <c r="F787" s="108" t="s">
        <v>136</v>
      </c>
      <c r="G787" s="108"/>
      <c r="H787" s="108">
        <v>1</v>
      </c>
    </row>
    <row r="788" spans="1:8" ht="14">
      <c r="A788" s="108">
        <v>2003</v>
      </c>
      <c r="B788" s="108">
        <v>92</v>
      </c>
      <c r="C788" s="108" t="s">
        <v>139</v>
      </c>
      <c r="D788" s="108">
        <v>163.13353414867501</v>
      </c>
      <c r="E788" s="108">
        <v>0</v>
      </c>
      <c r="F788" s="108" t="s">
        <v>135</v>
      </c>
      <c r="G788" s="108"/>
      <c r="H788" s="108">
        <v>1</v>
      </c>
    </row>
    <row r="789" spans="1:8" ht="14">
      <c r="A789" s="108">
        <v>2003</v>
      </c>
      <c r="B789" s="108">
        <v>92</v>
      </c>
      <c r="C789" s="108" t="s">
        <v>139</v>
      </c>
      <c r="D789" s="108">
        <v>3343.0134658513198</v>
      </c>
      <c r="E789" s="108">
        <v>0</v>
      </c>
      <c r="F789" s="108" t="s">
        <v>136</v>
      </c>
      <c r="G789" s="108"/>
      <c r="H789" s="108">
        <v>1</v>
      </c>
    </row>
    <row r="790" spans="1:8" ht="14">
      <c r="A790" s="108">
        <v>2003</v>
      </c>
      <c r="B790" s="108">
        <v>92</v>
      </c>
      <c r="C790" s="108" t="s">
        <v>139</v>
      </c>
      <c r="D790" s="108">
        <v>23.49</v>
      </c>
      <c r="E790" s="108">
        <v>0</v>
      </c>
      <c r="F790" s="108" t="s">
        <v>137</v>
      </c>
      <c r="G790" s="108"/>
      <c r="H790" s="108">
        <v>1</v>
      </c>
    </row>
    <row r="791" spans="1:8" ht="14">
      <c r="A791" s="108">
        <v>2003</v>
      </c>
      <c r="B791" s="108">
        <v>99</v>
      </c>
      <c r="C791" s="108" t="s">
        <v>30</v>
      </c>
      <c r="D791" s="108">
        <v>8.4688639377164403</v>
      </c>
      <c r="E791" s="108">
        <v>0</v>
      </c>
      <c r="F791" s="108" t="s">
        <v>137</v>
      </c>
      <c r="G791" s="108"/>
      <c r="H791" s="108">
        <v>1</v>
      </c>
    </row>
    <row r="792" spans="1:8" ht="14">
      <c r="A792" s="108">
        <v>2003</v>
      </c>
      <c r="B792" s="108">
        <v>99</v>
      </c>
      <c r="C792" s="108" t="s">
        <v>30</v>
      </c>
      <c r="D792" s="108">
        <v>5140.4760869614001</v>
      </c>
      <c r="E792" s="108">
        <v>0</v>
      </c>
      <c r="F792" s="108" t="s">
        <v>136</v>
      </c>
      <c r="G792" s="108"/>
      <c r="H792" s="108">
        <v>1</v>
      </c>
    </row>
    <row r="793" spans="1:8" ht="14">
      <c r="A793" s="108">
        <v>2003</v>
      </c>
      <c r="B793" s="108">
        <v>99</v>
      </c>
      <c r="C793" s="108" t="s">
        <v>30</v>
      </c>
      <c r="D793" s="108">
        <v>1600.96204910087</v>
      </c>
      <c r="E793" s="108">
        <v>0</v>
      </c>
      <c r="F793" s="108" t="s">
        <v>135</v>
      </c>
      <c r="G793" s="108"/>
      <c r="H793" s="108">
        <v>1</v>
      </c>
    </row>
    <row r="794" spans="1:8" ht="14">
      <c r="A794" s="108">
        <v>2003</v>
      </c>
      <c r="B794" s="108">
        <v>99</v>
      </c>
      <c r="C794" s="108" t="s">
        <v>138</v>
      </c>
      <c r="D794" s="108">
        <v>1.0838639377164501</v>
      </c>
      <c r="E794" s="108">
        <v>0</v>
      </c>
      <c r="F794" s="108" t="s">
        <v>137</v>
      </c>
      <c r="G794" s="108"/>
      <c r="H794" s="108">
        <v>1</v>
      </c>
    </row>
    <row r="795" spans="1:8" ht="14">
      <c r="A795" s="108">
        <v>2003</v>
      </c>
      <c r="B795" s="108">
        <v>99</v>
      </c>
      <c r="C795" s="108" t="s">
        <v>138</v>
      </c>
      <c r="D795" s="108">
        <v>548.83769450690602</v>
      </c>
      <c r="E795" s="108">
        <v>0</v>
      </c>
      <c r="F795" s="108" t="s">
        <v>135</v>
      </c>
      <c r="G795" s="108"/>
      <c r="H795" s="108">
        <v>1</v>
      </c>
    </row>
    <row r="796" spans="1:8" ht="14">
      <c r="A796" s="108">
        <v>2003</v>
      </c>
      <c r="B796" s="108">
        <v>99</v>
      </c>
      <c r="C796" s="108" t="s">
        <v>138</v>
      </c>
      <c r="D796" s="108">
        <v>3660.4484415553702</v>
      </c>
      <c r="E796" s="108">
        <v>0</v>
      </c>
      <c r="F796" s="108" t="s">
        <v>136</v>
      </c>
      <c r="G796" s="108"/>
      <c r="H796" s="108">
        <v>1</v>
      </c>
    </row>
    <row r="797" spans="1:8" ht="14">
      <c r="A797" s="108">
        <v>2003</v>
      </c>
      <c r="B797" s="108">
        <v>99</v>
      </c>
      <c r="C797" s="108" t="s">
        <v>139</v>
      </c>
      <c r="D797" s="108">
        <v>1480.0276454060299</v>
      </c>
      <c r="E797" s="108">
        <v>0</v>
      </c>
      <c r="F797" s="108" t="s">
        <v>136</v>
      </c>
      <c r="G797" s="108"/>
      <c r="H797" s="108">
        <v>1</v>
      </c>
    </row>
    <row r="798" spans="1:8" ht="14">
      <c r="A798" s="108">
        <v>2003</v>
      </c>
      <c r="B798" s="108">
        <v>99</v>
      </c>
      <c r="C798" s="108" t="s">
        <v>139</v>
      </c>
      <c r="D798" s="108">
        <v>1052.1243545939601</v>
      </c>
      <c r="E798" s="108">
        <v>0</v>
      </c>
      <c r="F798" s="108" t="s">
        <v>135</v>
      </c>
      <c r="G798" s="108"/>
      <c r="H798" s="108">
        <v>1</v>
      </c>
    </row>
    <row r="799" spans="1:8" ht="14">
      <c r="A799" s="108">
        <v>2003</v>
      </c>
      <c r="B799" s="108">
        <v>99</v>
      </c>
      <c r="C799" s="108" t="s">
        <v>139</v>
      </c>
      <c r="D799" s="108">
        <v>7.3849999999999998</v>
      </c>
      <c r="E799" s="108">
        <v>0</v>
      </c>
      <c r="F799" s="108" t="s">
        <v>137</v>
      </c>
      <c r="G799" s="108"/>
      <c r="H799" s="108">
        <v>1</v>
      </c>
    </row>
    <row r="800" spans="1:8" ht="14">
      <c r="A800" s="108">
        <v>2004</v>
      </c>
      <c r="B800" s="108">
        <v>11</v>
      </c>
      <c r="C800" s="108" t="s">
        <v>30</v>
      </c>
      <c r="D800" s="108">
        <v>4.1992070369110301</v>
      </c>
      <c r="E800" s="108">
        <v>0</v>
      </c>
      <c r="F800" s="108" t="s">
        <v>137</v>
      </c>
      <c r="G800" s="108"/>
      <c r="H800" s="108">
        <v>1</v>
      </c>
    </row>
    <row r="801" spans="1:8" ht="14">
      <c r="A801" s="108">
        <v>2004</v>
      </c>
      <c r="B801" s="108">
        <v>11</v>
      </c>
      <c r="C801" s="108" t="s">
        <v>30</v>
      </c>
      <c r="D801" s="108">
        <v>2641.0883354364501</v>
      </c>
      <c r="E801" s="108">
        <v>0</v>
      </c>
      <c r="F801" s="108" t="s">
        <v>135</v>
      </c>
      <c r="G801" s="108"/>
      <c r="H801" s="108">
        <v>1</v>
      </c>
    </row>
    <row r="802" spans="1:8" ht="14">
      <c r="A802" s="108">
        <v>2004</v>
      </c>
      <c r="B802" s="108">
        <v>11</v>
      </c>
      <c r="C802" s="108" t="s">
        <v>30</v>
      </c>
      <c r="D802" s="108">
        <v>4765.0604575266298</v>
      </c>
      <c r="E802" s="108">
        <v>0</v>
      </c>
      <c r="F802" s="108" t="s">
        <v>136</v>
      </c>
      <c r="G802" s="108"/>
      <c r="H802" s="108">
        <v>1</v>
      </c>
    </row>
    <row r="803" spans="1:8" ht="14">
      <c r="A803" s="108">
        <v>2004</v>
      </c>
      <c r="B803" s="108">
        <v>11</v>
      </c>
      <c r="C803" s="108" t="s">
        <v>138</v>
      </c>
      <c r="D803" s="108">
        <v>765.26480647357505</v>
      </c>
      <c r="E803" s="108">
        <v>0</v>
      </c>
      <c r="F803" s="108" t="s">
        <v>136</v>
      </c>
      <c r="G803" s="108"/>
      <c r="H803" s="108">
        <v>1</v>
      </c>
    </row>
    <row r="804" spans="1:8" ht="14">
      <c r="A804" s="108">
        <v>2004</v>
      </c>
      <c r="B804" s="108">
        <v>11</v>
      </c>
      <c r="C804" s="108" t="s">
        <v>138</v>
      </c>
      <c r="D804" s="108">
        <v>1148.4901935264199</v>
      </c>
      <c r="E804" s="108">
        <v>0</v>
      </c>
      <c r="F804" s="108" t="s">
        <v>135</v>
      </c>
      <c r="G804" s="108"/>
      <c r="H804" s="108">
        <v>1</v>
      </c>
    </row>
    <row r="805" spans="1:8" ht="14">
      <c r="A805" s="108">
        <v>2004</v>
      </c>
      <c r="B805" s="108">
        <v>11</v>
      </c>
      <c r="C805" s="108" t="s">
        <v>139</v>
      </c>
      <c r="D805" s="108">
        <v>4.1992070369110301</v>
      </c>
      <c r="E805" s="108">
        <v>0</v>
      </c>
      <c r="F805" s="108" t="s">
        <v>137</v>
      </c>
      <c r="G805" s="108"/>
      <c r="H805" s="108">
        <v>1</v>
      </c>
    </row>
    <row r="806" spans="1:8" ht="14">
      <c r="A806" s="108">
        <v>2004</v>
      </c>
      <c r="B806" s="108">
        <v>11</v>
      </c>
      <c r="C806" s="108" t="s">
        <v>139</v>
      </c>
      <c r="D806" s="108">
        <v>1492.5981419100301</v>
      </c>
      <c r="E806" s="108">
        <v>0</v>
      </c>
      <c r="F806" s="108" t="s">
        <v>135</v>
      </c>
      <c r="G806" s="108"/>
      <c r="H806" s="108">
        <v>1</v>
      </c>
    </row>
    <row r="807" spans="1:8" ht="14">
      <c r="A807" s="108">
        <v>2004</v>
      </c>
      <c r="B807" s="108">
        <v>11</v>
      </c>
      <c r="C807" s="108" t="s">
        <v>139</v>
      </c>
      <c r="D807" s="108">
        <v>3999.7956510530498</v>
      </c>
      <c r="E807" s="108">
        <v>0</v>
      </c>
      <c r="F807" s="108" t="s">
        <v>136</v>
      </c>
      <c r="G807" s="108"/>
      <c r="H807" s="108">
        <v>1</v>
      </c>
    </row>
    <row r="808" spans="1:8" ht="14">
      <c r="A808" s="108">
        <v>2004</v>
      </c>
      <c r="B808" s="108">
        <v>12</v>
      </c>
      <c r="C808" s="108" t="s">
        <v>30</v>
      </c>
      <c r="D808" s="108">
        <v>100984.23155518</v>
      </c>
      <c r="E808" s="108">
        <v>0</v>
      </c>
      <c r="F808" s="108" t="s">
        <v>136</v>
      </c>
      <c r="G808" s="108"/>
      <c r="H808" s="108">
        <v>1</v>
      </c>
    </row>
    <row r="809" spans="1:8" ht="14">
      <c r="A809" s="108">
        <v>2004</v>
      </c>
      <c r="B809" s="108">
        <v>12</v>
      </c>
      <c r="C809" s="108" t="s">
        <v>30</v>
      </c>
      <c r="D809" s="108">
        <v>60611.260444819702</v>
      </c>
      <c r="E809" s="108">
        <v>0</v>
      </c>
      <c r="F809" s="108" t="s">
        <v>135</v>
      </c>
      <c r="G809" s="108"/>
      <c r="H809" s="108">
        <v>1</v>
      </c>
    </row>
    <row r="810" spans="1:8" ht="14">
      <c r="A810" s="108">
        <v>2004</v>
      </c>
      <c r="B810" s="108">
        <v>12</v>
      </c>
      <c r="C810" s="108" t="s">
        <v>138</v>
      </c>
      <c r="D810" s="108">
        <v>43924.799879557097</v>
      </c>
      <c r="E810" s="108">
        <v>0</v>
      </c>
      <c r="F810" s="108" t="s">
        <v>136</v>
      </c>
      <c r="G810" s="108"/>
      <c r="H810" s="108">
        <v>1</v>
      </c>
    </row>
    <row r="811" spans="1:8" ht="14">
      <c r="A811" s="108">
        <v>2004</v>
      </c>
      <c r="B811" s="108">
        <v>12</v>
      </c>
      <c r="C811" s="108" t="s">
        <v>138</v>
      </c>
      <c r="D811" s="108">
        <v>39644.685120442802</v>
      </c>
      <c r="E811" s="108">
        <v>0</v>
      </c>
      <c r="F811" s="108" t="s">
        <v>135</v>
      </c>
      <c r="G811" s="108"/>
      <c r="H811" s="108">
        <v>1</v>
      </c>
    </row>
    <row r="812" spans="1:8" ht="14">
      <c r="A812" s="108">
        <v>2004</v>
      </c>
      <c r="B812" s="108">
        <v>12</v>
      </c>
      <c r="C812" s="108" t="s">
        <v>139</v>
      </c>
      <c r="D812" s="108">
        <v>20966.5753243769</v>
      </c>
      <c r="E812" s="108">
        <v>0</v>
      </c>
      <c r="F812" s="108" t="s">
        <v>135</v>
      </c>
      <c r="G812" s="108"/>
      <c r="H812" s="108">
        <v>1</v>
      </c>
    </row>
    <row r="813" spans="1:8" ht="14">
      <c r="A813" s="108">
        <v>2004</v>
      </c>
      <c r="B813" s="108">
        <v>12</v>
      </c>
      <c r="C813" s="108" t="s">
        <v>139</v>
      </c>
      <c r="D813" s="108">
        <v>57059.431675622996</v>
      </c>
      <c r="E813" s="108">
        <v>0</v>
      </c>
      <c r="F813" s="108" t="s">
        <v>136</v>
      </c>
      <c r="G813" s="108"/>
      <c r="H813" s="108">
        <v>1</v>
      </c>
    </row>
    <row r="814" spans="1:8" ht="14">
      <c r="A814" s="108">
        <v>2004</v>
      </c>
      <c r="B814" s="108">
        <v>13</v>
      </c>
      <c r="C814" s="108" t="s">
        <v>30</v>
      </c>
      <c r="D814" s="108">
        <v>55292.2727622491</v>
      </c>
      <c r="E814" s="108">
        <v>0</v>
      </c>
      <c r="F814" s="108" t="s">
        <v>136</v>
      </c>
      <c r="G814" s="108"/>
      <c r="H814" s="108">
        <v>1</v>
      </c>
    </row>
    <row r="815" spans="1:8" ht="14">
      <c r="A815" s="108">
        <v>2004</v>
      </c>
      <c r="B815" s="108">
        <v>13</v>
      </c>
      <c r="C815" s="108" t="s">
        <v>30</v>
      </c>
      <c r="D815" s="108">
        <v>19.425208949623599</v>
      </c>
      <c r="E815" s="108">
        <v>0</v>
      </c>
      <c r="F815" s="108" t="s">
        <v>137</v>
      </c>
      <c r="G815" s="108"/>
      <c r="H815" s="108">
        <v>1</v>
      </c>
    </row>
    <row r="816" spans="1:8" ht="14">
      <c r="A816" s="108">
        <v>2004</v>
      </c>
      <c r="B816" s="108">
        <v>13</v>
      </c>
      <c r="C816" s="108" t="s">
        <v>30</v>
      </c>
      <c r="D816" s="108">
        <v>30664.2610288012</v>
      </c>
      <c r="E816" s="108">
        <v>0</v>
      </c>
      <c r="F816" s="108" t="s">
        <v>135</v>
      </c>
      <c r="G816" s="108"/>
      <c r="H816" s="108">
        <v>1</v>
      </c>
    </row>
    <row r="817" spans="1:8" ht="14">
      <c r="A817" s="108">
        <v>2004</v>
      </c>
      <c r="B817" s="108">
        <v>13</v>
      </c>
      <c r="C817" s="108" t="s">
        <v>138</v>
      </c>
      <c r="D817" s="108">
        <v>24616.844040327</v>
      </c>
      <c r="E817" s="108">
        <v>0</v>
      </c>
      <c r="F817" s="108" t="s">
        <v>136</v>
      </c>
      <c r="G817" s="108"/>
      <c r="H817" s="108">
        <v>1</v>
      </c>
    </row>
    <row r="818" spans="1:8" ht="14">
      <c r="A818" s="108">
        <v>2004</v>
      </c>
      <c r="B818" s="108">
        <v>13</v>
      </c>
      <c r="C818" s="108" t="s">
        <v>138</v>
      </c>
      <c r="D818" s="108">
        <v>3.7247339246708902</v>
      </c>
      <c r="E818" s="108">
        <v>0</v>
      </c>
      <c r="F818" s="108" t="s">
        <v>137</v>
      </c>
      <c r="G818" s="108"/>
      <c r="H818" s="108">
        <v>1</v>
      </c>
    </row>
    <row r="819" spans="1:8" ht="14">
      <c r="A819" s="108">
        <v>2004</v>
      </c>
      <c r="B819" s="108">
        <v>13</v>
      </c>
      <c r="C819" s="108" t="s">
        <v>138</v>
      </c>
      <c r="D819" s="108">
        <v>15331.000225748199</v>
      </c>
      <c r="E819" s="108">
        <v>0</v>
      </c>
      <c r="F819" s="108" t="s">
        <v>135</v>
      </c>
      <c r="G819" s="108"/>
      <c r="H819" s="108">
        <v>1</v>
      </c>
    </row>
    <row r="820" spans="1:8" ht="14">
      <c r="A820" s="108">
        <v>2004</v>
      </c>
      <c r="B820" s="108">
        <v>13</v>
      </c>
      <c r="C820" s="108" t="s">
        <v>139</v>
      </c>
      <c r="D820" s="108">
        <v>30675.428721921999</v>
      </c>
      <c r="E820" s="108">
        <v>0</v>
      </c>
      <c r="F820" s="108" t="s">
        <v>136</v>
      </c>
      <c r="G820" s="108"/>
      <c r="H820" s="108">
        <v>1</v>
      </c>
    </row>
    <row r="821" spans="1:8" ht="14">
      <c r="A821" s="108">
        <v>2004</v>
      </c>
      <c r="B821" s="108">
        <v>13</v>
      </c>
      <c r="C821" s="108" t="s">
        <v>139</v>
      </c>
      <c r="D821" s="108">
        <v>15.7004750249527</v>
      </c>
      <c r="E821" s="108">
        <v>0</v>
      </c>
      <c r="F821" s="108" t="s">
        <v>137</v>
      </c>
      <c r="G821" s="108"/>
      <c r="H821" s="108">
        <v>1</v>
      </c>
    </row>
    <row r="822" spans="1:8" ht="14">
      <c r="A822" s="108">
        <v>2004</v>
      </c>
      <c r="B822" s="108">
        <v>13</v>
      </c>
      <c r="C822" s="108" t="s">
        <v>139</v>
      </c>
      <c r="D822" s="108">
        <v>15333.260803052999</v>
      </c>
      <c r="E822" s="108">
        <v>0</v>
      </c>
      <c r="F822" s="108" t="s">
        <v>135</v>
      </c>
      <c r="G822" s="108"/>
      <c r="H822" s="108">
        <v>1</v>
      </c>
    </row>
    <row r="823" spans="1:8" ht="14">
      <c r="A823" s="108">
        <v>2004</v>
      </c>
      <c r="B823" s="108">
        <v>19</v>
      </c>
      <c r="C823" s="108" t="s">
        <v>30</v>
      </c>
      <c r="D823" s="108">
        <v>2251.5154784277202</v>
      </c>
      <c r="E823" s="108">
        <v>0</v>
      </c>
      <c r="F823" s="108" t="s">
        <v>135</v>
      </c>
      <c r="G823" s="108"/>
      <c r="H823" s="108">
        <v>1</v>
      </c>
    </row>
    <row r="824" spans="1:8" ht="14">
      <c r="A824" s="108">
        <v>2004</v>
      </c>
      <c r="B824" s="108">
        <v>19</v>
      </c>
      <c r="C824" s="108" t="s">
        <v>30</v>
      </c>
      <c r="D824" s="108">
        <v>20.715578139708398</v>
      </c>
      <c r="E824" s="108">
        <v>0</v>
      </c>
      <c r="F824" s="108" t="s">
        <v>137</v>
      </c>
      <c r="G824" s="108"/>
      <c r="H824" s="108">
        <v>1</v>
      </c>
    </row>
    <row r="825" spans="1:8" ht="14">
      <c r="A825" s="108">
        <v>2004</v>
      </c>
      <c r="B825" s="108">
        <v>19</v>
      </c>
      <c r="C825" s="108" t="s">
        <v>30</v>
      </c>
      <c r="D825" s="108">
        <v>10179.4839434325</v>
      </c>
      <c r="E825" s="108">
        <v>0</v>
      </c>
      <c r="F825" s="108" t="s">
        <v>136</v>
      </c>
      <c r="G825" s="108"/>
      <c r="H825" s="108">
        <v>1</v>
      </c>
    </row>
    <row r="826" spans="1:8" ht="14">
      <c r="A826" s="108">
        <v>2004</v>
      </c>
      <c r="B826" s="108">
        <v>19</v>
      </c>
      <c r="C826" s="108" t="s">
        <v>138</v>
      </c>
      <c r="D826" s="108">
        <v>984.83646895532104</v>
      </c>
      <c r="E826" s="108">
        <v>0</v>
      </c>
      <c r="F826" s="108" t="s">
        <v>135</v>
      </c>
      <c r="G826" s="108"/>
      <c r="H826" s="108">
        <v>1</v>
      </c>
    </row>
    <row r="827" spans="1:8" ht="14">
      <c r="A827" s="108">
        <v>2004</v>
      </c>
      <c r="B827" s="108">
        <v>19</v>
      </c>
      <c r="C827" s="108" t="s">
        <v>138</v>
      </c>
      <c r="D827" s="108">
        <v>6107.2349529049598</v>
      </c>
      <c r="E827" s="108">
        <v>0</v>
      </c>
      <c r="F827" s="108" t="s">
        <v>136</v>
      </c>
      <c r="G827" s="108"/>
      <c r="H827" s="108">
        <v>1</v>
      </c>
    </row>
    <row r="828" spans="1:8" ht="14">
      <c r="A828" s="108">
        <v>2004</v>
      </c>
      <c r="B828" s="108">
        <v>19</v>
      </c>
      <c r="C828" s="108" t="s">
        <v>138</v>
      </c>
      <c r="D828" s="108">
        <v>9.0355781397084201</v>
      </c>
      <c r="E828" s="108">
        <v>0</v>
      </c>
      <c r="F828" s="108" t="s">
        <v>137</v>
      </c>
      <c r="G828" s="108"/>
      <c r="H828" s="108">
        <v>1</v>
      </c>
    </row>
    <row r="829" spans="1:8" ht="14">
      <c r="A829" s="108">
        <v>2004</v>
      </c>
      <c r="B829" s="108">
        <v>19</v>
      </c>
      <c r="C829" s="108" t="s">
        <v>139</v>
      </c>
      <c r="D829" s="108">
        <v>1266.6790094723999</v>
      </c>
      <c r="E829" s="108">
        <v>0</v>
      </c>
      <c r="F829" s="108" t="s">
        <v>135</v>
      </c>
      <c r="G829" s="108"/>
      <c r="H829" s="108">
        <v>1</v>
      </c>
    </row>
    <row r="830" spans="1:8" ht="14">
      <c r="A830" s="108">
        <v>2004</v>
      </c>
      <c r="B830" s="108">
        <v>19</v>
      </c>
      <c r="C830" s="108" t="s">
        <v>139</v>
      </c>
      <c r="D830" s="108">
        <v>4072.2489905275902</v>
      </c>
      <c r="E830" s="108">
        <v>0</v>
      </c>
      <c r="F830" s="108" t="s">
        <v>136</v>
      </c>
      <c r="G830" s="108"/>
      <c r="H830" s="108">
        <v>1</v>
      </c>
    </row>
    <row r="831" spans="1:8" ht="14">
      <c r="A831" s="108">
        <v>2004</v>
      </c>
      <c r="B831" s="108">
        <v>19</v>
      </c>
      <c r="C831" s="108" t="s">
        <v>139</v>
      </c>
      <c r="D831" s="108">
        <v>11.68</v>
      </c>
      <c r="E831" s="108">
        <v>0</v>
      </c>
      <c r="F831" s="108" t="s">
        <v>137</v>
      </c>
      <c r="G831" s="108"/>
      <c r="H831" s="108">
        <v>1</v>
      </c>
    </row>
    <row r="832" spans="1:8" ht="14">
      <c r="A832" s="108">
        <v>2004</v>
      </c>
      <c r="B832" s="108">
        <v>21</v>
      </c>
      <c r="C832" s="108" t="s">
        <v>30</v>
      </c>
      <c r="D832" s="108">
        <v>17826.583999999999</v>
      </c>
      <c r="E832" s="108">
        <v>0</v>
      </c>
      <c r="F832" s="108" t="s">
        <v>136</v>
      </c>
      <c r="G832" s="108"/>
      <c r="H832" s="108">
        <v>1</v>
      </c>
    </row>
    <row r="833" spans="1:8" ht="14">
      <c r="A833" s="108">
        <v>2004</v>
      </c>
      <c r="B833" s="108">
        <v>21</v>
      </c>
      <c r="C833" s="108" t="s">
        <v>30</v>
      </c>
      <c r="D833" s="108">
        <v>0</v>
      </c>
      <c r="E833" s="108">
        <v>0</v>
      </c>
      <c r="F833" s="108" t="s">
        <v>135</v>
      </c>
      <c r="G833" s="108"/>
      <c r="H833" s="108">
        <v>1</v>
      </c>
    </row>
    <row r="834" spans="1:8" ht="14">
      <c r="A834" s="108">
        <v>2004</v>
      </c>
      <c r="B834" s="108">
        <v>21</v>
      </c>
      <c r="C834" s="108" t="s">
        <v>138</v>
      </c>
      <c r="D834" s="108">
        <v>17267.098999999998</v>
      </c>
      <c r="E834" s="108">
        <v>0</v>
      </c>
      <c r="F834" s="108" t="s">
        <v>136</v>
      </c>
      <c r="G834" s="108"/>
      <c r="H834" s="108">
        <v>1</v>
      </c>
    </row>
    <row r="835" spans="1:8" ht="14">
      <c r="A835" s="108">
        <v>2004</v>
      </c>
      <c r="B835" s="108">
        <v>21</v>
      </c>
      <c r="C835" s="108" t="s">
        <v>138</v>
      </c>
      <c r="D835" s="108">
        <v>0</v>
      </c>
      <c r="E835" s="108">
        <v>0</v>
      </c>
      <c r="F835" s="108" t="s">
        <v>135</v>
      </c>
      <c r="G835" s="108"/>
      <c r="H835" s="108">
        <v>1</v>
      </c>
    </row>
    <row r="836" spans="1:8" ht="14">
      <c r="A836" s="108">
        <v>2004</v>
      </c>
      <c r="B836" s="108">
        <v>21</v>
      </c>
      <c r="C836" s="108" t="s">
        <v>139</v>
      </c>
      <c r="D836" s="108">
        <v>0</v>
      </c>
      <c r="E836" s="108">
        <v>0</v>
      </c>
      <c r="F836" s="108" t="s">
        <v>135</v>
      </c>
      <c r="G836" s="108"/>
      <c r="H836" s="108">
        <v>1</v>
      </c>
    </row>
    <row r="837" spans="1:8" ht="14">
      <c r="A837" s="108">
        <v>2004</v>
      </c>
      <c r="B837" s="108">
        <v>21</v>
      </c>
      <c r="C837" s="108" t="s">
        <v>139</v>
      </c>
      <c r="D837" s="108">
        <v>559.48500000000001</v>
      </c>
      <c r="E837" s="108">
        <v>0</v>
      </c>
      <c r="F837" s="108" t="s">
        <v>136</v>
      </c>
      <c r="G837" s="108"/>
      <c r="H837" s="108">
        <v>1</v>
      </c>
    </row>
    <row r="838" spans="1:8" ht="14">
      <c r="A838" s="108">
        <v>2004</v>
      </c>
      <c r="B838" s="108">
        <v>22</v>
      </c>
      <c r="C838" s="108" t="s">
        <v>30</v>
      </c>
      <c r="D838" s="108">
        <v>3.246</v>
      </c>
      <c r="E838" s="108">
        <v>0</v>
      </c>
      <c r="F838" s="108" t="s">
        <v>137</v>
      </c>
      <c r="G838" s="108"/>
      <c r="H838" s="108">
        <v>1</v>
      </c>
    </row>
    <row r="839" spans="1:8" ht="14">
      <c r="A839" s="108">
        <v>2004</v>
      </c>
      <c r="B839" s="108">
        <v>22</v>
      </c>
      <c r="C839" s="108" t="s">
        <v>30</v>
      </c>
      <c r="D839" s="108">
        <v>38835.316773935498</v>
      </c>
      <c r="E839" s="108">
        <v>0</v>
      </c>
      <c r="F839" s="108" t="s">
        <v>136</v>
      </c>
      <c r="G839" s="108"/>
      <c r="H839" s="108">
        <v>1</v>
      </c>
    </row>
    <row r="840" spans="1:8" ht="14">
      <c r="A840" s="108">
        <v>2004</v>
      </c>
      <c r="B840" s="108">
        <v>22</v>
      </c>
      <c r="C840" s="108" t="s">
        <v>30</v>
      </c>
      <c r="D840" s="108">
        <v>2477.4342260644498</v>
      </c>
      <c r="E840" s="108">
        <v>0</v>
      </c>
      <c r="F840" s="108" t="s">
        <v>135</v>
      </c>
      <c r="G840" s="108"/>
      <c r="H840" s="108">
        <v>1</v>
      </c>
    </row>
    <row r="841" spans="1:8" ht="14">
      <c r="A841" s="108">
        <v>2004</v>
      </c>
      <c r="B841" s="108">
        <v>22</v>
      </c>
      <c r="C841" s="108" t="s">
        <v>138</v>
      </c>
      <c r="D841" s="108">
        <v>1354.91930271039</v>
      </c>
      <c r="E841" s="108">
        <v>0</v>
      </c>
      <c r="F841" s="108" t="s">
        <v>135</v>
      </c>
      <c r="G841" s="108"/>
      <c r="H841" s="108">
        <v>1</v>
      </c>
    </row>
    <row r="842" spans="1:8" ht="14">
      <c r="A842" s="108">
        <v>2004</v>
      </c>
      <c r="B842" s="108">
        <v>22</v>
      </c>
      <c r="C842" s="108" t="s">
        <v>138</v>
      </c>
      <c r="D842" s="108">
        <v>37553.076697289602</v>
      </c>
      <c r="E842" s="108">
        <v>0</v>
      </c>
      <c r="F842" s="108" t="s">
        <v>136</v>
      </c>
      <c r="G842" s="108"/>
      <c r="H842" s="108">
        <v>1</v>
      </c>
    </row>
    <row r="843" spans="1:8" ht="14">
      <c r="A843" s="108">
        <v>2004</v>
      </c>
      <c r="B843" s="108">
        <v>22</v>
      </c>
      <c r="C843" s="108" t="s">
        <v>139</v>
      </c>
      <c r="D843" s="108">
        <v>1282.24007664594</v>
      </c>
      <c r="E843" s="108">
        <v>0</v>
      </c>
      <c r="F843" s="108" t="s">
        <v>136</v>
      </c>
      <c r="G843" s="108"/>
      <c r="H843" s="108">
        <v>1</v>
      </c>
    </row>
    <row r="844" spans="1:8" ht="14">
      <c r="A844" s="108">
        <v>2004</v>
      </c>
      <c r="B844" s="108">
        <v>22</v>
      </c>
      <c r="C844" s="108" t="s">
        <v>139</v>
      </c>
      <c r="D844" s="108">
        <v>1122.5149233540501</v>
      </c>
      <c r="E844" s="108">
        <v>0</v>
      </c>
      <c r="F844" s="108" t="s">
        <v>135</v>
      </c>
      <c r="G844" s="108"/>
      <c r="H844" s="108">
        <v>1</v>
      </c>
    </row>
    <row r="845" spans="1:8" ht="14">
      <c r="A845" s="108">
        <v>2004</v>
      </c>
      <c r="B845" s="108">
        <v>22</v>
      </c>
      <c r="C845" s="108" t="s">
        <v>139</v>
      </c>
      <c r="D845" s="108">
        <v>3.246</v>
      </c>
      <c r="E845" s="108">
        <v>0</v>
      </c>
      <c r="F845" s="108" t="s">
        <v>137</v>
      </c>
      <c r="G845" s="108"/>
      <c r="H845" s="108">
        <v>1</v>
      </c>
    </row>
    <row r="846" spans="1:8" ht="14">
      <c r="A846" s="108">
        <v>2004</v>
      </c>
      <c r="B846" s="108">
        <v>23</v>
      </c>
      <c r="C846" s="108" t="s">
        <v>30</v>
      </c>
      <c r="D846" s="108">
        <v>1243.5690122512201</v>
      </c>
      <c r="E846" s="108">
        <v>0</v>
      </c>
      <c r="F846" s="108" t="s">
        <v>135</v>
      </c>
      <c r="G846" s="108"/>
      <c r="H846" s="108">
        <v>1</v>
      </c>
    </row>
    <row r="847" spans="1:8" ht="14">
      <c r="A847" s="108">
        <v>2004</v>
      </c>
      <c r="B847" s="108">
        <v>23</v>
      </c>
      <c r="C847" s="108" t="s">
        <v>30</v>
      </c>
      <c r="D847" s="108">
        <v>11680.2415288628</v>
      </c>
      <c r="E847" s="108">
        <v>0</v>
      </c>
      <c r="F847" s="108" t="s">
        <v>136</v>
      </c>
      <c r="G847" s="108"/>
      <c r="H847" s="108">
        <v>1</v>
      </c>
    </row>
    <row r="848" spans="1:8" ht="14">
      <c r="A848" s="108">
        <v>2004</v>
      </c>
      <c r="B848" s="108">
        <v>23</v>
      </c>
      <c r="C848" s="108" t="s">
        <v>30</v>
      </c>
      <c r="D848" s="108">
        <v>0.71345888594164397</v>
      </c>
      <c r="E848" s="108">
        <v>0</v>
      </c>
      <c r="F848" s="108" t="s">
        <v>137</v>
      </c>
      <c r="G848" s="108"/>
      <c r="H848" s="108">
        <v>1</v>
      </c>
    </row>
    <row r="849" spans="1:8" ht="14">
      <c r="A849" s="108">
        <v>2004</v>
      </c>
      <c r="B849" s="108">
        <v>23</v>
      </c>
      <c r="C849" s="108" t="s">
        <v>138</v>
      </c>
      <c r="D849" s="108">
        <v>8516.6684972927396</v>
      </c>
      <c r="E849" s="108">
        <v>0</v>
      </c>
      <c r="F849" s="108" t="s">
        <v>136</v>
      </c>
      <c r="G849" s="108"/>
      <c r="H849" s="108">
        <v>1</v>
      </c>
    </row>
    <row r="850" spans="1:8" ht="14">
      <c r="A850" s="108">
        <v>2004</v>
      </c>
      <c r="B850" s="108">
        <v>23</v>
      </c>
      <c r="C850" s="108" t="s">
        <v>138</v>
      </c>
      <c r="D850" s="108">
        <v>0.71345888594164397</v>
      </c>
      <c r="E850" s="108">
        <v>0</v>
      </c>
      <c r="F850" s="108" t="s">
        <v>137</v>
      </c>
      <c r="G850" s="108"/>
      <c r="H850" s="108">
        <v>1</v>
      </c>
    </row>
    <row r="851" spans="1:8" ht="14">
      <c r="A851" s="108">
        <v>2004</v>
      </c>
      <c r="B851" s="108">
        <v>23</v>
      </c>
      <c r="C851" s="108" t="s">
        <v>138</v>
      </c>
      <c r="D851" s="108">
        <v>626.89504382131599</v>
      </c>
      <c r="E851" s="108">
        <v>0</v>
      </c>
      <c r="F851" s="108" t="s">
        <v>135</v>
      </c>
      <c r="G851" s="108"/>
      <c r="H851" s="108">
        <v>1</v>
      </c>
    </row>
    <row r="852" spans="1:8" ht="14">
      <c r="A852" s="108">
        <v>2004</v>
      </c>
      <c r="B852" s="108">
        <v>23</v>
      </c>
      <c r="C852" s="108" t="s">
        <v>139</v>
      </c>
      <c r="D852" s="108">
        <v>616.67396842991297</v>
      </c>
      <c r="E852" s="108">
        <v>0</v>
      </c>
      <c r="F852" s="108" t="s">
        <v>135</v>
      </c>
      <c r="G852" s="108"/>
      <c r="H852" s="108">
        <v>1</v>
      </c>
    </row>
    <row r="853" spans="1:8" ht="14">
      <c r="A853" s="108">
        <v>2004</v>
      </c>
      <c r="B853" s="108">
        <v>23</v>
      </c>
      <c r="C853" s="108" t="s">
        <v>139</v>
      </c>
      <c r="D853" s="108">
        <v>3163.5730315700798</v>
      </c>
      <c r="E853" s="108">
        <v>0</v>
      </c>
      <c r="F853" s="108" t="s">
        <v>136</v>
      </c>
      <c r="G853" s="108"/>
      <c r="H853" s="108">
        <v>1</v>
      </c>
    </row>
    <row r="854" spans="1:8" ht="14">
      <c r="A854" s="108">
        <v>2004</v>
      </c>
      <c r="B854" s="108">
        <v>29</v>
      </c>
      <c r="C854" s="108" t="s">
        <v>30</v>
      </c>
      <c r="D854" s="108">
        <v>2.2765889791201799</v>
      </c>
      <c r="E854" s="108">
        <v>0</v>
      </c>
      <c r="F854" s="108" t="s">
        <v>137</v>
      </c>
      <c r="G854" s="108"/>
      <c r="H854" s="108">
        <v>1</v>
      </c>
    </row>
    <row r="855" spans="1:8" ht="14">
      <c r="A855" s="108">
        <v>2004</v>
      </c>
      <c r="B855" s="108">
        <v>29</v>
      </c>
      <c r="C855" s="108" t="s">
        <v>30</v>
      </c>
      <c r="D855" s="108">
        <v>20879.322193470402</v>
      </c>
      <c r="E855" s="108">
        <v>0</v>
      </c>
      <c r="F855" s="108" t="s">
        <v>135</v>
      </c>
      <c r="G855" s="108"/>
      <c r="H855" s="108">
        <v>1</v>
      </c>
    </row>
    <row r="856" spans="1:8" ht="14">
      <c r="A856" s="108">
        <v>2004</v>
      </c>
      <c r="B856" s="108">
        <v>29</v>
      </c>
      <c r="C856" s="108" t="s">
        <v>30</v>
      </c>
      <c r="D856" s="108">
        <v>21240.8602175503</v>
      </c>
      <c r="E856" s="108">
        <v>0</v>
      </c>
      <c r="F856" s="108" t="s">
        <v>136</v>
      </c>
      <c r="G856" s="108"/>
      <c r="H856" s="108">
        <v>1</v>
      </c>
    </row>
    <row r="857" spans="1:8" ht="14">
      <c r="A857" s="108">
        <v>2004</v>
      </c>
      <c r="B857" s="108">
        <v>29</v>
      </c>
      <c r="C857" s="108" t="s">
        <v>138</v>
      </c>
      <c r="D857" s="108">
        <v>2.2765889791201799</v>
      </c>
      <c r="E857" s="108">
        <v>0</v>
      </c>
      <c r="F857" s="108" t="s">
        <v>137</v>
      </c>
      <c r="G857" s="108"/>
      <c r="H857" s="108">
        <v>1</v>
      </c>
    </row>
    <row r="858" spans="1:8" ht="14">
      <c r="A858" s="108">
        <v>2004</v>
      </c>
      <c r="B858" s="108">
        <v>29</v>
      </c>
      <c r="C858" s="108" t="s">
        <v>138</v>
      </c>
      <c r="D858" s="108">
        <v>10646.050863963001</v>
      </c>
      <c r="E858" s="108">
        <v>0</v>
      </c>
      <c r="F858" s="108" t="s">
        <v>136</v>
      </c>
      <c r="G858" s="108"/>
      <c r="H858" s="108">
        <v>1</v>
      </c>
    </row>
    <row r="859" spans="1:8" ht="14">
      <c r="A859" s="108">
        <v>2004</v>
      </c>
      <c r="B859" s="108">
        <v>29</v>
      </c>
      <c r="C859" s="108" t="s">
        <v>138</v>
      </c>
      <c r="D859" s="108">
        <v>16294.7245470578</v>
      </c>
      <c r="E859" s="108">
        <v>0</v>
      </c>
      <c r="F859" s="108" t="s">
        <v>135</v>
      </c>
      <c r="G859" s="108"/>
      <c r="H859" s="108">
        <v>1</v>
      </c>
    </row>
    <row r="860" spans="1:8" ht="14">
      <c r="A860" s="108">
        <v>2004</v>
      </c>
      <c r="B860" s="108">
        <v>29</v>
      </c>
      <c r="C860" s="108" t="s">
        <v>139</v>
      </c>
      <c r="D860" s="108">
        <v>4584.5976464126597</v>
      </c>
      <c r="E860" s="108">
        <v>0</v>
      </c>
      <c r="F860" s="108" t="s">
        <v>135</v>
      </c>
      <c r="G860" s="108"/>
      <c r="H860" s="108">
        <v>1</v>
      </c>
    </row>
    <row r="861" spans="1:8" ht="14">
      <c r="A861" s="108">
        <v>2004</v>
      </c>
      <c r="B861" s="108">
        <v>29</v>
      </c>
      <c r="C861" s="108" t="s">
        <v>139</v>
      </c>
      <c r="D861" s="108">
        <v>10594.809353587299</v>
      </c>
      <c r="E861" s="108">
        <v>0</v>
      </c>
      <c r="F861" s="108" t="s">
        <v>136</v>
      </c>
      <c r="G861" s="108"/>
      <c r="H861" s="108">
        <v>1</v>
      </c>
    </row>
    <row r="862" spans="1:8" ht="14">
      <c r="A862" s="108">
        <v>2004</v>
      </c>
      <c r="B862" s="108">
        <v>31</v>
      </c>
      <c r="C862" s="108" t="s">
        <v>30</v>
      </c>
      <c r="D862" s="108">
        <v>20165.301903168602</v>
      </c>
      <c r="E862" s="108">
        <v>1647.49132604798</v>
      </c>
      <c r="F862" s="108" t="s">
        <v>136</v>
      </c>
      <c r="G862" s="108">
        <v>1647.4913556070001</v>
      </c>
      <c r="H862" s="108">
        <v>1</v>
      </c>
    </row>
    <row r="863" spans="1:8" ht="14">
      <c r="A863" s="108">
        <v>2004</v>
      </c>
      <c r="B863" s="108">
        <v>31</v>
      </c>
      <c r="C863" s="108" t="s">
        <v>30</v>
      </c>
      <c r="D863" s="108">
        <v>36.142737581502402</v>
      </c>
      <c r="E863" s="108">
        <v>52.7802250528933</v>
      </c>
      <c r="F863" s="108" t="s">
        <v>137</v>
      </c>
      <c r="G863" s="108">
        <v>52.780238116</v>
      </c>
      <c r="H863" s="108">
        <v>1</v>
      </c>
    </row>
    <row r="864" spans="1:8" ht="14">
      <c r="A864" s="108">
        <v>2004</v>
      </c>
      <c r="B864" s="108">
        <v>31</v>
      </c>
      <c r="C864" s="108" t="s">
        <v>30</v>
      </c>
      <c r="D864" s="108">
        <v>811.62435924985402</v>
      </c>
      <c r="E864" s="108">
        <v>115.159448899127</v>
      </c>
      <c r="F864" s="108" t="s">
        <v>135</v>
      </c>
      <c r="G864" s="108">
        <v>115.159461478</v>
      </c>
      <c r="H864" s="108">
        <v>1</v>
      </c>
    </row>
    <row r="865" spans="1:8" ht="14">
      <c r="A865" s="108">
        <v>2004</v>
      </c>
      <c r="B865" s="108">
        <v>31</v>
      </c>
      <c r="C865" s="108" t="s">
        <v>138</v>
      </c>
      <c r="D865" s="108">
        <v>11680.9374578917</v>
      </c>
      <c r="E865" s="108">
        <v>867.662524856956</v>
      </c>
      <c r="F865" s="108" t="s">
        <v>136</v>
      </c>
      <c r="G865" s="108">
        <v>867.66254521799794</v>
      </c>
      <c r="H865" s="108">
        <v>1</v>
      </c>
    </row>
    <row r="866" spans="1:8" ht="14">
      <c r="A866" s="108">
        <v>2004</v>
      </c>
      <c r="B866" s="108">
        <v>31</v>
      </c>
      <c r="C866" s="108" t="s">
        <v>138</v>
      </c>
      <c r="D866" s="108">
        <v>418.97082584675798</v>
      </c>
      <c r="E866" s="108">
        <v>58.5118282558619</v>
      </c>
      <c r="F866" s="108" t="s">
        <v>135</v>
      </c>
      <c r="G866" s="108">
        <v>58.511829856999903</v>
      </c>
      <c r="H866" s="108">
        <v>1</v>
      </c>
    </row>
    <row r="867" spans="1:8" ht="14">
      <c r="A867" s="108">
        <v>2004</v>
      </c>
      <c r="B867" s="108">
        <v>31</v>
      </c>
      <c r="C867" s="108" t="s">
        <v>138</v>
      </c>
      <c r="D867" s="108">
        <v>30.381716261520399</v>
      </c>
      <c r="E867" s="108">
        <v>3.12364688718369</v>
      </c>
      <c r="F867" s="108" t="s">
        <v>137</v>
      </c>
      <c r="G867" s="108">
        <v>3.1236461099999899</v>
      </c>
      <c r="H867" s="108">
        <v>1</v>
      </c>
    </row>
    <row r="868" spans="1:8" ht="14">
      <c r="A868" s="108">
        <v>2004</v>
      </c>
      <c r="B868" s="108">
        <v>31</v>
      </c>
      <c r="C868" s="108" t="s">
        <v>139</v>
      </c>
      <c r="D868" s="108">
        <v>8484.3644452769204</v>
      </c>
      <c r="E868" s="108">
        <v>779.82880119102401</v>
      </c>
      <c r="F868" s="108" t="s">
        <v>136</v>
      </c>
      <c r="G868" s="108">
        <v>779.82881038900098</v>
      </c>
      <c r="H868" s="108">
        <v>1</v>
      </c>
    </row>
    <row r="869" spans="1:8" ht="14">
      <c r="A869" s="108">
        <v>2004</v>
      </c>
      <c r="B869" s="108">
        <v>31</v>
      </c>
      <c r="C869" s="108" t="s">
        <v>139</v>
      </c>
      <c r="D869" s="108">
        <v>5.76102131998194</v>
      </c>
      <c r="E869" s="108">
        <v>49.656578165709597</v>
      </c>
      <c r="F869" s="108" t="s">
        <v>137</v>
      </c>
      <c r="G869" s="108">
        <v>49.656592005999897</v>
      </c>
      <c r="H869" s="108">
        <v>1</v>
      </c>
    </row>
    <row r="870" spans="1:8" ht="14">
      <c r="A870" s="108">
        <v>2004</v>
      </c>
      <c r="B870" s="108">
        <v>31</v>
      </c>
      <c r="C870" s="108" t="s">
        <v>139</v>
      </c>
      <c r="D870" s="108">
        <v>392.65353340309503</v>
      </c>
      <c r="E870" s="108">
        <v>56.647620643265597</v>
      </c>
      <c r="F870" s="108" t="s">
        <v>135</v>
      </c>
      <c r="G870" s="108">
        <v>56.647631621000002</v>
      </c>
      <c r="H870" s="108">
        <v>1</v>
      </c>
    </row>
    <row r="871" spans="1:8" ht="14">
      <c r="A871" s="108">
        <v>2004</v>
      </c>
      <c r="B871" s="108">
        <v>32</v>
      </c>
      <c r="C871" s="108" t="s">
        <v>30</v>
      </c>
      <c r="D871" s="108">
        <v>29054.754791486001</v>
      </c>
      <c r="E871" s="108">
        <v>2552.0259747698101</v>
      </c>
      <c r="F871" s="108" t="s">
        <v>136</v>
      </c>
      <c r="G871" s="108">
        <v>5104.05184194499</v>
      </c>
      <c r="H871" s="108">
        <v>1</v>
      </c>
    </row>
    <row r="872" spans="1:8" ht="14">
      <c r="A872" s="108">
        <v>2004</v>
      </c>
      <c r="B872" s="108">
        <v>32</v>
      </c>
      <c r="C872" s="108" t="s">
        <v>30</v>
      </c>
      <c r="D872" s="108">
        <v>53.7571712215274</v>
      </c>
      <c r="E872" s="108">
        <v>76.377061363238298</v>
      </c>
      <c r="F872" s="108" t="s">
        <v>137</v>
      </c>
      <c r="G872" s="108">
        <v>152.75415409999999</v>
      </c>
      <c r="H872" s="108">
        <v>1</v>
      </c>
    </row>
    <row r="873" spans="1:8" ht="14">
      <c r="A873" s="108">
        <v>2004</v>
      </c>
      <c r="B873" s="108">
        <v>32</v>
      </c>
      <c r="C873" s="108" t="s">
        <v>30</v>
      </c>
      <c r="D873" s="108">
        <v>1135.9010372924199</v>
      </c>
      <c r="E873" s="108">
        <v>102.525963866946</v>
      </c>
      <c r="F873" s="108" t="s">
        <v>135</v>
      </c>
      <c r="G873" s="108">
        <v>205.05192421199999</v>
      </c>
      <c r="H873" s="108">
        <v>1</v>
      </c>
    </row>
    <row r="874" spans="1:8" ht="14">
      <c r="A874" s="108">
        <v>2004</v>
      </c>
      <c r="B874" s="108">
        <v>32</v>
      </c>
      <c r="C874" s="108" t="s">
        <v>138</v>
      </c>
      <c r="D874" s="108">
        <v>17509.2043520648</v>
      </c>
      <c r="E874" s="108">
        <v>1317.4517394019699</v>
      </c>
      <c r="F874" s="108" t="s">
        <v>136</v>
      </c>
      <c r="G874" s="108">
        <v>2634.9033781989901</v>
      </c>
      <c r="H874" s="108">
        <v>1</v>
      </c>
    </row>
    <row r="875" spans="1:8" ht="14">
      <c r="A875" s="108">
        <v>2004</v>
      </c>
      <c r="B875" s="108">
        <v>32</v>
      </c>
      <c r="C875" s="108" t="s">
        <v>138</v>
      </c>
      <c r="D875" s="108">
        <v>51.762930940626802</v>
      </c>
      <c r="E875" s="108">
        <v>5.7308245987996598</v>
      </c>
      <c r="F875" s="108" t="s">
        <v>137</v>
      </c>
      <c r="G875" s="108">
        <v>11.461649099999899</v>
      </c>
      <c r="H875" s="108">
        <v>1</v>
      </c>
    </row>
    <row r="876" spans="1:8" ht="14">
      <c r="A876" s="108">
        <v>2004</v>
      </c>
      <c r="B876" s="108">
        <v>32</v>
      </c>
      <c r="C876" s="108" t="s">
        <v>138</v>
      </c>
      <c r="D876" s="108">
        <v>618.13571699451904</v>
      </c>
      <c r="E876" s="108">
        <v>53.216435999223798</v>
      </c>
      <c r="F876" s="108" t="s">
        <v>135</v>
      </c>
      <c r="G876" s="108">
        <v>106.43286877</v>
      </c>
      <c r="H876" s="108">
        <v>1</v>
      </c>
    </row>
    <row r="877" spans="1:8" ht="14">
      <c r="A877" s="108">
        <v>2004</v>
      </c>
      <c r="B877" s="108">
        <v>32</v>
      </c>
      <c r="C877" s="108" t="s">
        <v>139</v>
      </c>
      <c r="D877" s="108">
        <v>11545.5504394211</v>
      </c>
      <c r="E877" s="108">
        <v>1234.5742353678299</v>
      </c>
      <c r="F877" s="108" t="s">
        <v>136</v>
      </c>
      <c r="G877" s="108">
        <v>2469.1484637459998</v>
      </c>
      <c r="H877" s="108">
        <v>1</v>
      </c>
    </row>
    <row r="878" spans="1:8" ht="14">
      <c r="A878" s="108">
        <v>2004</v>
      </c>
      <c r="B878" s="108">
        <v>32</v>
      </c>
      <c r="C878" s="108" t="s">
        <v>139</v>
      </c>
      <c r="D878" s="108">
        <v>517.76532029790496</v>
      </c>
      <c r="E878" s="108">
        <v>49.309527867722899</v>
      </c>
      <c r="F878" s="108" t="s">
        <v>135</v>
      </c>
      <c r="G878" s="108">
        <v>98.619055442000004</v>
      </c>
      <c r="H878" s="108">
        <v>1</v>
      </c>
    </row>
    <row r="879" spans="1:8" ht="14">
      <c r="A879" s="108">
        <v>2004</v>
      </c>
      <c r="B879" s="108">
        <v>32</v>
      </c>
      <c r="C879" s="108" t="s">
        <v>139</v>
      </c>
      <c r="D879" s="108">
        <v>1.9942402809006099</v>
      </c>
      <c r="E879" s="108">
        <v>70.646236764438598</v>
      </c>
      <c r="F879" s="108" t="s">
        <v>137</v>
      </c>
      <c r="G879" s="108">
        <v>141.29250499999901</v>
      </c>
      <c r="H879" s="108">
        <v>1</v>
      </c>
    </row>
    <row r="880" spans="1:8" ht="14">
      <c r="A880" s="108">
        <v>2004</v>
      </c>
      <c r="B880" s="108">
        <v>33</v>
      </c>
      <c r="C880" s="108" t="s">
        <v>30</v>
      </c>
      <c r="D880" s="108">
        <v>1642.2146986262901</v>
      </c>
      <c r="E880" s="108">
        <v>98.194405547987003</v>
      </c>
      <c r="F880" s="108" t="s">
        <v>136</v>
      </c>
      <c r="G880" s="108">
        <v>147.29160860799999</v>
      </c>
      <c r="H880" s="108">
        <v>1</v>
      </c>
    </row>
    <row r="881" spans="1:8" ht="14">
      <c r="A881" s="108">
        <v>2004</v>
      </c>
      <c r="B881" s="108">
        <v>33</v>
      </c>
      <c r="C881" s="108" t="s">
        <v>30</v>
      </c>
      <c r="D881" s="108">
        <v>0</v>
      </c>
      <c r="E881" s="108">
        <v>3.062893081761E-3</v>
      </c>
      <c r="F881" s="108" t="s">
        <v>137</v>
      </c>
      <c r="G881" s="108">
        <v>4.5943399999999997E-3</v>
      </c>
      <c r="H881" s="108">
        <v>1</v>
      </c>
    </row>
    <row r="882" spans="1:8" ht="14">
      <c r="A882" s="108">
        <v>2004</v>
      </c>
      <c r="B882" s="108">
        <v>33</v>
      </c>
      <c r="C882" s="108" t="s">
        <v>30</v>
      </c>
      <c r="D882" s="108">
        <v>36.107301373706598</v>
      </c>
      <c r="E882" s="108">
        <v>4.7785315589312303</v>
      </c>
      <c r="F882" s="108" t="s">
        <v>135</v>
      </c>
      <c r="G882" s="108">
        <v>7.1677987300000003</v>
      </c>
      <c r="H882" s="108">
        <v>1</v>
      </c>
    </row>
    <row r="883" spans="1:8" ht="14">
      <c r="A883" s="108">
        <v>2004</v>
      </c>
      <c r="B883" s="108">
        <v>33</v>
      </c>
      <c r="C883" s="108" t="s">
        <v>138</v>
      </c>
      <c r="D883" s="108">
        <v>1005.48946998128</v>
      </c>
      <c r="E883" s="108">
        <v>48.428899540738698</v>
      </c>
      <c r="F883" s="108" t="s">
        <v>136</v>
      </c>
      <c r="G883" s="108">
        <v>72.643341427999999</v>
      </c>
      <c r="H883" s="108">
        <v>1</v>
      </c>
    </row>
    <row r="884" spans="1:8" ht="14">
      <c r="A884" s="108">
        <v>2004</v>
      </c>
      <c r="B884" s="108">
        <v>33</v>
      </c>
      <c r="C884" s="108" t="s">
        <v>138</v>
      </c>
      <c r="D884" s="108">
        <v>0</v>
      </c>
      <c r="E884" s="108">
        <v>1.0251572327044001E-3</v>
      </c>
      <c r="F884" s="108" t="s">
        <v>137</v>
      </c>
      <c r="G884" s="108">
        <v>1.5377399999999999E-3</v>
      </c>
      <c r="H884" s="108">
        <v>1</v>
      </c>
    </row>
    <row r="885" spans="1:8" ht="14">
      <c r="A885" s="108">
        <v>2004</v>
      </c>
      <c r="B885" s="108">
        <v>33</v>
      </c>
      <c r="C885" s="108" t="s">
        <v>138</v>
      </c>
      <c r="D885" s="108">
        <v>24.133530018715302</v>
      </c>
      <c r="E885" s="108">
        <v>2.4360753020286001</v>
      </c>
      <c r="F885" s="108" t="s">
        <v>135</v>
      </c>
      <c r="G885" s="108">
        <v>3.6541123899999999</v>
      </c>
      <c r="H885" s="108">
        <v>1</v>
      </c>
    </row>
    <row r="886" spans="1:8" ht="14">
      <c r="A886" s="108">
        <v>2004</v>
      </c>
      <c r="B886" s="108">
        <v>33</v>
      </c>
      <c r="C886" s="108" t="s">
        <v>139</v>
      </c>
      <c r="D886" s="108">
        <v>11.9737713549912</v>
      </c>
      <c r="E886" s="108">
        <v>2.3424562569026199</v>
      </c>
      <c r="F886" s="108" t="s">
        <v>135</v>
      </c>
      <c r="G886" s="108">
        <v>3.51368634</v>
      </c>
      <c r="H886" s="108">
        <v>1</v>
      </c>
    </row>
    <row r="887" spans="1:8" ht="14">
      <c r="A887" s="108">
        <v>2004</v>
      </c>
      <c r="B887" s="108">
        <v>33</v>
      </c>
      <c r="C887" s="108" t="s">
        <v>139</v>
      </c>
      <c r="D887" s="108">
        <v>0</v>
      </c>
      <c r="E887" s="108">
        <v>2.0377358490565999E-3</v>
      </c>
      <c r="F887" s="108" t="s">
        <v>137</v>
      </c>
      <c r="G887" s="108">
        <v>3.0566E-3</v>
      </c>
      <c r="H887" s="108">
        <v>1</v>
      </c>
    </row>
    <row r="888" spans="1:8" ht="14">
      <c r="A888" s="108">
        <v>2004</v>
      </c>
      <c r="B888" s="108">
        <v>33</v>
      </c>
      <c r="C888" s="108" t="s">
        <v>139</v>
      </c>
      <c r="D888" s="108">
        <v>636.72522864500797</v>
      </c>
      <c r="E888" s="108">
        <v>49.765506007248298</v>
      </c>
      <c r="F888" s="108" t="s">
        <v>136</v>
      </c>
      <c r="G888" s="108">
        <v>74.648267179999905</v>
      </c>
      <c r="H888" s="108">
        <v>1</v>
      </c>
    </row>
    <row r="889" spans="1:8" ht="14">
      <c r="A889" s="108">
        <v>2004</v>
      </c>
      <c r="B889" s="108">
        <v>34</v>
      </c>
      <c r="C889" s="108" t="s">
        <v>30</v>
      </c>
      <c r="D889" s="108">
        <v>82.926239359665701</v>
      </c>
      <c r="E889" s="108">
        <v>11.051326832326801</v>
      </c>
      <c r="F889" s="108" t="s">
        <v>135</v>
      </c>
      <c r="G889" s="108">
        <v>24.865480269999999</v>
      </c>
      <c r="H889" s="108">
        <v>1</v>
      </c>
    </row>
    <row r="890" spans="1:8" ht="14">
      <c r="A890" s="108">
        <v>2004</v>
      </c>
      <c r="B890" s="108">
        <v>34</v>
      </c>
      <c r="C890" s="108" t="s">
        <v>30</v>
      </c>
      <c r="D890" s="108">
        <v>6.2455124389624903E-2</v>
      </c>
      <c r="E890" s="108">
        <v>2.65049780239585E-2</v>
      </c>
      <c r="F890" s="108" t="s">
        <v>137</v>
      </c>
      <c r="G890" s="108">
        <v>5.9636189999999999E-2</v>
      </c>
      <c r="H890" s="108">
        <v>1</v>
      </c>
    </row>
    <row r="891" spans="1:8" ht="14">
      <c r="A891" s="108">
        <v>2004</v>
      </c>
      <c r="B891" s="108">
        <v>34</v>
      </c>
      <c r="C891" s="108" t="s">
        <v>30</v>
      </c>
      <c r="D891" s="108">
        <v>3395.59830551594</v>
      </c>
      <c r="E891" s="108">
        <v>238.47116818964901</v>
      </c>
      <c r="F891" s="108" t="s">
        <v>136</v>
      </c>
      <c r="G891" s="108">
        <v>536.56014721700001</v>
      </c>
      <c r="H891" s="108">
        <v>1</v>
      </c>
    </row>
    <row r="892" spans="1:8" ht="14">
      <c r="A892" s="108">
        <v>2004</v>
      </c>
      <c r="B892" s="108">
        <v>34</v>
      </c>
      <c r="C892" s="108" t="s">
        <v>138</v>
      </c>
      <c r="D892" s="108">
        <v>45.044837030349001</v>
      </c>
      <c r="E892" s="108">
        <v>6.5893723759681304</v>
      </c>
      <c r="F892" s="108" t="s">
        <v>135</v>
      </c>
      <c r="G892" s="108">
        <v>14.82607842</v>
      </c>
      <c r="H892" s="108">
        <v>1</v>
      </c>
    </row>
    <row r="893" spans="1:8" ht="14">
      <c r="A893" s="108">
        <v>2004</v>
      </c>
      <c r="B893" s="108">
        <v>34</v>
      </c>
      <c r="C893" s="108" t="s">
        <v>138</v>
      </c>
      <c r="D893" s="108">
        <v>2234.48770784526</v>
      </c>
      <c r="E893" s="108">
        <v>121.55534471157</v>
      </c>
      <c r="F893" s="108" t="s">
        <v>136</v>
      </c>
      <c r="G893" s="108">
        <v>273.499539664</v>
      </c>
      <c r="H893" s="108">
        <v>1</v>
      </c>
    </row>
    <row r="894" spans="1:8" ht="14">
      <c r="A894" s="108">
        <v>2004</v>
      </c>
      <c r="B894" s="108">
        <v>34</v>
      </c>
      <c r="C894" s="108" t="s">
        <v>138</v>
      </c>
      <c r="D894" s="108">
        <v>6.2455124389624903E-2</v>
      </c>
      <c r="E894" s="108">
        <v>1.9282912461744899E-2</v>
      </c>
      <c r="F894" s="108" t="s">
        <v>137</v>
      </c>
      <c r="G894" s="108">
        <v>4.338653E-2</v>
      </c>
      <c r="H894" s="108">
        <v>1</v>
      </c>
    </row>
    <row r="895" spans="1:8" ht="14">
      <c r="A895" s="108">
        <v>2004</v>
      </c>
      <c r="B895" s="108">
        <v>34</v>
      </c>
      <c r="C895" s="108" t="s">
        <v>139</v>
      </c>
      <c r="D895" s="108">
        <v>1161.1105976706799</v>
      </c>
      <c r="E895" s="108">
        <v>116.91582347807901</v>
      </c>
      <c r="F895" s="108" t="s">
        <v>136</v>
      </c>
      <c r="G895" s="108">
        <v>263.06060755300001</v>
      </c>
      <c r="H895" s="108">
        <v>1</v>
      </c>
    </row>
    <row r="896" spans="1:8" ht="14">
      <c r="A896" s="108">
        <v>2004</v>
      </c>
      <c r="B896" s="108">
        <v>34</v>
      </c>
      <c r="C896" s="108" t="s">
        <v>139</v>
      </c>
      <c r="D896" s="108">
        <v>37.8814023293166</v>
      </c>
      <c r="E896" s="108">
        <v>4.4619544563586597</v>
      </c>
      <c r="F896" s="108" t="s">
        <v>135</v>
      </c>
      <c r="G896" s="108">
        <v>10.039401850000001</v>
      </c>
      <c r="H896" s="108">
        <v>1</v>
      </c>
    </row>
    <row r="897" spans="1:8" ht="14">
      <c r="A897" s="108">
        <v>2004</v>
      </c>
      <c r="B897" s="108">
        <v>34</v>
      </c>
      <c r="C897" s="108" t="s">
        <v>139</v>
      </c>
      <c r="D897" s="108">
        <v>0</v>
      </c>
      <c r="E897" s="108">
        <v>7.2220655622136001E-3</v>
      </c>
      <c r="F897" s="108" t="s">
        <v>137</v>
      </c>
      <c r="G897" s="108">
        <v>1.6249659999999999E-2</v>
      </c>
      <c r="H897" s="108">
        <v>1</v>
      </c>
    </row>
    <row r="898" spans="1:8" ht="14">
      <c r="A898" s="108">
        <v>2004</v>
      </c>
      <c r="B898" s="108">
        <v>51</v>
      </c>
      <c r="C898" s="108" t="s">
        <v>30</v>
      </c>
      <c r="D898" s="108">
        <v>34329.433510216302</v>
      </c>
      <c r="E898" s="108">
        <v>3141.4821798264102</v>
      </c>
      <c r="F898" s="108" t="s">
        <v>136</v>
      </c>
      <c r="G898" s="108"/>
      <c r="H898" s="108">
        <v>1</v>
      </c>
    </row>
    <row r="899" spans="1:8" ht="14">
      <c r="A899" s="108">
        <v>2004</v>
      </c>
      <c r="B899" s="108">
        <v>51</v>
      </c>
      <c r="C899" s="108" t="s">
        <v>30</v>
      </c>
      <c r="D899" s="108">
        <v>8615.7534897836995</v>
      </c>
      <c r="E899" s="108">
        <v>687.59682017358796</v>
      </c>
      <c r="F899" s="108" t="s">
        <v>135</v>
      </c>
      <c r="G899" s="108"/>
      <c r="H899" s="108">
        <v>1</v>
      </c>
    </row>
    <row r="900" spans="1:8" ht="14">
      <c r="A900" s="108">
        <v>2004</v>
      </c>
      <c r="B900" s="108">
        <v>51</v>
      </c>
      <c r="C900" s="108" t="s">
        <v>138</v>
      </c>
      <c r="D900" s="108">
        <v>20659.194944376999</v>
      </c>
      <c r="E900" s="108">
        <v>1555.4786856664</v>
      </c>
      <c r="F900" s="108" t="s">
        <v>136</v>
      </c>
      <c r="G900" s="108"/>
      <c r="H900" s="108">
        <v>1</v>
      </c>
    </row>
    <row r="901" spans="1:8" ht="14">
      <c r="A901" s="108">
        <v>2004</v>
      </c>
      <c r="B901" s="108">
        <v>51</v>
      </c>
      <c r="C901" s="108" t="s">
        <v>138</v>
      </c>
      <c r="D901" s="108">
        <v>4373.07305562291</v>
      </c>
      <c r="E901" s="108">
        <v>347.82931433359897</v>
      </c>
      <c r="F901" s="108" t="s">
        <v>135</v>
      </c>
      <c r="G901" s="108"/>
      <c r="H901" s="108">
        <v>1</v>
      </c>
    </row>
    <row r="902" spans="1:8" ht="14">
      <c r="A902" s="108">
        <v>2004</v>
      </c>
      <c r="B902" s="108">
        <v>51</v>
      </c>
      <c r="C902" s="108" t="s">
        <v>139</v>
      </c>
      <c r="D902" s="108">
        <v>4242.6804341607804</v>
      </c>
      <c r="E902" s="108">
        <v>339.76750583998898</v>
      </c>
      <c r="F902" s="108" t="s">
        <v>135</v>
      </c>
      <c r="G902" s="108"/>
      <c r="H902" s="108">
        <v>1</v>
      </c>
    </row>
    <row r="903" spans="1:8" ht="14">
      <c r="A903" s="108">
        <v>2004</v>
      </c>
      <c r="B903" s="108">
        <v>51</v>
      </c>
      <c r="C903" s="108" t="s">
        <v>139</v>
      </c>
      <c r="D903" s="108">
        <v>13670.2385658392</v>
      </c>
      <c r="E903" s="108">
        <v>1586.00349416001</v>
      </c>
      <c r="F903" s="108" t="s">
        <v>136</v>
      </c>
      <c r="G903" s="108"/>
      <c r="H903" s="108">
        <v>1</v>
      </c>
    </row>
    <row r="904" spans="1:8" ht="14">
      <c r="A904" s="108">
        <v>2004</v>
      </c>
      <c r="B904" s="108">
        <v>52</v>
      </c>
      <c r="C904" s="108" t="s">
        <v>30</v>
      </c>
      <c r="D904" s="108">
        <v>0</v>
      </c>
      <c r="E904" s="108">
        <v>1348.94687562428</v>
      </c>
      <c r="F904" s="108" t="s">
        <v>135</v>
      </c>
      <c r="G904" s="108"/>
      <c r="H904" s="108">
        <v>1</v>
      </c>
    </row>
    <row r="905" spans="1:8" ht="14">
      <c r="A905" s="108">
        <v>2004</v>
      </c>
      <c r="B905" s="108">
        <v>52</v>
      </c>
      <c r="C905" s="108" t="s">
        <v>30</v>
      </c>
      <c r="D905" s="108">
        <v>0</v>
      </c>
      <c r="E905" s="108">
        <v>5202.3841243757097</v>
      </c>
      <c r="F905" s="108" t="s">
        <v>136</v>
      </c>
      <c r="G905" s="108"/>
      <c r="H905" s="108">
        <v>1</v>
      </c>
    </row>
    <row r="906" spans="1:8" ht="14">
      <c r="A906" s="108">
        <v>2004</v>
      </c>
      <c r="B906" s="108">
        <v>52</v>
      </c>
      <c r="C906" s="108" t="s">
        <v>138</v>
      </c>
      <c r="D906" s="108">
        <v>0</v>
      </c>
      <c r="E906" s="108">
        <v>2580.9481264606702</v>
      </c>
      <c r="F906" s="108" t="s">
        <v>136</v>
      </c>
      <c r="G906" s="108"/>
      <c r="H906" s="108">
        <v>1</v>
      </c>
    </row>
    <row r="907" spans="1:8" ht="14">
      <c r="A907" s="108">
        <v>2004</v>
      </c>
      <c r="B907" s="108">
        <v>52</v>
      </c>
      <c r="C907" s="108" t="s">
        <v>138</v>
      </c>
      <c r="D907" s="108">
        <v>0</v>
      </c>
      <c r="E907" s="108">
        <v>686.53087353932199</v>
      </c>
      <c r="F907" s="108" t="s">
        <v>135</v>
      </c>
      <c r="G907" s="108"/>
      <c r="H907" s="108">
        <v>1</v>
      </c>
    </row>
    <row r="908" spans="1:8" ht="14">
      <c r="A908" s="108">
        <v>2004</v>
      </c>
      <c r="B908" s="108">
        <v>52</v>
      </c>
      <c r="C908" s="108" t="s">
        <v>139</v>
      </c>
      <c r="D908" s="108">
        <v>0</v>
      </c>
      <c r="E908" s="108">
        <v>662.41600208496402</v>
      </c>
      <c r="F908" s="108" t="s">
        <v>135</v>
      </c>
      <c r="G908" s="108"/>
      <c r="H908" s="108">
        <v>1</v>
      </c>
    </row>
    <row r="909" spans="1:8" ht="14">
      <c r="A909" s="108">
        <v>2004</v>
      </c>
      <c r="B909" s="108">
        <v>52</v>
      </c>
      <c r="C909" s="108" t="s">
        <v>139</v>
      </c>
      <c r="D909" s="108">
        <v>0</v>
      </c>
      <c r="E909" s="108">
        <v>2621.4359979150299</v>
      </c>
      <c r="F909" s="108" t="s">
        <v>136</v>
      </c>
      <c r="G909" s="108"/>
      <c r="H909" s="108">
        <v>1</v>
      </c>
    </row>
    <row r="910" spans="1:8" ht="14">
      <c r="A910" s="108">
        <v>2004</v>
      </c>
      <c r="B910" s="108">
        <v>53</v>
      </c>
      <c r="C910" s="108" t="s">
        <v>30</v>
      </c>
      <c r="D910" s="108">
        <v>0</v>
      </c>
      <c r="E910" s="108">
        <v>5.8730000000000002</v>
      </c>
      <c r="F910" s="108" t="s">
        <v>137</v>
      </c>
      <c r="G910" s="108"/>
      <c r="H910" s="108">
        <v>1</v>
      </c>
    </row>
    <row r="911" spans="1:8" ht="14">
      <c r="A911" s="108">
        <v>2004</v>
      </c>
      <c r="B911" s="108">
        <v>53</v>
      </c>
      <c r="C911" s="108" t="s">
        <v>30</v>
      </c>
      <c r="D911" s="108">
        <v>0</v>
      </c>
      <c r="E911" s="108">
        <v>16.824000000000002</v>
      </c>
      <c r="F911" s="108" t="s">
        <v>135</v>
      </c>
      <c r="G911" s="108"/>
      <c r="H911" s="108">
        <v>1</v>
      </c>
    </row>
    <row r="912" spans="1:8" ht="14">
      <c r="A912" s="108">
        <v>2004</v>
      </c>
      <c r="B912" s="108">
        <v>53</v>
      </c>
      <c r="C912" s="108" t="s">
        <v>30</v>
      </c>
      <c r="D912" s="108">
        <v>0</v>
      </c>
      <c r="E912" s="108">
        <v>174.979999999999</v>
      </c>
      <c r="F912" s="108" t="s">
        <v>136</v>
      </c>
      <c r="G912" s="108"/>
      <c r="H912" s="108">
        <v>1</v>
      </c>
    </row>
    <row r="913" spans="1:8" ht="14">
      <c r="A913" s="108">
        <v>2004</v>
      </c>
      <c r="B913" s="108">
        <v>53</v>
      </c>
      <c r="C913" s="108" t="s">
        <v>138</v>
      </c>
      <c r="D913" s="108">
        <v>0</v>
      </c>
      <c r="E913" s="108">
        <v>91.253</v>
      </c>
      <c r="F913" s="108" t="s">
        <v>136</v>
      </c>
      <c r="G913" s="108"/>
      <c r="H913" s="108">
        <v>1</v>
      </c>
    </row>
    <row r="914" spans="1:8" ht="14">
      <c r="A914" s="108">
        <v>2004</v>
      </c>
      <c r="B914" s="108">
        <v>53</v>
      </c>
      <c r="C914" s="108" t="s">
        <v>138</v>
      </c>
      <c r="D914" s="108">
        <v>0</v>
      </c>
      <c r="E914" s="108">
        <v>8.5129999999999892</v>
      </c>
      <c r="F914" s="108" t="s">
        <v>135</v>
      </c>
      <c r="G914" s="108"/>
      <c r="H914" s="108">
        <v>1</v>
      </c>
    </row>
    <row r="915" spans="1:8" ht="14">
      <c r="A915" s="108">
        <v>2004</v>
      </c>
      <c r="B915" s="108">
        <v>53</v>
      </c>
      <c r="C915" s="108" t="s">
        <v>139</v>
      </c>
      <c r="D915" s="108">
        <v>0</v>
      </c>
      <c r="E915" s="108">
        <v>8.3109999999999893</v>
      </c>
      <c r="F915" s="108" t="s">
        <v>135</v>
      </c>
      <c r="G915" s="108"/>
      <c r="H915" s="108">
        <v>1</v>
      </c>
    </row>
    <row r="916" spans="1:8" ht="14">
      <c r="A916" s="108">
        <v>2004</v>
      </c>
      <c r="B916" s="108">
        <v>53</v>
      </c>
      <c r="C916" s="108" t="s">
        <v>139</v>
      </c>
      <c r="D916" s="108">
        <v>0</v>
      </c>
      <c r="E916" s="108">
        <v>83.726999999999904</v>
      </c>
      <c r="F916" s="108" t="s">
        <v>136</v>
      </c>
      <c r="G916" s="108"/>
      <c r="H916" s="108">
        <v>1</v>
      </c>
    </row>
    <row r="917" spans="1:8" ht="14">
      <c r="A917" s="108">
        <v>2004</v>
      </c>
      <c r="B917" s="108">
        <v>53</v>
      </c>
      <c r="C917" s="108" t="s">
        <v>139</v>
      </c>
      <c r="D917" s="108">
        <v>0</v>
      </c>
      <c r="E917" s="108">
        <v>5.8730000000000002</v>
      </c>
      <c r="F917" s="108" t="s">
        <v>137</v>
      </c>
      <c r="G917" s="108"/>
      <c r="H917" s="108">
        <v>1</v>
      </c>
    </row>
    <row r="918" spans="1:8" ht="14">
      <c r="A918" s="108">
        <v>2004</v>
      </c>
      <c r="B918" s="108">
        <v>54</v>
      </c>
      <c r="C918" s="108" t="s">
        <v>30</v>
      </c>
      <c r="D918" s="108">
        <v>5042.1250433733303</v>
      </c>
      <c r="E918" s="108">
        <v>3771.8013399403399</v>
      </c>
      <c r="F918" s="108" t="s">
        <v>136</v>
      </c>
      <c r="G918" s="108"/>
      <c r="H918" s="108">
        <v>1</v>
      </c>
    </row>
    <row r="919" spans="1:8" ht="14">
      <c r="A919" s="108">
        <v>2004</v>
      </c>
      <c r="B919" s="108">
        <v>54</v>
      </c>
      <c r="C919" s="108" t="s">
        <v>30</v>
      </c>
      <c r="D919" s="108">
        <v>4.2640000000000002</v>
      </c>
      <c r="E919" s="108">
        <v>4.2469999999999999</v>
      </c>
      <c r="F919" s="108" t="s">
        <v>137</v>
      </c>
      <c r="G919" s="108"/>
      <c r="H919" s="108">
        <v>1</v>
      </c>
    </row>
    <row r="920" spans="1:8" ht="14">
      <c r="A920" s="108">
        <v>2004</v>
      </c>
      <c r="B920" s="108">
        <v>54</v>
      </c>
      <c r="C920" s="108" t="s">
        <v>30</v>
      </c>
      <c r="D920" s="108">
        <v>221.25595662666299</v>
      </c>
      <c r="E920" s="108">
        <v>176.85566005965799</v>
      </c>
      <c r="F920" s="108" t="s">
        <v>135</v>
      </c>
      <c r="G920" s="108"/>
      <c r="H920" s="108">
        <v>1</v>
      </c>
    </row>
    <row r="921" spans="1:8" ht="14">
      <c r="A921" s="108">
        <v>2004</v>
      </c>
      <c r="B921" s="108">
        <v>54</v>
      </c>
      <c r="C921" s="108" t="s">
        <v>138</v>
      </c>
      <c r="D921" s="108">
        <v>111.97180194205301</v>
      </c>
      <c r="E921" s="108">
        <v>89.794195847258095</v>
      </c>
      <c r="F921" s="108" t="s">
        <v>135</v>
      </c>
      <c r="G921" s="108"/>
      <c r="H921" s="108">
        <v>1</v>
      </c>
    </row>
    <row r="922" spans="1:8" ht="14">
      <c r="A922" s="108">
        <v>2004</v>
      </c>
      <c r="B922" s="108">
        <v>54</v>
      </c>
      <c r="C922" s="108" t="s">
        <v>138</v>
      </c>
      <c r="D922" s="108">
        <v>3006.3241980579401</v>
      </c>
      <c r="E922" s="108">
        <v>2397.5308041527401</v>
      </c>
      <c r="F922" s="108" t="s">
        <v>136</v>
      </c>
      <c r="G922" s="108"/>
      <c r="H922" s="108">
        <v>1</v>
      </c>
    </row>
    <row r="923" spans="1:8" ht="14">
      <c r="A923" s="108">
        <v>2004</v>
      </c>
      <c r="B923" s="108">
        <v>54</v>
      </c>
      <c r="C923" s="108" t="s">
        <v>138</v>
      </c>
      <c r="D923" s="108">
        <v>4.21</v>
      </c>
      <c r="E923" s="108">
        <v>4.21</v>
      </c>
      <c r="F923" s="108" t="s">
        <v>137</v>
      </c>
      <c r="G923" s="108"/>
      <c r="H923" s="108">
        <v>1</v>
      </c>
    </row>
    <row r="924" spans="1:8" ht="14">
      <c r="A924" s="108">
        <v>2004</v>
      </c>
      <c r="B924" s="108">
        <v>54</v>
      </c>
      <c r="C924" s="108" t="s">
        <v>139</v>
      </c>
      <c r="D924" s="108">
        <v>2035.80084531539</v>
      </c>
      <c r="E924" s="108">
        <v>1374.2705357876</v>
      </c>
      <c r="F924" s="108" t="s">
        <v>136</v>
      </c>
      <c r="G924" s="108"/>
      <c r="H924" s="108">
        <v>1</v>
      </c>
    </row>
    <row r="925" spans="1:8" ht="14">
      <c r="A925" s="108">
        <v>2004</v>
      </c>
      <c r="B925" s="108">
        <v>54</v>
      </c>
      <c r="C925" s="108" t="s">
        <v>139</v>
      </c>
      <c r="D925" s="108">
        <v>5.3999999999999999E-2</v>
      </c>
      <c r="E925" s="108">
        <v>3.6999999999999998E-2</v>
      </c>
      <c r="F925" s="108" t="s">
        <v>137</v>
      </c>
      <c r="G925" s="108"/>
      <c r="H925" s="108">
        <v>1</v>
      </c>
    </row>
    <row r="926" spans="1:8" ht="14">
      <c r="A926" s="108">
        <v>2004</v>
      </c>
      <c r="B926" s="108">
        <v>54</v>
      </c>
      <c r="C926" s="108" t="s">
        <v>139</v>
      </c>
      <c r="D926" s="108">
        <v>109.28415468460901</v>
      </c>
      <c r="E926" s="108">
        <v>87.061464212400097</v>
      </c>
      <c r="F926" s="108" t="s">
        <v>135</v>
      </c>
      <c r="G926" s="108"/>
      <c r="H926" s="108">
        <v>1</v>
      </c>
    </row>
    <row r="927" spans="1:8" ht="14">
      <c r="A927" s="108">
        <v>2004</v>
      </c>
      <c r="B927" s="108">
        <v>56</v>
      </c>
      <c r="C927" s="108" t="s">
        <v>30</v>
      </c>
      <c r="D927" s="108">
        <v>3.7999999999999999E-2</v>
      </c>
      <c r="E927" s="108">
        <v>0.46</v>
      </c>
      <c r="F927" s="108" t="s">
        <v>135</v>
      </c>
      <c r="G927" s="108"/>
      <c r="H927" s="108">
        <v>1</v>
      </c>
    </row>
    <row r="928" spans="1:8" ht="14">
      <c r="A928" s="108">
        <v>2004</v>
      </c>
      <c r="B928" s="108">
        <v>56</v>
      </c>
      <c r="C928" s="108" t="s">
        <v>30</v>
      </c>
      <c r="D928" s="108">
        <v>0</v>
      </c>
      <c r="E928" s="108">
        <v>0</v>
      </c>
      <c r="F928" s="108" t="s">
        <v>136</v>
      </c>
      <c r="G928" s="108"/>
      <c r="H928" s="108">
        <v>1</v>
      </c>
    </row>
    <row r="929" spans="1:8" ht="14">
      <c r="A929" s="108">
        <v>2004</v>
      </c>
      <c r="B929" s="108">
        <v>56</v>
      </c>
      <c r="C929" s="108" t="s">
        <v>30</v>
      </c>
      <c r="D929" s="108">
        <v>3.5000000000000003E-2</v>
      </c>
      <c r="E929" s="108">
        <v>0.432</v>
      </c>
      <c r="F929" s="108" t="s">
        <v>137</v>
      </c>
      <c r="G929" s="108"/>
      <c r="H929" s="108">
        <v>1</v>
      </c>
    </row>
    <row r="930" spans="1:8" ht="14">
      <c r="A930" s="108">
        <v>2004</v>
      </c>
      <c r="B930" s="108">
        <v>56</v>
      </c>
      <c r="C930" s="108" t="s">
        <v>138</v>
      </c>
      <c r="D930" s="108">
        <v>3.5000000000000003E-2</v>
      </c>
      <c r="E930" s="108">
        <v>0.432</v>
      </c>
      <c r="F930" s="108" t="s">
        <v>137</v>
      </c>
      <c r="G930" s="108"/>
      <c r="H930" s="108">
        <v>1</v>
      </c>
    </row>
    <row r="931" spans="1:8" ht="14">
      <c r="A931" s="108">
        <v>2004</v>
      </c>
      <c r="B931" s="108">
        <v>56</v>
      </c>
      <c r="C931" s="108" t="s">
        <v>139</v>
      </c>
      <c r="D931" s="108">
        <v>0</v>
      </c>
      <c r="E931" s="108">
        <v>0</v>
      </c>
      <c r="F931" s="108" t="s">
        <v>136</v>
      </c>
      <c r="G931" s="108"/>
      <c r="H931" s="108">
        <v>1</v>
      </c>
    </row>
    <row r="932" spans="1:8" ht="14">
      <c r="A932" s="108">
        <v>2004</v>
      </c>
      <c r="B932" s="108">
        <v>56</v>
      </c>
      <c r="C932" s="108" t="s">
        <v>139</v>
      </c>
      <c r="D932" s="108">
        <v>3.7999999999999999E-2</v>
      </c>
      <c r="E932" s="108">
        <v>0.46</v>
      </c>
      <c r="F932" s="108" t="s">
        <v>135</v>
      </c>
      <c r="G932" s="108"/>
      <c r="H932" s="108">
        <v>1</v>
      </c>
    </row>
    <row r="933" spans="1:8" ht="14">
      <c r="A933" s="108">
        <v>2004</v>
      </c>
      <c r="B933" s="108">
        <v>59</v>
      </c>
      <c r="C933" s="108" t="s">
        <v>30</v>
      </c>
      <c r="D933" s="108">
        <v>99.957999999999899</v>
      </c>
      <c r="E933" s="108">
        <v>8.6609999999999996</v>
      </c>
      <c r="F933" s="108" t="s">
        <v>136</v>
      </c>
      <c r="G933" s="108"/>
      <c r="H933" s="108">
        <v>1</v>
      </c>
    </row>
    <row r="934" spans="1:8" ht="14">
      <c r="A934" s="108">
        <v>2004</v>
      </c>
      <c r="B934" s="108">
        <v>59</v>
      </c>
      <c r="C934" s="108" t="s">
        <v>30</v>
      </c>
      <c r="D934" s="108">
        <v>31.1359999999999</v>
      </c>
      <c r="E934" s="108">
        <v>27.53</v>
      </c>
      <c r="F934" s="108" t="s">
        <v>135</v>
      </c>
      <c r="G934" s="108"/>
      <c r="H934" s="108">
        <v>1</v>
      </c>
    </row>
    <row r="935" spans="1:8" ht="14">
      <c r="A935" s="108">
        <v>2004</v>
      </c>
      <c r="B935" s="108">
        <v>59</v>
      </c>
      <c r="C935" s="108" t="s">
        <v>138</v>
      </c>
      <c r="D935" s="108">
        <v>40.119</v>
      </c>
      <c r="E935" s="108">
        <v>3.153</v>
      </c>
      <c r="F935" s="108" t="s">
        <v>136</v>
      </c>
      <c r="G935" s="108"/>
      <c r="H935" s="108">
        <v>1</v>
      </c>
    </row>
    <row r="936" spans="1:8" ht="14">
      <c r="A936" s="108">
        <v>2004</v>
      </c>
      <c r="B936" s="108">
        <v>59</v>
      </c>
      <c r="C936" s="108" t="s">
        <v>138</v>
      </c>
      <c r="D936" s="108">
        <v>11.898</v>
      </c>
      <c r="E936" s="108">
        <v>8.2750000000000004</v>
      </c>
      <c r="F936" s="108" t="s">
        <v>135</v>
      </c>
      <c r="G936" s="108"/>
      <c r="H936" s="108">
        <v>1</v>
      </c>
    </row>
    <row r="937" spans="1:8" ht="14">
      <c r="A937" s="108">
        <v>2004</v>
      </c>
      <c r="B937" s="108">
        <v>59</v>
      </c>
      <c r="C937" s="108" t="s">
        <v>139</v>
      </c>
      <c r="D937" s="108">
        <v>19.2379999999999</v>
      </c>
      <c r="E937" s="108">
        <v>19.254999999999999</v>
      </c>
      <c r="F937" s="108" t="s">
        <v>135</v>
      </c>
      <c r="G937" s="108"/>
      <c r="H937" s="108">
        <v>1</v>
      </c>
    </row>
    <row r="938" spans="1:8" ht="14">
      <c r="A938" s="108">
        <v>2004</v>
      </c>
      <c r="B938" s="108">
        <v>59</v>
      </c>
      <c r="C938" s="108" t="s">
        <v>139</v>
      </c>
      <c r="D938" s="108">
        <v>59.838999999999899</v>
      </c>
      <c r="E938" s="108">
        <v>5.508</v>
      </c>
      <c r="F938" s="108" t="s">
        <v>136</v>
      </c>
      <c r="G938" s="108"/>
      <c r="H938" s="108">
        <v>1</v>
      </c>
    </row>
    <row r="939" spans="1:8" ht="14">
      <c r="A939" s="108">
        <v>2004</v>
      </c>
      <c r="B939" s="108">
        <v>61</v>
      </c>
      <c r="C939" s="108" t="s">
        <v>30</v>
      </c>
      <c r="D939" s="108">
        <v>24985.561996595199</v>
      </c>
      <c r="E939" s="108">
        <v>1731.82298196938</v>
      </c>
      <c r="F939" s="108" t="s">
        <v>136</v>
      </c>
      <c r="G939" s="108"/>
      <c r="H939" s="108">
        <v>1</v>
      </c>
    </row>
    <row r="940" spans="1:8" ht="14">
      <c r="A940" s="108">
        <v>2004</v>
      </c>
      <c r="B940" s="108">
        <v>61</v>
      </c>
      <c r="C940" s="108" t="s">
        <v>30</v>
      </c>
      <c r="D940" s="108">
        <v>2.85</v>
      </c>
      <c r="E940" s="108">
        <v>0.373</v>
      </c>
      <c r="F940" s="108" t="s">
        <v>137</v>
      </c>
      <c r="G940" s="108"/>
      <c r="H940" s="108">
        <v>1</v>
      </c>
    </row>
    <row r="941" spans="1:8" ht="14">
      <c r="A941" s="108">
        <v>2004</v>
      </c>
      <c r="B941" s="108">
        <v>61</v>
      </c>
      <c r="C941" s="108" t="s">
        <v>30</v>
      </c>
      <c r="D941" s="108">
        <v>12687.065003404699</v>
      </c>
      <c r="E941" s="108">
        <v>953.83301803061499</v>
      </c>
      <c r="F941" s="108" t="s">
        <v>135</v>
      </c>
      <c r="G941" s="108"/>
      <c r="H941" s="108">
        <v>1</v>
      </c>
    </row>
    <row r="942" spans="1:8" ht="14">
      <c r="A942" s="108">
        <v>2004</v>
      </c>
      <c r="B942" s="108">
        <v>61</v>
      </c>
      <c r="C942" s="108" t="s">
        <v>138</v>
      </c>
      <c r="D942" s="108">
        <v>6424.9962757665098</v>
      </c>
      <c r="E942" s="108">
        <v>472.486753049041</v>
      </c>
      <c r="F942" s="108" t="s">
        <v>135</v>
      </c>
      <c r="G942" s="108"/>
      <c r="H942" s="108">
        <v>1</v>
      </c>
    </row>
    <row r="943" spans="1:8" ht="14">
      <c r="A943" s="108">
        <v>2004</v>
      </c>
      <c r="B943" s="108">
        <v>61</v>
      </c>
      <c r="C943" s="108" t="s">
        <v>138</v>
      </c>
      <c r="D943" s="108">
        <v>14810.8597242334</v>
      </c>
      <c r="E943" s="108">
        <v>882.34124695095795</v>
      </c>
      <c r="F943" s="108" t="s">
        <v>136</v>
      </c>
      <c r="G943" s="108"/>
      <c r="H943" s="108">
        <v>1</v>
      </c>
    </row>
    <row r="944" spans="1:8" ht="14">
      <c r="A944" s="108">
        <v>2004</v>
      </c>
      <c r="B944" s="108">
        <v>61</v>
      </c>
      <c r="C944" s="108" t="s">
        <v>139</v>
      </c>
      <c r="D944" s="108">
        <v>2.85</v>
      </c>
      <c r="E944" s="108">
        <v>0.373</v>
      </c>
      <c r="F944" s="108" t="s">
        <v>137</v>
      </c>
      <c r="G944" s="108"/>
      <c r="H944" s="108">
        <v>1</v>
      </c>
    </row>
    <row r="945" spans="1:8" ht="14">
      <c r="A945" s="108">
        <v>2004</v>
      </c>
      <c r="B945" s="108">
        <v>61</v>
      </c>
      <c r="C945" s="108" t="s">
        <v>139</v>
      </c>
      <c r="D945" s="108">
        <v>10174.702272361699</v>
      </c>
      <c r="E945" s="108">
        <v>849.48173501842496</v>
      </c>
      <c r="F945" s="108" t="s">
        <v>136</v>
      </c>
      <c r="G945" s="108"/>
      <c r="H945" s="108">
        <v>1</v>
      </c>
    </row>
    <row r="946" spans="1:8" ht="14">
      <c r="A946" s="108">
        <v>2004</v>
      </c>
      <c r="B946" s="108">
        <v>61</v>
      </c>
      <c r="C946" s="108" t="s">
        <v>139</v>
      </c>
      <c r="D946" s="108">
        <v>6262.0687276382496</v>
      </c>
      <c r="E946" s="108">
        <v>481.346264981574</v>
      </c>
      <c r="F946" s="108" t="s">
        <v>135</v>
      </c>
      <c r="G946" s="108"/>
      <c r="H946" s="108">
        <v>1</v>
      </c>
    </row>
    <row r="947" spans="1:8" ht="14">
      <c r="A947" s="108">
        <v>2004</v>
      </c>
      <c r="B947" s="108">
        <v>62</v>
      </c>
      <c r="C947" s="108" t="s">
        <v>30</v>
      </c>
      <c r="D947" s="108">
        <v>59.116</v>
      </c>
      <c r="E947" s="108">
        <v>23.298999999999999</v>
      </c>
      <c r="F947" s="108" t="s">
        <v>135</v>
      </c>
      <c r="G947" s="108"/>
      <c r="H947" s="108">
        <v>1</v>
      </c>
    </row>
    <row r="948" spans="1:8" ht="14">
      <c r="A948" s="108">
        <v>2004</v>
      </c>
      <c r="B948" s="108">
        <v>62</v>
      </c>
      <c r="C948" s="108" t="s">
        <v>30</v>
      </c>
      <c r="D948" s="108">
        <v>1.498</v>
      </c>
      <c r="E948" s="108">
        <v>0.39</v>
      </c>
      <c r="F948" s="108" t="s">
        <v>137</v>
      </c>
      <c r="G948" s="108"/>
      <c r="H948" s="108">
        <v>1</v>
      </c>
    </row>
    <row r="949" spans="1:8" ht="14">
      <c r="A949" s="108">
        <v>2004</v>
      </c>
      <c r="B949" s="108">
        <v>62</v>
      </c>
      <c r="C949" s="108" t="s">
        <v>30</v>
      </c>
      <c r="D949" s="108">
        <v>817.44100000000003</v>
      </c>
      <c r="E949" s="108">
        <v>51.869</v>
      </c>
      <c r="F949" s="108" t="s">
        <v>136</v>
      </c>
      <c r="G949" s="108"/>
      <c r="H949" s="108">
        <v>1</v>
      </c>
    </row>
    <row r="950" spans="1:8" ht="14">
      <c r="A950" s="108">
        <v>2004</v>
      </c>
      <c r="B950" s="108">
        <v>62</v>
      </c>
      <c r="C950" s="108" t="s">
        <v>138</v>
      </c>
      <c r="D950" s="108">
        <v>722.41</v>
      </c>
      <c r="E950" s="108">
        <v>33.383000000000003</v>
      </c>
      <c r="F950" s="108" t="s">
        <v>136</v>
      </c>
      <c r="G950" s="108"/>
      <c r="H950" s="108">
        <v>1</v>
      </c>
    </row>
    <row r="951" spans="1:8" ht="14">
      <c r="A951" s="108">
        <v>2004</v>
      </c>
      <c r="B951" s="108">
        <v>62</v>
      </c>
      <c r="C951" s="108" t="s">
        <v>138</v>
      </c>
      <c r="D951" s="108">
        <v>33.433</v>
      </c>
      <c r="E951" s="108">
        <v>9.1379999999999999</v>
      </c>
      <c r="F951" s="108" t="s">
        <v>135</v>
      </c>
      <c r="G951" s="108"/>
      <c r="H951" s="108">
        <v>1</v>
      </c>
    </row>
    <row r="952" spans="1:8" ht="14">
      <c r="A952" s="108">
        <v>2004</v>
      </c>
      <c r="B952" s="108">
        <v>62</v>
      </c>
      <c r="C952" s="108" t="s">
        <v>138</v>
      </c>
      <c r="D952" s="108">
        <v>0.751</v>
      </c>
      <c r="E952" s="108">
        <v>0.16700000000000001</v>
      </c>
      <c r="F952" s="108" t="s">
        <v>137</v>
      </c>
      <c r="G952" s="108"/>
      <c r="H952" s="108">
        <v>1</v>
      </c>
    </row>
    <row r="953" spans="1:8" ht="14">
      <c r="A953" s="108">
        <v>2004</v>
      </c>
      <c r="B953" s="108">
        <v>62</v>
      </c>
      <c r="C953" s="108" t="s">
        <v>139</v>
      </c>
      <c r="D953" s="108">
        <v>95.031000000000006</v>
      </c>
      <c r="E953" s="108">
        <v>18.485999999999901</v>
      </c>
      <c r="F953" s="108" t="s">
        <v>136</v>
      </c>
      <c r="G953" s="108"/>
      <c r="H953" s="108">
        <v>1</v>
      </c>
    </row>
    <row r="954" spans="1:8" ht="14">
      <c r="A954" s="108">
        <v>2004</v>
      </c>
      <c r="B954" s="108">
        <v>62</v>
      </c>
      <c r="C954" s="108" t="s">
        <v>139</v>
      </c>
      <c r="D954" s="108">
        <v>0.747</v>
      </c>
      <c r="E954" s="108">
        <v>0.223</v>
      </c>
      <c r="F954" s="108" t="s">
        <v>137</v>
      </c>
      <c r="G954" s="108"/>
      <c r="H954" s="108">
        <v>1</v>
      </c>
    </row>
    <row r="955" spans="1:8" ht="14">
      <c r="A955" s="108">
        <v>2004</v>
      </c>
      <c r="B955" s="108">
        <v>62</v>
      </c>
      <c r="C955" s="108" t="s">
        <v>139</v>
      </c>
      <c r="D955" s="108">
        <v>25.683</v>
      </c>
      <c r="E955" s="108">
        <v>14.1609999999999</v>
      </c>
      <c r="F955" s="108" t="s">
        <v>135</v>
      </c>
      <c r="G955" s="108"/>
      <c r="H955" s="108">
        <v>1</v>
      </c>
    </row>
    <row r="956" spans="1:8" ht="14">
      <c r="A956" s="108">
        <v>2004</v>
      </c>
      <c r="B956" s="108">
        <v>63</v>
      </c>
      <c r="C956" s="108" t="s">
        <v>30</v>
      </c>
      <c r="D956" s="108">
        <v>5475.09</v>
      </c>
      <c r="E956" s="108">
        <v>378.88699999999898</v>
      </c>
      <c r="F956" s="108" t="s">
        <v>136</v>
      </c>
      <c r="G956" s="108"/>
      <c r="H956" s="108">
        <v>1</v>
      </c>
    </row>
    <row r="957" spans="1:8" ht="14">
      <c r="A957" s="108">
        <v>2004</v>
      </c>
      <c r="B957" s="108">
        <v>63</v>
      </c>
      <c r="C957" s="108" t="s">
        <v>30</v>
      </c>
      <c r="D957" s="108">
        <v>8.0809999999999995</v>
      </c>
      <c r="E957" s="108">
        <v>3.653</v>
      </c>
      <c r="F957" s="108" t="s">
        <v>135</v>
      </c>
      <c r="G957" s="108"/>
      <c r="H957" s="108">
        <v>1</v>
      </c>
    </row>
    <row r="958" spans="1:8" ht="14">
      <c r="A958" s="108">
        <v>2004</v>
      </c>
      <c r="B958" s="108">
        <v>63</v>
      </c>
      <c r="C958" s="108" t="s">
        <v>138</v>
      </c>
      <c r="D958" s="108">
        <v>8.0009999999999994</v>
      </c>
      <c r="E958" s="108">
        <v>2.2389999999999999</v>
      </c>
      <c r="F958" s="108" t="s">
        <v>135</v>
      </c>
      <c r="G958" s="108"/>
      <c r="H958" s="108">
        <v>1</v>
      </c>
    </row>
    <row r="959" spans="1:8" ht="14">
      <c r="A959" s="108">
        <v>2004</v>
      </c>
      <c r="B959" s="108">
        <v>63</v>
      </c>
      <c r="C959" s="108" t="s">
        <v>138</v>
      </c>
      <c r="D959" s="108">
        <v>3623.9929999999999</v>
      </c>
      <c r="E959" s="108">
        <v>196.767</v>
      </c>
      <c r="F959" s="108" t="s">
        <v>136</v>
      </c>
      <c r="G959" s="108"/>
      <c r="H959" s="108">
        <v>1</v>
      </c>
    </row>
    <row r="960" spans="1:8" ht="14">
      <c r="A960" s="108">
        <v>2004</v>
      </c>
      <c r="B960" s="108">
        <v>63</v>
      </c>
      <c r="C960" s="108" t="s">
        <v>139</v>
      </c>
      <c r="D960" s="108">
        <v>1851.097</v>
      </c>
      <c r="E960" s="108">
        <v>182.12</v>
      </c>
      <c r="F960" s="108" t="s">
        <v>136</v>
      </c>
      <c r="G960" s="108"/>
      <c r="H960" s="108">
        <v>1</v>
      </c>
    </row>
    <row r="961" spans="1:8" ht="14">
      <c r="A961" s="108">
        <v>2004</v>
      </c>
      <c r="B961" s="108">
        <v>63</v>
      </c>
      <c r="C961" s="108" t="s">
        <v>139</v>
      </c>
      <c r="D961" s="108">
        <v>0.08</v>
      </c>
      <c r="E961" s="108">
        <v>1.4139999999999999</v>
      </c>
      <c r="F961" s="108" t="s">
        <v>135</v>
      </c>
      <c r="G961" s="108"/>
      <c r="H961" s="108">
        <v>1</v>
      </c>
    </row>
    <row r="962" spans="1:8" ht="14">
      <c r="A962" s="108">
        <v>2004</v>
      </c>
      <c r="B962" s="108">
        <v>69</v>
      </c>
      <c r="C962" s="108" t="s">
        <v>30</v>
      </c>
      <c r="D962" s="108">
        <v>4.3869999999999996</v>
      </c>
      <c r="E962" s="108">
        <v>0.157</v>
      </c>
      <c r="F962" s="108" t="s">
        <v>136</v>
      </c>
      <c r="G962" s="108"/>
      <c r="H962" s="108">
        <v>1</v>
      </c>
    </row>
    <row r="963" spans="1:8" ht="14">
      <c r="A963" s="108">
        <v>2004</v>
      </c>
      <c r="B963" s="108">
        <v>69</v>
      </c>
      <c r="C963" s="108" t="s">
        <v>30</v>
      </c>
      <c r="D963" s="108">
        <v>419.31700000000001</v>
      </c>
      <c r="E963" s="108">
        <v>31.783000000000001</v>
      </c>
      <c r="F963" s="108" t="s">
        <v>135</v>
      </c>
      <c r="G963" s="108"/>
      <c r="H963" s="108">
        <v>1</v>
      </c>
    </row>
    <row r="964" spans="1:8" ht="14">
      <c r="A964" s="108">
        <v>2004</v>
      </c>
      <c r="B964" s="108">
        <v>69</v>
      </c>
      <c r="C964" s="108" t="s">
        <v>138</v>
      </c>
      <c r="D964" s="108">
        <v>4.09</v>
      </c>
      <c r="E964" s="108">
        <v>0.14499999999999999</v>
      </c>
      <c r="F964" s="108" t="s">
        <v>136</v>
      </c>
      <c r="G964" s="108"/>
      <c r="H964" s="108">
        <v>1</v>
      </c>
    </row>
    <row r="965" spans="1:8" ht="14">
      <c r="A965" s="108">
        <v>2004</v>
      </c>
      <c r="B965" s="108">
        <v>69</v>
      </c>
      <c r="C965" s="108" t="s">
        <v>138</v>
      </c>
      <c r="D965" s="108">
        <v>203.58699999999899</v>
      </c>
      <c r="E965" s="108">
        <v>15.919</v>
      </c>
      <c r="F965" s="108" t="s">
        <v>135</v>
      </c>
      <c r="G965" s="108"/>
      <c r="H965" s="108">
        <v>1</v>
      </c>
    </row>
    <row r="966" spans="1:8" ht="14">
      <c r="A966" s="108">
        <v>2004</v>
      </c>
      <c r="B966" s="108">
        <v>69</v>
      </c>
      <c r="C966" s="108" t="s">
        <v>139</v>
      </c>
      <c r="D966" s="108">
        <v>0.29699999999999999</v>
      </c>
      <c r="E966" s="108">
        <v>1.2E-2</v>
      </c>
      <c r="F966" s="108" t="s">
        <v>136</v>
      </c>
      <c r="G966" s="108"/>
      <c r="H966" s="108">
        <v>1</v>
      </c>
    </row>
    <row r="967" spans="1:8" ht="14">
      <c r="A967" s="108">
        <v>2004</v>
      </c>
      <c r="B967" s="108">
        <v>69</v>
      </c>
      <c r="C967" s="108" t="s">
        <v>139</v>
      </c>
      <c r="D967" s="108">
        <v>215.73</v>
      </c>
      <c r="E967" s="108">
        <v>15.8639999999999</v>
      </c>
      <c r="F967" s="108" t="s">
        <v>135</v>
      </c>
      <c r="G967" s="108"/>
      <c r="H967" s="108">
        <v>1</v>
      </c>
    </row>
    <row r="968" spans="1:8" ht="14">
      <c r="A968" s="108">
        <v>2004</v>
      </c>
      <c r="B968" s="108">
        <v>91</v>
      </c>
      <c r="C968" s="108" t="s">
        <v>30</v>
      </c>
      <c r="D968" s="108">
        <v>10363.986990712699</v>
      </c>
      <c r="E968" s="108">
        <v>0</v>
      </c>
      <c r="F968" s="108" t="s">
        <v>136</v>
      </c>
      <c r="G968" s="108"/>
      <c r="H968" s="108">
        <v>1</v>
      </c>
    </row>
    <row r="969" spans="1:8" ht="14">
      <c r="A969" s="108">
        <v>2004</v>
      </c>
      <c r="B969" s="108">
        <v>91</v>
      </c>
      <c r="C969" s="108" t="s">
        <v>30</v>
      </c>
      <c r="D969" s="108">
        <v>193.55400928725101</v>
      </c>
      <c r="E969" s="108">
        <v>0</v>
      </c>
      <c r="F969" s="108" t="s">
        <v>135</v>
      </c>
      <c r="G969" s="108"/>
      <c r="H969" s="108">
        <v>1</v>
      </c>
    </row>
    <row r="970" spans="1:8" ht="14">
      <c r="A970" s="108">
        <v>2004</v>
      </c>
      <c r="B970" s="108">
        <v>91</v>
      </c>
      <c r="C970" s="108" t="s">
        <v>138</v>
      </c>
      <c r="D970" s="108">
        <v>35.308947007015</v>
      </c>
      <c r="E970" s="108">
        <v>0</v>
      </c>
      <c r="F970" s="108" t="s">
        <v>135</v>
      </c>
      <c r="G970" s="108"/>
      <c r="H970" s="108">
        <v>1</v>
      </c>
    </row>
    <row r="971" spans="1:8" ht="14">
      <c r="A971" s="108">
        <v>2004</v>
      </c>
      <c r="B971" s="108">
        <v>91</v>
      </c>
      <c r="C971" s="108" t="s">
        <v>138</v>
      </c>
      <c r="D971" s="108">
        <v>10067.9740529929</v>
      </c>
      <c r="E971" s="108">
        <v>0</v>
      </c>
      <c r="F971" s="108" t="s">
        <v>136</v>
      </c>
      <c r="G971" s="108"/>
      <c r="H971" s="108">
        <v>1</v>
      </c>
    </row>
    <row r="972" spans="1:8" ht="14">
      <c r="A972" s="108">
        <v>2004</v>
      </c>
      <c r="B972" s="108">
        <v>91</v>
      </c>
      <c r="C972" s="108" t="s">
        <v>139</v>
      </c>
      <c r="D972" s="108">
        <v>296.01293771976299</v>
      </c>
      <c r="E972" s="108">
        <v>0</v>
      </c>
      <c r="F972" s="108" t="s">
        <v>136</v>
      </c>
      <c r="G972" s="108"/>
      <c r="H972" s="108">
        <v>1</v>
      </c>
    </row>
    <row r="973" spans="1:8" ht="14">
      <c r="A973" s="108">
        <v>2004</v>
      </c>
      <c r="B973" s="108">
        <v>91</v>
      </c>
      <c r="C973" s="108" t="s">
        <v>139</v>
      </c>
      <c r="D973" s="108">
        <v>158.245062280236</v>
      </c>
      <c r="E973" s="108">
        <v>0</v>
      </c>
      <c r="F973" s="108" t="s">
        <v>135</v>
      </c>
      <c r="G973" s="108"/>
      <c r="H973" s="108">
        <v>1</v>
      </c>
    </row>
    <row r="974" spans="1:8" ht="14">
      <c r="A974" s="108">
        <v>2004</v>
      </c>
      <c r="B974" s="108">
        <v>92</v>
      </c>
      <c r="C974" s="108" t="s">
        <v>30</v>
      </c>
      <c r="D974" s="108">
        <v>9712.4521465553007</v>
      </c>
      <c r="E974" s="108">
        <v>0</v>
      </c>
      <c r="F974" s="108" t="s">
        <v>136</v>
      </c>
      <c r="G974" s="108"/>
      <c r="H974" s="108">
        <v>1</v>
      </c>
    </row>
    <row r="975" spans="1:8" ht="14">
      <c r="A975" s="108">
        <v>2004</v>
      </c>
      <c r="B975" s="108">
        <v>92</v>
      </c>
      <c r="C975" s="108" t="s">
        <v>30</v>
      </c>
      <c r="D975" s="108">
        <v>344.80985344469502</v>
      </c>
      <c r="E975" s="108">
        <v>0</v>
      </c>
      <c r="F975" s="108" t="s">
        <v>135</v>
      </c>
      <c r="G975" s="108"/>
      <c r="H975" s="108">
        <v>1</v>
      </c>
    </row>
    <row r="976" spans="1:8" ht="14">
      <c r="A976" s="108">
        <v>2004</v>
      </c>
      <c r="B976" s="108">
        <v>92</v>
      </c>
      <c r="C976" s="108" t="s">
        <v>138</v>
      </c>
      <c r="D976" s="108">
        <v>160.54613751440101</v>
      </c>
      <c r="E976" s="108">
        <v>0</v>
      </c>
      <c r="F976" s="108" t="s">
        <v>135</v>
      </c>
      <c r="G976" s="108"/>
      <c r="H976" s="108">
        <v>1</v>
      </c>
    </row>
    <row r="977" spans="1:8" ht="14">
      <c r="A977" s="108">
        <v>2004</v>
      </c>
      <c r="B977" s="108">
        <v>92</v>
      </c>
      <c r="C977" s="108" t="s">
        <v>138</v>
      </c>
      <c r="D977" s="108">
        <v>6162.0818624855901</v>
      </c>
      <c r="E977" s="108">
        <v>0</v>
      </c>
      <c r="F977" s="108" t="s">
        <v>136</v>
      </c>
      <c r="G977" s="108"/>
      <c r="H977" s="108">
        <v>1</v>
      </c>
    </row>
    <row r="978" spans="1:8" ht="14">
      <c r="A978" s="108">
        <v>2004</v>
      </c>
      <c r="B978" s="108">
        <v>92</v>
      </c>
      <c r="C978" s="108" t="s">
        <v>139</v>
      </c>
      <c r="D978" s="108">
        <v>184.26371593029299</v>
      </c>
      <c r="E978" s="108">
        <v>0</v>
      </c>
      <c r="F978" s="108" t="s">
        <v>135</v>
      </c>
      <c r="G978" s="108"/>
      <c r="H978" s="108">
        <v>1</v>
      </c>
    </row>
    <row r="979" spans="1:8" ht="14">
      <c r="A979" s="108">
        <v>2004</v>
      </c>
      <c r="B979" s="108">
        <v>92</v>
      </c>
      <c r="C979" s="108" t="s">
        <v>139</v>
      </c>
      <c r="D979" s="108">
        <v>3550.3702840697001</v>
      </c>
      <c r="E979" s="108">
        <v>0</v>
      </c>
      <c r="F979" s="108" t="s">
        <v>136</v>
      </c>
      <c r="G979" s="108"/>
      <c r="H979" s="108">
        <v>1</v>
      </c>
    </row>
    <row r="980" spans="1:8" ht="14">
      <c r="A980" s="108">
        <v>2004</v>
      </c>
      <c r="B980" s="108">
        <v>99</v>
      </c>
      <c r="C980" s="108" t="s">
        <v>30</v>
      </c>
      <c r="D980" s="108">
        <v>5.5035924370395897</v>
      </c>
      <c r="E980" s="108">
        <v>0</v>
      </c>
      <c r="F980" s="108" t="s">
        <v>137</v>
      </c>
      <c r="G980" s="108"/>
      <c r="H980" s="108">
        <v>1</v>
      </c>
    </row>
    <row r="981" spans="1:8" ht="14">
      <c r="A981" s="108">
        <v>2004</v>
      </c>
      <c r="B981" s="108">
        <v>99</v>
      </c>
      <c r="C981" s="108" t="s">
        <v>30</v>
      </c>
      <c r="D981" s="108">
        <v>1535.28846458974</v>
      </c>
      <c r="E981" s="108">
        <v>0</v>
      </c>
      <c r="F981" s="108" t="s">
        <v>135</v>
      </c>
      <c r="G981" s="108"/>
      <c r="H981" s="108">
        <v>1</v>
      </c>
    </row>
    <row r="982" spans="1:8" ht="14">
      <c r="A982" s="108">
        <v>2004</v>
      </c>
      <c r="B982" s="108">
        <v>99</v>
      </c>
      <c r="C982" s="108" t="s">
        <v>30</v>
      </c>
      <c r="D982" s="108">
        <v>5185.6669429732201</v>
      </c>
      <c r="E982" s="108">
        <v>0</v>
      </c>
      <c r="F982" s="108" t="s">
        <v>136</v>
      </c>
      <c r="G982" s="108"/>
      <c r="H982" s="108">
        <v>1</v>
      </c>
    </row>
    <row r="983" spans="1:8" ht="14">
      <c r="A983" s="108">
        <v>2004</v>
      </c>
      <c r="B983" s="108">
        <v>99</v>
      </c>
      <c r="C983" s="108" t="s">
        <v>138</v>
      </c>
      <c r="D983" s="108">
        <v>357.21413943711298</v>
      </c>
      <c r="E983" s="108">
        <v>0</v>
      </c>
      <c r="F983" s="108" t="s">
        <v>135</v>
      </c>
      <c r="G983" s="108"/>
      <c r="H983" s="108">
        <v>1</v>
      </c>
    </row>
    <row r="984" spans="1:8" ht="14">
      <c r="A984" s="108">
        <v>2004</v>
      </c>
      <c r="B984" s="108">
        <v>99</v>
      </c>
      <c r="C984" s="108" t="s">
        <v>138</v>
      </c>
      <c r="D984" s="108">
        <v>3919.6312681258401</v>
      </c>
      <c r="E984" s="108">
        <v>0</v>
      </c>
      <c r="F984" s="108" t="s">
        <v>136</v>
      </c>
      <c r="G984" s="108"/>
      <c r="H984" s="108">
        <v>1</v>
      </c>
    </row>
    <row r="985" spans="1:8" ht="14">
      <c r="A985" s="108">
        <v>2004</v>
      </c>
      <c r="B985" s="108">
        <v>99</v>
      </c>
      <c r="C985" s="108" t="s">
        <v>138</v>
      </c>
      <c r="D985" s="108">
        <v>5.5035924370395897</v>
      </c>
      <c r="E985" s="108">
        <v>0</v>
      </c>
      <c r="F985" s="108" t="s">
        <v>137</v>
      </c>
      <c r="G985" s="108"/>
      <c r="H985" s="108">
        <v>1</v>
      </c>
    </row>
    <row r="986" spans="1:8" ht="14">
      <c r="A986" s="108">
        <v>2004</v>
      </c>
      <c r="B986" s="108">
        <v>99</v>
      </c>
      <c r="C986" s="108" t="s">
        <v>139</v>
      </c>
      <c r="D986" s="108">
        <v>1178.0743251526201</v>
      </c>
      <c r="E986" s="108">
        <v>0</v>
      </c>
      <c r="F986" s="108" t="s">
        <v>135</v>
      </c>
      <c r="G986" s="108"/>
      <c r="H986" s="108">
        <v>1</v>
      </c>
    </row>
    <row r="987" spans="1:8" ht="14">
      <c r="A987" s="108">
        <v>2004</v>
      </c>
      <c r="B987" s="108">
        <v>99</v>
      </c>
      <c r="C987" s="108" t="s">
        <v>139</v>
      </c>
      <c r="D987" s="108">
        <v>0</v>
      </c>
      <c r="E987" s="108">
        <v>0</v>
      </c>
      <c r="F987" s="108" t="s">
        <v>137</v>
      </c>
      <c r="G987" s="108"/>
      <c r="H987" s="108">
        <v>1</v>
      </c>
    </row>
    <row r="988" spans="1:8" ht="14">
      <c r="A988" s="108">
        <v>2004</v>
      </c>
      <c r="B988" s="108">
        <v>99</v>
      </c>
      <c r="C988" s="108" t="s">
        <v>139</v>
      </c>
      <c r="D988" s="108">
        <v>1266.03567484737</v>
      </c>
      <c r="E988" s="108">
        <v>0</v>
      </c>
      <c r="F988" s="108" t="s">
        <v>136</v>
      </c>
      <c r="G988" s="108"/>
      <c r="H988" s="108">
        <v>1</v>
      </c>
    </row>
    <row r="989" spans="1:8" ht="14">
      <c r="A989" s="108">
        <v>2005</v>
      </c>
      <c r="B989" s="108">
        <v>11</v>
      </c>
      <c r="C989" s="108" t="s">
        <v>30</v>
      </c>
      <c r="D989" s="108">
        <v>2004.8401974496101</v>
      </c>
      <c r="E989" s="108">
        <v>0</v>
      </c>
      <c r="F989" s="108" t="s">
        <v>135</v>
      </c>
      <c r="G989" s="108"/>
      <c r="H989" s="108">
        <v>1</v>
      </c>
    </row>
    <row r="990" spans="1:8" ht="14">
      <c r="A990" s="108">
        <v>2005</v>
      </c>
      <c r="B990" s="108">
        <v>11</v>
      </c>
      <c r="C990" s="108" t="s">
        <v>30</v>
      </c>
      <c r="D990" s="108">
        <v>5893.2387003206104</v>
      </c>
      <c r="E990" s="108">
        <v>0</v>
      </c>
      <c r="F990" s="108" t="s">
        <v>136</v>
      </c>
      <c r="G990" s="108"/>
      <c r="H990" s="108">
        <v>1</v>
      </c>
    </row>
    <row r="991" spans="1:8" ht="14">
      <c r="A991" s="108">
        <v>2005</v>
      </c>
      <c r="B991" s="108">
        <v>11</v>
      </c>
      <c r="C991" s="108" t="s">
        <v>30</v>
      </c>
      <c r="D991" s="108">
        <v>1.4751022297704399</v>
      </c>
      <c r="E991" s="108">
        <v>0</v>
      </c>
      <c r="F991" s="108" t="s">
        <v>137</v>
      </c>
      <c r="G991" s="108"/>
      <c r="H991" s="108">
        <v>1</v>
      </c>
    </row>
    <row r="992" spans="1:8" ht="14">
      <c r="A992" s="108">
        <v>2005</v>
      </c>
      <c r="B992" s="108">
        <v>11</v>
      </c>
      <c r="C992" s="108" t="s">
        <v>138</v>
      </c>
      <c r="D992" s="108">
        <v>1144.7788234249001</v>
      </c>
      <c r="E992" s="108">
        <v>0</v>
      </c>
      <c r="F992" s="108" t="s">
        <v>136</v>
      </c>
      <c r="G992" s="108"/>
      <c r="H992" s="108">
        <v>1</v>
      </c>
    </row>
    <row r="993" spans="1:8" ht="14">
      <c r="A993" s="108">
        <v>2005</v>
      </c>
      <c r="B993" s="108">
        <v>11</v>
      </c>
      <c r="C993" s="108" t="s">
        <v>138</v>
      </c>
      <c r="D993" s="108">
        <v>849.35917657509799</v>
      </c>
      <c r="E993" s="108">
        <v>0</v>
      </c>
      <c r="F993" s="108" t="s">
        <v>135</v>
      </c>
      <c r="G993" s="108"/>
      <c r="H993" s="108">
        <v>1</v>
      </c>
    </row>
    <row r="994" spans="1:8" ht="14">
      <c r="A994" s="108">
        <v>2005</v>
      </c>
      <c r="B994" s="108">
        <v>11</v>
      </c>
      <c r="C994" s="108" t="s">
        <v>139</v>
      </c>
      <c r="D994" s="108">
        <v>4748.4598768957103</v>
      </c>
      <c r="E994" s="108">
        <v>0</v>
      </c>
      <c r="F994" s="108" t="s">
        <v>136</v>
      </c>
      <c r="G994" s="108"/>
      <c r="H994" s="108">
        <v>1</v>
      </c>
    </row>
    <row r="995" spans="1:8" ht="14">
      <c r="A995" s="108">
        <v>2005</v>
      </c>
      <c r="B995" s="108">
        <v>11</v>
      </c>
      <c r="C995" s="108" t="s">
        <v>139</v>
      </c>
      <c r="D995" s="108">
        <v>1155.48102087451</v>
      </c>
      <c r="E995" s="108">
        <v>0</v>
      </c>
      <c r="F995" s="108" t="s">
        <v>135</v>
      </c>
      <c r="G995" s="108"/>
      <c r="H995" s="108">
        <v>1</v>
      </c>
    </row>
    <row r="996" spans="1:8" ht="14">
      <c r="A996" s="108">
        <v>2005</v>
      </c>
      <c r="B996" s="108">
        <v>11</v>
      </c>
      <c r="C996" s="108" t="s">
        <v>139</v>
      </c>
      <c r="D996" s="108">
        <v>1.4751022297704399</v>
      </c>
      <c r="E996" s="108">
        <v>0</v>
      </c>
      <c r="F996" s="108" t="s">
        <v>137</v>
      </c>
      <c r="G996" s="108"/>
      <c r="H996" s="108">
        <v>1</v>
      </c>
    </row>
    <row r="997" spans="1:8" ht="14">
      <c r="A997" s="108">
        <v>2005</v>
      </c>
      <c r="B997" s="108">
        <v>12</v>
      </c>
      <c r="C997" s="108" t="s">
        <v>30</v>
      </c>
      <c r="D997" s="108">
        <v>65447.545114916698</v>
      </c>
      <c r="E997" s="108">
        <v>0</v>
      </c>
      <c r="F997" s="108" t="s">
        <v>135</v>
      </c>
      <c r="G997" s="108"/>
      <c r="H997" s="108">
        <v>1</v>
      </c>
    </row>
    <row r="998" spans="1:8" ht="14">
      <c r="A998" s="108">
        <v>2005</v>
      </c>
      <c r="B998" s="108">
        <v>12</v>
      </c>
      <c r="C998" s="108" t="s">
        <v>30</v>
      </c>
      <c r="D998" s="108">
        <v>88051.402885083196</v>
      </c>
      <c r="E998" s="108">
        <v>0</v>
      </c>
      <c r="F998" s="108" t="s">
        <v>136</v>
      </c>
      <c r="G998" s="108"/>
      <c r="H998" s="108">
        <v>1</v>
      </c>
    </row>
    <row r="999" spans="1:8" ht="14">
      <c r="A999" s="108">
        <v>2005</v>
      </c>
      <c r="B999" s="108">
        <v>12</v>
      </c>
      <c r="C999" s="108" t="s">
        <v>138</v>
      </c>
      <c r="D999" s="108">
        <v>40233.1598145596</v>
      </c>
      <c r="E999" s="108">
        <v>0</v>
      </c>
      <c r="F999" s="108" t="s">
        <v>135</v>
      </c>
      <c r="G999" s="108"/>
      <c r="H999" s="108">
        <v>1</v>
      </c>
    </row>
    <row r="1000" spans="1:8" ht="14">
      <c r="A1000" s="108">
        <v>2005</v>
      </c>
      <c r="B1000" s="108">
        <v>12</v>
      </c>
      <c r="C1000" s="108" t="s">
        <v>138</v>
      </c>
      <c r="D1000" s="108">
        <v>40262.696185440298</v>
      </c>
      <c r="E1000" s="108">
        <v>0</v>
      </c>
      <c r="F1000" s="108" t="s">
        <v>136</v>
      </c>
      <c r="G1000" s="108"/>
      <c r="H1000" s="108">
        <v>1</v>
      </c>
    </row>
    <row r="1001" spans="1:8" ht="14">
      <c r="A1001" s="108">
        <v>2005</v>
      </c>
      <c r="B1001" s="108">
        <v>12</v>
      </c>
      <c r="C1001" s="108" t="s">
        <v>139</v>
      </c>
      <c r="D1001" s="108">
        <v>47788.706699642898</v>
      </c>
      <c r="E1001" s="108">
        <v>0</v>
      </c>
      <c r="F1001" s="108" t="s">
        <v>136</v>
      </c>
      <c r="G1001" s="108"/>
      <c r="H1001" s="108">
        <v>1</v>
      </c>
    </row>
    <row r="1002" spans="1:8" ht="14">
      <c r="A1002" s="108">
        <v>2005</v>
      </c>
      <c r="B1002" s="108">
        <v>12</v>
      </c>
      <c r="C1002" s="108" t="s">
        <v>139</v>
      </c>
      <c r="D1002" s="108">
        <v>25214.385300357</v>
      </c>
      <c r="E1002" s="108">
        <v>0</v>
      </c>
      <c r="F1002" s="108" t="s">
        <v>135</v>
      </c>
      <c r="G1002" s="108"/>
      <c r="H1002" s="108">
        <v>1</v>
      </c>
    </row>
    <row r="1003" spans="1:8" ht="14">
      <c r="A1003" s="108">
        <v>2005</v>
      </c>
      <c r="B1003" s="108">
        <v>13</v>
      </c>
      <c r="C1003" s="108" t="s">
        <v>30</v>
      </c>
      <c r="D1003" s="108">
        <v>59695.253778269798</v>
      </c>
      <c r="E1003" s="108">
        <v>0</v>
      </c>
      <c r="F1003" s="108" t="s">
        <v>136</v>
      </c>
      <c r="G1003" s="108"/>
      <c r="H1003" s="108">
        <v>1</v>
      </c>
    </row>
    <row r="1004" spans="1:8" ht="14">
      <c r="A1004" s="108">
        <v>2005</v>
      </c>
      <c r="B1004" s="108">
        <v>13</v>
      </c>
      <c r="C1004" s="108" t="s">
        <v>30</v>
      </c>
      <c r="D1004" s="108">
        <v>148.80357412817401</v>
      </c>
      <c r="E1004" s="108">
        <v>0</v>
      </c>
      <c r="F1004" s="108" t="s">
        <v>137</v>
      </c>
      <c r="G1004" s="108"/>
      <c r="H1004" s="108">
        <v>1</v>
      </c>
    </row>
    <row r="1005" spans="1:8" ht="14">
      <c r="A1005" s="108">
        <v>2005</v>
      </c>
      <c r="B1005" s="108">
        <v>13</v>
      </c>
      <c r="C1005" s="108" t="s">
        <v>30</v>
      </c>
      <c r="D1005" s="108">
        <v>29156.624647601999</v>
      </c>
      <c r="E1005" s="108">
        <v>0</v>
      </c>
      <c r="F1005" s="108" t="s">
        <v>135</v>
      </c>
      <c r="G1005" s="108"/>
      <c r="H1005" s="108">
        <v>1</v>
      </c>
    </row>
    <row r="1006" spans="1:8" ht="14">
      <c r="A1006" s="108">
        <v>2005</v>
      </c>
      <c r="B1006" s="108">
        <v>13</v>
      </c>
      <c r="C1006" s="108" t="s">
        <v>138</v>
      </c>
      <c r="D1006" s="108">
        <v>28803.3833237869</v>
      </c>
      <c r="E1006" s="108">
        <v>0</v>
      </c>
      <c r="F1006" s="108" t="s">
        <v>136</v>
      </c>
      <c r="G1006" s="108"/>
      <c r="H1006" s="108">
        <v>1</v>
      </c>
    </row>
    <row r="1007" spans="1:8" ht="14">
      <c r="A1007" s="108">
        <v>2005</v>
      </c>
      <c r="B1007" s="108">
        <v>13</v>
      </c>
      <c r="C1007" s="108" t="s">
        <v>138</v>
      </c>
      <c r="D1007" s="108">
        <v>13935.848676213</v>
      </c>
      <c r="E1007" s="108">
        <v>0</v>
      </c>
      <c r="F1007" s="108" t="s">
        <v>135</v>
      </c>
      <c r="G1007" s="108"/>
      <c r="H1007" s="108">
        <v>1</v>
      </c>
    </row>
    <row r="1008" spans="1:8" ht="14">
      <c r="A1008" s="108">
        <v>2005</v>
      </c>
      <c r="B1008" s="108">
        <v>13</v>
      </c>
      <c r="C1008" s="108" t="s">
        <v>139</v>
      </c>
      <c r="D1008" s="108">
        <v>30891.8704544828</v>
      </c>
      <c r="E1008" s="108">
        <v>0</v>
      </c>
      <c r="F1008" s="108" t="s">
        <v>136</v>
      </c>
      <c r="G1008" s="108"/>
      <c r="H1008" s="108">
        <v>1</v>
      </c>
    </row>
    <row r="1009" spans="1:8" ht="14">
      <c r="A1009" s="108">
        <v>2005</v>
      </c>
      <c r="B1009" s="108">
        <v>13</v>
      </c>
      <c r="C1009" s="108" t="s">
        <v>139</v>
      </c>
      <c r="D1009" s="108">
        <v>148.80357412817401</v>
      </c>
      <c r="E1009" s="108">
        <v>0</v>
      </c>
      <c r="F1009" s="108" t="s">
        <v>137</v>
      </c>
      <c r="G1009" s="108"/>
      <c r="H1009" s="108">
        <v>1</v>
      </c>
    </row>
    <row r="1010" spans="1:8" ht="14">
      <c r="A1010" s="108">
        <v>2005</v>
      </c>
      <c r="B1010" s="108">
        <v>13</v>
      </c>
      <c r="C1010" s="108" t="s">
        <v>139</v>
      </c>
      <c r="D1010" s="108">
        <v>15220.775971388901</v>
      </c>
      <c r="E1010" s="108">
        <v>0</v>
      </c>
      <c r="F1010" s="108" t="s">
        <v>135</v>
      </c>
      <c r="G1010" s="108"/>
      <c r="H1010" s="108">
        <v>1</v>
      </c>
    </row>
    <row r="1011" spans="1:8" ht="14">
      <c r="A1011" s="108">
        <v>2005</v>
      </c>
      <c r="B1011" s="108">
        <v>19</v>
      </c>
      <c r="C1011" s="108" t="s">
        <v>30</v>
      </c>
      <c r="D1011" s="108">
        <v>5.5950688940166904</v>
      </c>
      <c r="E1011" s="108">
        <v>0</v>
      </c>
      <c r="F1011" s="108" t="s">
        <v>137</v>
      </c>
      <c r="G1011" s="108"/>
      <c r="H1011" s="108">
        <v>1</v>
      </c>
    </row>
    <row r="1012" spans="1:8" ht="14">
      <c r="A1012" s="108">
        <v>2005</v>
      </c>
      <c r="B1012" s="108">
        <v>19</v>
      </c>
      <c r="C1012" s="108" t="s">
        <v>30</v>
      </c>
      <c r="D1012" s="108">
        <v>10455.161989972101</v>
      </c>
      <c r="E1012" s="108">
        <v>0</v>
      </c>
      <c r="F1012" s="108" t="s">
        <v>136</v>
      </c>
      <c r="G1012" s="108"/>
      <c r="H1012" s="108">
        <v>1</v>
      </c>
    </row>
    <row r="1013" spans="1:8" ht="14">
      <c r="A1013" s="108">
        <v>2005</v>
      </c>
      <c r="B1013" s="108">
        <v>19</v>
      </c>
      <c r="C1013" s="108" t="s">
        <v>30</v>
      </c>
      <c r="D1013" s="108">
        <v>2306.6639411338101</v>
      </c>
      <c r="E1013" s="108">
        <v>0</v>
      </c>
      <c r="F1013" s="108" t="s">
        <v>135</v>
      </c>
      <c r="G1013" s="108"/>
      <c r="H1013" s="108">
        <v>1</v>
      </c>
    </row>
    <row r="1014" spans="1:8" ht="14">
      <c r="A1014" s="108">
        <v>2005</v>
      </c>
      <c r="B1014" s="108">
        <v>19</v>
      </c>
      <c r="C1014" s="108" t="s">
        <v>138</v>
      </c>
      <c r="D1014" s="108">
        <v>1072.53143132228</v>
      </c>
      <c r="E1014" s="108">
        <v>0</v>
      </c>
      <c r="F1014" s="108" t="s">
        <v>135</v>
      </c>
      <c r="G1014" s="108"/>
      <c r="H1014" s="108">
        <v>1</v>
      </c>
    </row>
    <row r="1015" spans="1:8" ht="14">
      <c r="A1015" s="108">
        <v>2005</v>
      </c>
      <c r="B1015" s="108">
        <v>19</v>
      </c>
      <c r="C1015" s="108" t="s">
        <v>138</v>
      </c>
      <c r="D1015" s="108">
        <v>2.18163714822008</v>
      </c>
      <c r="E1015" s="108">
        <v>0</v>
      </c>
      <c r="F1015" s="108" t="s">
        <v>137</v>
      </c>
      <c r="G1015" s="108"/>
      <c r="H1015" s="108">
        <v>1</v>
      </c>
    </row>
    <row r="1016" spans="1:8" ht="14">
      <c r="A1016" s="108">
        <v>2005</v>
      </c>
      <c r="B1016" s="108">
        <v>19</v>
      </c>
      <c r="C1016" s="108" t="s">
        <v>138</v>
      </c>
      <c r="D1016" s="108">
        <v>6174.8319315294902</v>
      </c>
      <c r="E1016" s="108">
        <v>0</v>
      </c>
      <c r="F1016" s="108" t="s">
        <v>136</v>
      </c>
      <c r="G1016" s="108"/>
      <c r="H1016" s="108">
        <v>1</v>
      </c>
    </row>
    <row r="1017" spans="1:8" ht="14">
      <c r="A1017" s="108">
        <v>2005</v>
      </c>
      <c r="B1017" s="108">
        <v>19</v>
      </c>
      <c r="C1017" s="108" t="s">
        <v>139</v>
      </c>
      <c r="D1017" s="108">
        <v>4280.3300584426697</v>
      </c>
      <c r="E1017" s="108">
        <v>0</v>
      </c>
      <c r="F1017" s="108" t="s">
        <v>136</v>
      </c>
      <c r="G1017" s="108"/>
      <c r="H1017" s="108">
        <v>1</v>
      </c>
    </row>
    <row r="1018" spans="1:8" ht="14">
      <c r="A1018" s="108">
        <v>2005</v>
      </c>
      <c r="B1018" s="108">
        <v>19</v>
      </c>
      <c r="C1018" s="108" t="s">
        <v>139</v>
      </c>
      <c r="D1018" s="108">
        <v>1234.1325098115201</v>
      </c>
      <c r="E1018" s="108">
        <v>0</v>
      </c>
      <c r="F1018" s="108" t="s">
        <v>135</v>
      </c>
      <c r="G1018" s="108"/>
      <c r="H1018" s="108">
        <v>1</v>
      </c>
    </row>
    <row r="1019" spans="1:8" ht="14">
      <c r="A1019" s="108">
        <v>2005</v>
      </c>
      <c r="B1019" s="108">
        <v>19</v>
      </c>
      <c r="C1019" s="108" t="s">
        <v>139</v>
      </c>
      <c r="D1019" s="108">
        <v>3.4134317457966001</v>
      </c>
      <c r="E1019" s="108">
        <v>0</v>
      </c>
      <c r="F1019" s="108" t="s">
        <v>137</v>
      </c>
      <c r="G1019" s="108"/>
      <c r="H1019" s="108">
        <v>1</v>
      </c>
    </row>
    <row r="1020" spans="1:8" ht="14">
      <c r="A1020" s="108">
        <v>2005</v>
      </c>
      <c r="B1020" s="108">
        <v>21</v>
      </c>
      <c r="C1020" s="108" t="s">
        <v>30</v>
      </c>
      <c r="D1020" s="108">
        <v>2.9301776331221401</v>
      </c>
      <c r="E1020" s="108">
        <v>0</v>
      </c>
      <c r="F1020" s="108" t="s">
        <v>135</v>
      </c>
      <c r="G1020" s="108"/>
      <c r="H1020" s="108">
        <v>1</v>
      </c>
    </row>
    <row r="1021" spans="1:8" ht="14">
      <c r="A1021" s="108">
        <v>2005</v>
      </c>
      <c r="B1021" s="108">
        <v>21</v>
      </c>
      <c r="C1021" s="108" t="s">
        <v>30</v>
      </c>
      <c r="D1021" s="108">
        <v>8</v>
      </c>
      <c r="E1021" s="108">
        <v>0</v>
      </c>
      <c r="F1021" s="108" t="s">
        <v>137</v>
      </c>
      <c r="G1021" s="108"/>
      <c r="H1021" s="108">
        <v>1</v>
      </c>
    </row>
    <row r="1022" spans="1:8" ht="14">
      <c r="A1022" s="108">
        <v>2005</v>
      </c>
      <c r="B1022" s="108">
        <v>21</v>
      </c>
      <c r="C1022" s="108" t="s">
        <v>30</v>
      </c>
      <c r="D1022" s="108">
        <v>17929.578822366799</v>
      </c>
      <c r="E1022" s="108">
        <v>0</v>
      </c>
      <c r="F1022" s="108" t="s">
        <v>136</v>
      </c>
      <c r="G1022" s="108"/>
      <c r="H1022" s="108">
        <v>1</v>
      </c>
    </row>
    <row r="1023" spans="1:8" ht="14">
      <c r="A1023" s="108">
        <v>2005</v>
      </c>
      <c r="B1023" s="108">
        <v>21</v>
      </c>
      <c r="C1023" s="108" t="s">
        <v>138</v>
      </c>
      <c r="D1023" s="108">
        <v>2.9301776331221401</v>
      </c>
      <c r="E1023" s="108">
        <v>0</v>
      </c>
      <c r="F1023" s="108" t="s">
        <v>135</v>
      </c>
      <c r="G1023" s="108"/>
      <c r="H1023" s="108">
        <v>1</v>
      </c>
    </row>
    <row r="1024" spans="1:8" ht="14">
      <c r="A1024" s="108">
        <v>2005</v>
      </c>
      <c r="B1024" s="108">
        <v>21</v>
      </c>
      <c r="C1024" s="108" t="s">
        <v>138</v>
      </c>
      <c r="D1024" s="108">
        <v>17524.3908223668</v>
      </c>
      <c r="E1024" s="108">
        <v>0</v>
      </c>
      <c r="F1024" s="108" t="s">
        <v>136</v>
      </c>
      <c r="G1024" s="108"/>
      <c r="H1024" s="108">
        <v>1</v>
      </c>
    </row>
    <row r="1025" spans="1:8" ht="14">
      <c r="A1025" s="108">
        <v>2005</v>
      </c>
      <c r="B1025" s="108">
        <v>21</v>
      </c>
      <c r="C1025" s="108" t="s">
        <v>138</v>
      </c>
      <c r="D1025" s="108">
        <v>8</v>
      </c>
      <c r="E1025" s="108">
        <v>0</v>
      </c>
      <c r="F1025" s="108" t="s">
        <v>137</v>
      </c>
      <c r="G1025" s="108"/>
      <c r="H1025" s="108">
        <v>1</v>
      </c>
    </row>
    <row r="1026" spans="1:8" ht="14">
      <c r="A1026" s="108">
        <v>2005</v>
      </c>
      <c r="B1026" s="108">
        <v>21</v>
      </c>
      <c r="C1026" s="108" t="s">
        <v>139</v>
      </c>
      <c r="D1026" s="108">
        <v>0</v>
      </c>
      <c r="E1026" s="108">
        <v>0</v>
      </c>
      <c r="F1026" s="108" t="s">
        <v>135</v>
      </c>
      <c r="G1026" s="108"/>
      <c r="H1026" s="108">
        <v>1</v>
      </c>
    </row>
    <row r="1027" spans="1:8" ht="14">
      <c r="A1027" s="108">
        <v>2005</v>
      </c>
      <c r="B1027" s="108">
        <v>21</v>
      </c>
      <c r="C1027" s="108" t="s">
        <v>139</v>
      </c>
      <c r="D1027" s="108">
        <v>405.18799999999999</v>
      </c>
      <c r="E1027" s="108">
        <v>0</v>
      </c>
      <c r="F1027" s="108" t="s">
        <v>136</v>
      </c>
      <c r="G1027" s="108"/>
      <c r="H1027" s="108">
        <v>1</v>
      </c>
    </row>
    <row r="1028" spans="1:8" ht="14">
      <c r="A1028" s="108">
        <v>2005</v>
      </c>
      <c r="B1028" s="108">
        <v>22</v>
      </c>
      <c r="C1028" s="108" t="s">
        <v>30</v>
      </c>
      <c r="D1028" s="108">
        <v>3621.8208847236101</v>
      </c>
      <c r="E1028" s="108">
        <v>0</v>
      </c>
      <c r="F1028" s="108" t="s">
        <v>135</v>
      </c>
      <c r="G1028" s="108"/>
      <c r="H1028" s="108">
        <v>1</v>
      </c>
    </row>
    <row r="1029" spans="1:8" ht="14">
      <c r="A1029" s="108">
        <v>2005</v>
      </c>
      <c r="B1029" s="108">
        <v>22</v>
      </c>
      <c r="C1029" s="108" t="s">
        <v>30</v>
      </c>
      <c r="D1029" s="108">
        <v>48146.711115276397</v>
      </c>
      <c r="E1029" s="108">
        <v>0</v>
      </c>
      <c r="F1029" s="108" t="s">
        <v>136</v>
      </c>
      <c r="G1029" s="108"/>
      <c r="H1029" s="108">
        <v>1</v>
      </c>
    </row>
    <row r="1030" spans="1:8" ht="14">
      <c r="A1030" s="108">
        <v>2005</v>
      </c>
      <c r="B1030" s="108">
        <v>22</v>
      </c>
      <c r="C1030" s="108" t="s">
        <v>30</v>
      </c>
      <c r="D1030" s="108">
        <v>18.834</v>
      </c>
      <c r="E1030" s="108">
        <v>0</v>
      </c>
      <c r="F1030" s="108" t="s">
        <v>137</v>
      </c>
      <c r="G1030" s="108"/>
      <c r="H1030" s="108">
        <v>1</v>
      </c>
    </row>
    <row r="1031" spans="1:8" ht="14">
      <c r="A1031" s="108">
        <v>2005</v>
      </c>
      <c r="B1031" s="108">
        <v>22</v>
      </c>
      <c r="C1031" s="108" t="s">
        <v>138</v>
      </c>
      <c r="D1031" s="108">
        <v>1467.7847686545099</v>
      </c>
      <c r="E1031" s="108">
        <v>0</v>
      </c>
      <c r="F1031" s="108" t="s">
        <v>135</v>
      </c>
      <c r="G1031" s="108"/>
      <c r="H1031" s="108">
        <v>1</v>
      </c>
    </row>
    <row r="1032" spans="1:8" ht="14">
      <c r="A1032" s="108">
        <v>2005</v>
      </c>
      <c r="B1032" s="108">
        <v>22</v>
      </c>
      <c r="C1032" s="108" t="s">
        <v>138</v>
      </c>
      <c r="D1032" s="108">
        <v>47137.040231345403</v>
      </c>
      <c r="E1032" s="108">
        <v>0</v>
      </c>
      <c r="F1032" s="108" t="s">
        <v>136</v>
      </c>
      <c r="G1032" s="108"/>
      <c r="H1032" s="108">
        <v>1</v>
      </c>
    </row>
    <row r="1033" spans="1:8" ht="14">
      <c r="A1033" s="108">
        <v>2005</v>
      </c>
      <c r="B1033" s="108">
        <v>22</v>
      </c>
      <c r="C1033" s="108" t="s">
        <v>138</v>
      </c>
      <c r="D1033" s="108">
        <v>16</v>
      </c>
      <c r="E1033" s="108">
        <v>0</v>
      </c>
      <c r="F1033" s="108" t="s">
        <v>137</v>
      </c>
      <c r="G1033" s="108"/>
      <c r="H1033" s="108">
        <v>1</v>
      </c>
    </row>
    <row r="1034" spans="1:8" ht="14">
      <c r="A1034" s="108">
        <v>2005</v>
      </c>
      <c r="B1034" s="108">
        <v>22</v>
      </c>
      <c r="C1034" s="108" t="s">
        <v>139</v>
      </c>
      <c r="D1034" s="108">
        <v>1009.6708839309</v>
      </c>
      <c r="E1034" s="108">
        <v>0</v>
      </c>
      <c r="F1034" s="108" t="s">
        <v>136</v>
      </c>
      <c r="G1034" s="108"/>
      <c r="H1034" s="108">
        <v>1</v>
      </c>
    </row>
    <row r="1035" spans="1:8" ht="14">
      <c r="A1035" s="108">
        <v>2005</v>
      </c>
      <c r="B1035" s="108">
        <v>22</v>
      </c>
      <c r="C1035" s="108" t="s">
        <v>139</v>
      </c>
      <c r="D1035" s="108">
        <v>2154.03611606909</v>
      </c>
      <c r="E1035" s="108">
        <v>0</v>
      </c>
      <c r="F1035" s="108" t="s">
        <v>135</v>
      </c>
      <c r="G1035" s="108"/>
      <c r="H1035" s="108">
        <v>1</v>
      </c>
    </row>
    <row r="1036" spans="1:8" ht="14">
      <c r="A1036" s="108">
        <v>2005</v>
      </c>
      <c r="B1036" s="108">
        <v>22</v>
      </c>
      <c r="C1036" s="108" t="s">
        <v>139</v>
      </c>
      <c r="D1036" s="108">
        <v>2.8340000000000001</v>
      </c>
      <c r="E1036" s="108">
        <v>0</v>
      </c>
      <c r="F1036" s="108" t="s">
        <v>137</v>
      </c>
      <c r="G1036" s="108"/>
      <c r="H1036" s="108">
        <v>1</v>
      </c>
    </row>
    <row r="1037" spans="1:8" ht="14">
      <c r="A1037" s="108">
        <v>2005</v>
      </c>
      <c r="B1037" s="108">
        <v>23</v>
      </c>
      <c r="C1037" s="108" t="s">
        <v>30</v>
      </c>
      <c r="D1037" s="108">
        <v>12199.378875407599</v>
      </c>
      <c r="E1037" s="108">
        <v>0</v>
      </c>
      <c r="F1037" s="108" t="s">
        <v>136</v>
      </c>
      <c r="G1037" s="108"/>
      <c r="H1037" s="108">
        <v>1</v>
      </c>
    </row>
    <row r="1038" spans="1:8" ht="14">
      <c r="A1038" s="108">
        <v>2005</v>
      </c>
      <c r="B1038" s="108">
        <v>23</v>
      </c>
      <c r="C1038" s="108" t="s">
        <v>30</v>
      </c>
      <c r="D1038" s="108">
        <v>1408.2327289213399</v>
      </c>
      <c r="E1038" s="108">
        <v>0</v>
      </c>
      <c r="F1038" s="108" t="s">
        <v>135</v>
      </c>
      <c r="G1038" s="108"/>
      <c r="H1038" s="108">
        <v>1</v>
      </c>
    </row>
    <row r="1039" spans="1:8" ht="14">
      <c r="A1039" s="108">
        <v>2005</v>
      </c>
      <c r="B1039" s="108">
        <v>23</v>
      </c>
      <c r="C1039" s="108" t="s">
        <v>30</v>
      </c>
      <c r="D1039" s="108">
        <v>4.0395671037146197E-2</v>
      </c>
      <c r="E1039" s="108">
        <v>0</v>
      </c>
      <c r="F1039" s="108" t="s">
        <v>137</v>
      </c>
      <c r="G1039" s="108"/>
      <c r="H1039" s="108">
        <v>1</v>
      </c>
    </row>
    <row r="1040" spans="1:8" ht="14">
      <c r="A1040" s="108">
        <v>2005</v>
      </c>
      <c r="B1040" s="108">
        <v>23</v>
      </c>
      <c r="C1040" s="108" t="s">
        <v>138</v>
      </c>
      <c r="D1040" s="108">
        <v>4.0395671037146197E-2</v>
      </c>
      <c r="E1040" s="108">
        <v>0</v>
      </c>
      <c r="F1040" s="108" t="s">
        <v>137</v>
      </c>
      <c r="G1040" s="108"/>
      <c r="H1040" s="108">
        <v>1</v>
      </c>
    </row>
    <row r="1041" spans="1:8" ht="14">
      <c r="A1041" s="108">
        <v>2005</v>
      </c>
      <c r="B1041" s="108">
        <v>23</v>
      </c>
      <c r="C1041" s="108" t="s">
        <v>138</v>
      </c>
      <c r="D1041" s="108">
        <v>760.01285682489402</v>
      </c>
      <c r="E1041" s="108">
        <v>0</v>
      </c>
      <c r="F1041" s="108" t="s">
        <v>135</v>
      </c>
      <c r="G1041" s="108"/>
      <c r="H1041" s="108">
        <v>1</v>
      </c>
    </row>
    <row r="1042" spans="1:8" ht="14">
      <c r="A1042" s="108">
        <v>2005</v>
      </c>
      <c r="B1042" s="108">
        <v>23</v>
      </c>
      <c r="C1042" s="108" t="s">
        <v>138</v>
      </c>
      <c r="D1042" s="108">
        <v>8508.0127475040608</v>
      </c>
      <c r="E1042" s="108">
        <v>0</v>
      </c>
      <c r="F1042" s="108" t="s">
        <v>136</v>
      </c>
      <c r="G1042" s="108"/>
      <c r="H1042" s="108">
        <v>1</v>
      </c>
    </row>
    <row r="1043" spans="1:8" ht="14">
      <c r="A1043" s="108">
        <v>2005</v>
      </c>
      <c r="B1043" s="108">
        <v>23</v>
      </c>
      <c r="C1043" s="108" t="s">
        <v>139</v>
      </c>
      <c r="D1043" s="108">
        <v>648.21987209645101</v>
      </c>
      <c r="E1043" s="108">
        <v>0</v>
      </c>
      <c r="F1043" s="108" t="s">
        <v>135</v>
      </c>
      <c r="G1043" s="108"/>
      <c r="H1043" s="108">
        <v>1</v>
      </c>
    </row>
    <row r="1044" spans="1:8" ht="14">
      <c r="A1044" s="108">
        <v>2005</v>
      </c>
      <c r="B1044" s="108">
        <v>23</v>
      </c>
      <c r="C1044" s="108" t="s">
        <v>139</v>
      </c>
      <c r="D1044" s="108">
        <v>3691.36612790354</v>
      </c>
      <c r="E1044" s="108">
        <v>0</v>
      </c>
      <c r="F1044" s="108" t="s">
        <v>136</v>
      </c>
      <c r="G1044" s="108"/>
      <c r="H1044" s="108">
        <v>1</v>
      </c>
    </row>
    <row r="1045" spans="1:8" ht="14">
      <c r="A1045" s="108">
        <v>2005</v>
      </c>
      <c r="B1045" s="108">
        <v>29</v>
      </c>
      <c r="C1045" s="108" t="s">
        <v>30</v>
      </c>
      <c r="D1045" s="108">
        <v>22135.974413651598</v>
      </c>
      <c r="E1045" s="108">
        <v>0</v>
      </c>
      <c r="F1045" s="108" t="s">
        <v>136</v>
      </c>
      <c r="G1045" s="108"/>
      <c r="H1045" s="108">
        <v>1</v>
      </c>
    </row>
    <row r="1046" spans="1:8" ht="14">
      <c r="A1046" s="108">
        <v>2005</v>
      </c>
      <c r="B1046" s="108">
        <v>29</v>
      </c>
      <c r="C1046" s="108" t="s">
        <v>30</v>
      </c>
      <c r="D1046" s="108">
        <v>0</v>
      </c>
      <c r="E1046" s="108">
        <v>0</v>
      </c>
      <c r="F1046" s="108" t="s">
        <v>137</v>
      </c>
      <c r="G1046" s="108"/>
      <c r="H1046" s="108">
        <v>1</v>
      </c>
    </row>
    <row r="1047" spans="1:8" ht="14">
      <c r="A1047" s="108">
        <v>2005</v>
      </c>
      <c r="B1047" s="108">
        <v>29</v>
      </c>
      <c r="C1047" s="108" t="s">
        <v>30</v>
      </c>
      <c r="D1047" s="108">
        <v>20096.236586348299</v>
      </c>
      <c r="E1047" s="108">
        <v>0</v>
      </c>
      <c r="F1047" s="108" t="s">
        <v>135</v>
      </c>
      <c r="G1047" s="108"/>
      <c r="H1047" s="108">
        <v>1</v>
      </c>
    </row>
    <row r="1048" spans="1:8" ht="14">
      <c r="A1048" s="108">
        <v>2005</v>
      </c>
      <c r="B1048" s="108">
        <v>29</v>
      </c>
      <c r="C1048" s="108" t="s">
        <v>138</v>
      </c>
      <c r="D1048" s="108">
        <v>16006.353037524999</v>
      </c>
      <c r="E1048" s="108">
        <v>0</v>
      </c>
      <c r="F1048" s="108" t="s">
        <v>135</v>
      </c>
      <c r="G1048" s="108"/>
      <c r="H1048" s="108">
        <v>1</v>
      </c>
    </row>
    <row r="1049" spans="1:8" ht="14">
      <c r="A1049" s="108">
        <v>2005</v>
      </c>
      <c r="B1049" s="108">
        <v>29</v>
      </c>
      <c r="C1049" s="108" t="s">
        <v>138</v>
      </c>
      <c r="D1049" s="108">
        <v>11658.1149624749</v>
      </c>
      <c r="E1049" s="108">
        <v>0</v>
      </c>
      <c r="F1049" s="108" t="s">
        <v>136</v>
      </c>
      <c r="G1049" s="108"/>
      <c r="H1049" s="108">
        <v>1</v>
      </c>
    </row>
    <row r="1050" spans="1:8" ht="14">
      <c r="A1050" s="108">
        <v>2005</v>
      </c>
      <c r="B1050" s="108">
        <v>29</v>
      </c>
      <c r="C1050" s="108" t="s">
        <v>139</v>
      </c>
      <c r="D1050" s="108">
        <v>0</v>
      </c>
      <c r="E1050" s="108">
        <v>0</v>
      </c>
      <c r="F1050" s="108" t="s">
        <v>137</v>
      </c>
      <c r="G1050" s="108"/>
      <c r="H1050" s="108">
        <v>1</v>
      </c>
    </row>
    <row r="1051" spans="1:8" ht="14">
      <c r="A1051" s="108">
        <v>2005</v>
      </c>
      <c r="B1051" s="108">
        <v>29</v>
      </c>
      <c r="C1051" s="108" t="s">
        <v>139</v>
      </c>
      <c r="D1051" s="108">
        <v>4089.8835488233099</v>
      </c>
      <c r="E1051" s="108">
        <v>0</v>
      </c>
      <c r="F1051" s="108" t="s">
        <v>135</v>
      </c>
      <c r="G1051" s="108"/>
      <c r="H1051" s="108">
        <v>1</v>
      </c>
    </row>
    <row r="1052" spans="1:8" ht="14">
      <c r="A1052" s="108">
        <v>2005</v>
      </c>
      <c r="B1052" s="108">
        <v>29</v>
      </c>
      <c r="C1052" s="108" t="s">
        <v>139</v>
      </c>
      <c r="D1052" s="108">
        <v>10477.8594511766</v>
      </c>
      <c r="E1052" s="108">
        <v>0</v>
      </c>
      <c r="F1052" s="108" t="s">
        <v>136</v>
      </c>
      <c r="G1052" s="108"/>
      <c r="H1052" s="108">
        <v>1</v>
      </c>
    </row>
    <row r="1053" spans="1:8" ht="14">
      <c r="A1053" s="108">
        <v>2005</v>
      </c>
      <c r="B1053" s="108">
        <v>31</v>
      </c>
      <c r="C1053" s="108" t="s">
        <v>30</v>
      </c>
      <c r="D1053" s="108">
        <v>1069.29144169393</v>
      </c>
      <c r="E1053" s="108">
        <v>130.262387224912</v>
      </c>
      <c r="F1053" s="108" t="s">
        <v>135</v>
      </c>
      <c r="G1053" s="108">
        <v>130.26238646799899</v>
      </c>
      <c r="H1053" s="108">
        <v>1</v>
      </c>
    </row>
    <row r="1054" spans="1:8" ht="14">
      <c r="A1054" s="108">
        <v>2005</v>
      </c>
      <c r="B1054" s="108">
        <v>31</v>
      </c>
      <c r="C1054" s="108" t="s">
        <v>30</v>
      </c>
      <c r="D1054" s="108">
        <v>18590.414601870401</v>
      </c>
      <c r="E1054" s="108">
        <v>1546.5102798441701</v>
      </c>
      <c r="F1054" s="108" t="s">
        <v>136</v>
      </c>
      <c r="G1054" s="108">
        <v>1546.51030281099</v>
      </c>
      <c r="H1054" s="108">
        <v>1</v>
      </c>
    </row>
    <row r="1055" spans="1:8" ht="14">
      <c r="A1055" s="108">
        <v>2005</v>
      </c>
      <c r="B1055" s="108">
        <v>31</v>
      </c>
      <c r="C1055" s="108" t="s">
        <v>30</v>
      </c>
      <c r="D1055" s="108">
        <v>18.444956435603501</v>
      </c>
      <c r="E1055" s="108">
        <v>62.669332930920298</v>
      </c>
      <c r="F1055" s="108" t="s">
        <v>137</v>
      </c>
      <c r="G1055" s="108">
        <v>62.669334820000003</v>
      </c>
      <c r="H1055" s="108">
        <v>1</v>
      </c>
    </row>
    <row r="1056" spans="1:8" ht="14">
      <c r="A1056" s="108">
        <v>2005</v>
      </c>
      <c r="B1056" s="108">
        <v>31</v>
      </c>
      <c r="C1056" s="108" t="s">
        <v>138</v>
      </c>
      <c r="D1056" s="108">
        <v>496.93179243684801</v>
      </c>
      <c r="E1056" s="108">
        <v>64.827444446735598</v>
      </c>
      <c r="F1056" s="108" t="s">
        <v>135</v>
      </c>
      <c r="G1056" s="108">
        <v>64.827443008000003</v>
      </c>
      <c r="H1056" s="108">
        <v>1</v>
      </c>
    </row>
    <row r="1057" spans="1:8" ht="14">
      <c r="A1057" s="108">
        <v>2005</v>
      </c>
      <c r="B1057" s="108">
        <v>31</v>
      </c>
      <c r="C1057" s="108" t="s">
        <v>138</v>
      </c>
      <c r="D1057" s="108">
        <v>10850.5318259752</v>
      </c>
      <c r="E1057" s="108">
        <v>812.91671150163302</v>
      </c>
      <c r="F1057" s="108" t="s">
        <v>136</v>
      </c>
      <c r="G1057" s="108">
        <v>812.916743962998</v>
      </c>
      <c r="H1057" s="108">
        <v>1</v>
      </c>
    </row>
    <row r="1058" spans="1:8" ht="14">
      <c r="A1058" s="108">
        <v>2005</v>
      </c>
      <c r="B1058" s="108">
        <v>31</v>
      </c>
      <c r="C1058" s="108" t="s">
        <v>138</v>
      </c>
      <c r="D1058" s="108">
        <v>17.038381587926398</v>
      </c>
      <c r="E1058" s="108">
        <v>1.84884405163168</v>
      </c>
      <c r="F1058" s="108" t="s">
        <v>137</v>
      </c>
      <c r="G1058" s="108">
        <v>1.84884381</v>
      </c>
      <c r="H1058" s="108">
        <v>1</v>
      </c>
    </row>
    <row r="1059" spans="1:8" ht="14">
      <c r="A1059" s="108">
        <v>2005</v>
      </c>
      <c r="B1059" s="108">
        <v>31</v>
      </c>
      <c r="C1059" s="108" t="s">
        <v>139</v>
      </c>
      <c r="D1059" s="108">
        <v>7739.8827758952302</v>
      </c>
      <c r="E1059" s="108">
        <v>733.59356834253504</v>
      </c>
      <c r="F1059" s="108" t="s">
        <v>136</v>
      </c>
      <c r="G1059" s="108">
        <v>733.59355884800198</v>
      </c>
      <c r="H1059" s="108">
        <v>1</v>
      </c>
    </row>
    <row r="1060" spans="1:8" ht="14">
      <c r="A1060" s="108">
        <v>2005</v>
      </c>
      <c r="B1060" s="108">
        <v>31</v>
      </c>
      <c r="C1060" s="108" t="s">
        <v>139</v>
      </c>
      <c r="D1060" s="108">
        <v>1.4065748476770099</v>
      </c>
      <c r="E1060" s="108">
        <v>60.820488879288597</v>
      </c>
      <c r="F1060" s="108" t="s">
        <v>137</v>
      </c>
      <c r="G1060" s="108">
        <v>60.820491009999998</v>
      </c>
      <c r="H1060" s="108">
        <v>1</v>
      </c>
    </row>
    <row r="1061" spans="1:8" ht="14">
      <c r="A1061" s="108">
        <v>2005</v>
      </c>
      <c r="B1061" s="108">
        <v>31</v>
      </c>
      <c r="C1061" s="108" t="s">
        <v>139</v>
      </c>
      <c r="D1061" s="108">
        <v>572.35964925708402</v>
      </c>
      <c r="E1061" s="108">
        <v>65.434942778176506</v>
      </c>
      <c r="F1061" s="108" t="s">
        <v>135</v>
      </c>
      <c r="G1061" s="108">
        <v>65.43494346</v>
      </c>
      <c r="H1061" s="108">
        <v>1</v>
      </c>
    </row>
    <row r="1062" spans="1:8" ht="14">
      <c r="A1062" s="108">
        <v>2005</v>
      </c>
      <c r="B1062" s="108">
        <v>32</v>
      </c>
      <c r="C1062" s="108" t="s">
        <v>30</v>
      </c>
      <c r="D1062" s="108">
        <v>62.643842268686399</v>
      </c>
      <c r="E1062" s="108">
        <v>83.782513584831193</v>
      </c>
      <c r="F1062" s="108" t="s">
        <v>137</v>
      </c>
      <c r="G1062" s="108">
        <v>167.56505009</v>
      </c>
      <c r="H1062" s="108">
        <v>1</v>
      </c>
    </row>
    <row r="1063" spans="1:8" ht="14">
      <c r="A1063" s="108">
        <v>2005</v>
      </c>
      <c r="B1063" s="108">
        <v>32</v>
      </c>
      <c r="C1063" s="108" t="s">
        <v>30</v>
      </c>
      <c r="D1063" s="108">
        <v>28486.191847896502</v>
      </c>
      <c r="E1063" s="108">
        <v>2457.2620237157198</v>
      </c>
      <c r="F1063" s="108" t="s">
        <v>136</v>
      </c>
      <c r="G1063" s="108">
        <v>4914.5238858180001</v>
      </c>
      <c r="H1063" s="108">
        <v>1</v>
      </c>
    </row>
    <row r="1064" spans="1:8" ht="14">
      <c r="A1064" s="108">
        <v>2005</v>
      </c>
      <c r="B1064" s="108">
        <v>32</v>
      </c>
      <c r="C1064" s="108" t="s">
        <v>30</v>
      </c>
      <c r="D1064" s="108">
        <v>1533.6293098347801</v>
      </c>
      <c r="E1064" s="108">
        <v>148.119462699444</v>
      </c>
      <c r="F1064" s="108" t="s">
        <v>135</v>
      </c>
      <c r="G1064" s="108">
        <v>296.23890576999997</v>
      </c>
      <c r="H1064" s="108">
        <v>1</v>
      </c>
    </row>
    <row r="1065" spans="1:8" ht="14">
      <c r="A1065" s="108">
        <v>2005</v>
      </c>
      <c r="B1065" s="108">
        <v>32</v>
      </c>
      <c r="C1065" s="108" t="s">
        <v>138</v>
      </c>
      <c r="D1065" s="108">
        <v>16643.6447854777</v>
      </c>
      <c r="E1065" s="108">
        <v>1258.1982496952801</v>
      </c>
      <c r="F1065" s="108" t="s">
        <v>136</v>
      </c>
      <c r="G1065" s="108">
        <v>2516.39633150999</v>
      </c>
      <c r="H1065" s="108">
        <v>1</v>
      </c>
    </row>
    <row r="1066" spans="1:8" ht="14">
      <c r="A1066" s="108">
        <v>2005</v>
      </c>
      <c r="B1066" s="108">
        <v>32</v>
      </c>
      <c r="C1066" s="108" t="s">
        <v>138</v>
      </c>
      <c r="D1066" s="108">
        <v>761.16861821907901</v>
      </c>
      <c r="E1066" s="108">
        <v>73.065822589083993</v>
      </c>
      <c r="F1066" s="108" t="s">
        <v>135</v>
      </c>
      <c r="G1066" s="108">
        <v>146.13164451</v>
      </c>
      <c r="H1066" s="108">
        <v>1</v>
      </c>
    </row>
    <row r="1067" spans="1:8" ht="14">
      <c r="A1067" s="108">
        <v>2005</v>
      </c>
      <c r="B1067" s="108">
        <v>32</v>
      </c>
      <c r="C1067" s="108" t="s">
        <v>138</v>
      </c>
      <c r="D1067" s="108">
        <v>55.006596303209001</v>
      </c>
      <c r="E1067" s="108">
        <v>5.6089277156381998</v>
      </c>
      <c r="F1067" s="108" t="s">
        <v>137</v>
      </c>
      <c r="G1067" s="108">
        <v>11.217852209999901</v>
      </c>
      <c r="H1067" s="108">
        <v>1</v>
      </c>
    </row>
    <row r="1068" spans="1:8" ht="14">
      <c r="A1068" s="108">
        <v>2005</v>
      </c>
      <c r="B1068" s="108">
        <v>32</v>
      </c>
      <c r="C1068" s="108" t="s">
        <v>139</v>
      </c>
      <c r="D1068" s="108">
        <v>772.46069161570801</v>
      </c>
      <c r="E1068" s="108">
        <v>75.053640110360007</v>
      </c>
      <c r="F1068" s="108" t="s">
        <v>135</v>
      </c>
      <c r="G1068" s="108">
        <v>150.10726126</v>
      </c>
      <c r="H1068" s="108">
        <v>1</v>
      </c>
    </row>
    <row r="1069" spans="1:8" ht="14">
      <c r="A1069" s="108">
        <v>2005</v>
      </c>
      <c r="B1069" s="108">
        <v>32</v>
      </c>
      <c r="C1069" s="108" t="s">
        <v>139</v>
      </c>
      <c r="D1069" s="108">
        <v>7.6372459654773897</v>
      </c>
      <c r="E1069" s="108">
        <v>78.173585869193005</v>
      </c>
      <c r="F1069" s="108" t="s">
        <v>137</v>
      </c>
      <c r="G1069" s="108">
        <v>156.34719787999899</v>
      </c>
      <c r="H1069" s="108">
        <v>1</v>
      </c>
    </row>
    <row r="1070" spans="1:8" ht="14">
      <c r="A1070" s="108">
        <v>2005</v>
      </c>
      <c r="B1070" s="108">
        <v>32</v>
      </c>
      <c r="C1070" s="108" t="s">
        <v>139</v>
      </c>
      <c r="D1070" s="108">
        <v>11842.5470624188</v>
      </c>
      <c r="E1070" s="108">
        <v>1199.06377402044</v>
      </c>
      <c r="F1070" s="108" t="s">
        <v>136</v>
      </c>
      <c r="G1070" s="108">
        <v>2398.1275543079901</v>
      </c>
      <c r="H1070" s="108">
        <v>1</v>
      </c>
    </row>
    <row r="1071" spans="1:8" ht="14">
      <c r="A1071" s="108">
        <v>2005</v>
      </c>
      <c r="B1071" s="108">
        <v>33</v>
      </c>
      <c r="C1071" s="108" t="s">
        <v>30</v>
      </c>
      <c r="D1071" s="108">
        <v>1.25975574294853E-2</v>
      </c>
      <c r="E1071" s="108">
        <v>7.2733891781752297E-3</v>
      </c>
      <c r="F1071" s="108" t="s">
        <v>137</v>
      </c>
      <c r="G1071" s="108">
        <v>1.0910090000000001E-2</v>
      </c>
      <c r="H1071" s="108">
        <v>1</v>
      </c>
    </row>
    <row r="1072" spans="1:8" ht="14">
      <c r="A1072" s="108">
        <v>2005</v>
      </c>
      <c r="B1072" s="108">
        <v>33</v>
      </c>
      <c r="C1072" s="108" t="s">
        <v>30</v>
      </c>
      <c r="D1072" s="108">
        <v>49.811974659546102</v>
      </c>
      <c r="E1072" s="108">
        <v>4.9283021985100399</v>
      </c>
      <c r="F1072" s="108" t="s">
        <v>135</v>
      </c>
      <c r="G1072" s="108">
        <v>7.3924537039999896</v>
      </c>
      <c r="H1072" s="108">
        <v>1</v>
      </c>
    </row>
    <row r="1073" spans="1:8" ht="14">
      <c r="A1073" s="108">
        <v>2005</v>
      </c>
      <c r="B1073" s="108">
        <v>33</v>
      </c>
      <c r="C1073" s="108" t="s">
        <v>30</v>
      </c>
      <c r="D1073" s="108">
        <v>736.93842778302405</v>
      </c>
      <c r="E1073" s="108">
        <v>47.971424412311698</v>
      </c>
      <c r="F1073" s="108" t="s">
        <v>136</v>
      </c>
      <c r="G1073" s="108">
        <v>71.957146219199998</v>
      </c>
      <c r="H1073" s="108">
        <v>1</v>
      </c>
    </row>
    <row r="1074" spans="1:8" ht="14">
      <c r="A1074" s="108">
        <v>2005</v>
      </c>
      <c r="B1074" s="108">
        <v>33</v>
      </c>
      <c r="C1074" s="108" t="s">
        <v>138</v>
      </c>
      <c r="D1074" s="108">
        <v>1.25975574294853E-2</v>
      </c>
      <c r="E1074" s="108">
        <v>4.1648177496038004E-3</v>
      </c>
      <c r="F1074" s="108" t="s">
        <v>137</v>
      </c>
      <c r="G1074" s="108">
        <v>6.2472300000000003E-3</v>
      </c>
      <c r="H1074" s="108">
        <v>1</v>
      </c>
    </row>
    <row r="1075" spans="1:8" ht="14">
      <c r="A1075" s="108">
        <v>2005</v>
      </c>
      <c r="B1075" s="108">
        <v>33</v>
      </c>
      <c r="C1075" s="108" t="s">
        <v>138</v>
      </c>
      <c r="D1075" s="108">
        <v>361.70748345841298</v>
      </c>
      <c r="E1075" s="108">
        <v>20.9985356960552</v>
      </c>
      <c r="F1075" s="108" t="s">
        <v>136</v>
      </c>
      <c r="G1075" s="108">
        <v>31.497808837000001</v>
      </c>
      <c r="H1075" s="108">
        <v>1</v>
      </c>
    </row>
    <row r="1076" spans="1:8" ht="14">
      <c r="A1076" s="108">
        <v>2005</v>
      </c>
      <c r="B1076" s="108">
        <v>33</v>
      </c>
      <c r="C1076" s="108" t="s">
        <v>138</v>
      </c>
      <c r="D1076" s="108">
        <v>29.6639189841571</v>
      </c>
      <c r="E1076" s="108">
        <v>2.6062994861951898</v>
      </c>
      <c r="F1076" s="108" t="s">
        <v>135</v>
      </c>
      <c r="G1076" s="108">
        <v>3.9094499520000001</v>
      </c>
      <c r="H1076" s="108">
        <v>1</v>
      </c>
    </row>
    <row r="1077" spans="1:8" ht="14">
      <c r="A1077" s="108">
        <v>2005</v>
      </c>
      <c r="B1077" s="108">
        <v>33</v>
      </c>
      <c r="C1077" s="108" t="s">
        <v>139</v>
      </c>
      <c r="D1077" s="108">
        <v>20.1480556753889</v>
      </c>
      <c r="E1077" s="108">
        <v>2.3220027123148599</v>
      </c>
      <c r="F1077" s="108" t="s">
        <v>135</v>
      </c>
      <c r="G1077" s="108">
        <v>3.4830037520000001</v>
      </c>
      <c r="H1077" s="108">
        <v>1</v>
      </c>
    </row>
    <row r="1078" spans="1:8" ht="14">
      <c r="A1078" s="108">
        <v>2005</v>
      </c>
      <c r="B1078" s="108">
        <v>33</v>
      </c>
      <c r="C1078" s="108" t="s">
        <v>139</v>
      </c>
      <c r="D1078" s="108">
        <v>0</v>
      </c>
      <c r="E1078" s="108">
        <v>3.1085714285714202E-3</v>
      </c>
      <c r="F1078" s="108" t="s">
        <v>137</v>
      </c>
      <c r="G1078" s="108">
        <v>4.6628599999999996E-3</v>
      </c>
      <c r="H1078" s="108">
        <v>1</v>
      </c>
    </row>
    <row r="1079" spans="1:8" ht="14">
      <c r="A1079" s="108">
        <v>2005</v>
      </c>
      <c r="B1079" s="108">
        <v>33</v>
      </c>
      <c r="C1079" s="108" t="s">
        <v>139</v>
      </c>
      <c r="D1079" s="108">
        <v>375.23094432460999</v>
      </c>
      <c r="E1079" s="108">
        <v>26.972888716256499</v>
      </c>
      <c r="F1079" s="108" t="s">
        <v>136</v>
      </c>
      <c r="G1079" s="108">
        <v>40.459337382199998</v>
      </c>
      <c r="H1079" s="108">
        <v>1</v>
      </c>
    </row>
    <row r="1080" spans="1:8" ht="14">
      <c r="A1080" s="108">
        <v>2005</v>
      </c>
      <c r="B1080" s="108">
        <v>34</v>
      </c>
      <c r="C1080" s="108" t="s">
        <v>30</v>
      </c>
      <c r="D1080" s="108">
        <v>96.547358122124294</v>
      </c>
      <c r="E1080" s="108">
        <v>8.40071781449981</v>
      </c>
      <c r="F1080" s="108" t="s">
        <v>135</v>
      </c>
      <c r="G1080" s="108">
        <v>18.901615264</v>
      </c>
      <c r="H1080" s="108">
        <v>1</v>
      </c>
    </row>
    <row r="1081" spans="1:8" ht="14">
      <c r="A1081" s="108">
        <v>2005</v>
      </c>
      <c r="B1081" s="108">
        <v>34</v>
      </c>
      <c r="C1081" s="108" t="s">
        <v>30</v>
      </c>
      <c r="D1081" s="108">
        <v>3196.1241470268401</v>
      </c>
      <c r="E1081" s="108">
        <v>238.81111234339201</v>
      </c>
      <c r="F1081" s="108" t="s">
        <v>136</v>
      </c>
      <c r="G1081" s="108">
        <v>537.32493113850001</v>
      </c>
      <c r="H1081" s="108">
        <v>1</v>
      </c>
    </row>
    <row r="1082" spans="1:8" ht="14">
      <c r="A1082" s="108">
        <v>2005</v>
      </c>
      <c r="B1082" s="108">
        <v>34</v>
      </c>
      <c r="C1082" s="108" t="s">
        <v>30</v>
      </c>
      <c r="D1082" s="108">
        <v>7.4948510337237602E-3</v>
      </c>
      <c r="E1082" s="108">
        <v>9.1698421081037491E-3</v>
      </c>
      <c r="F1082" s="108" t="s">
        <v>137</v>
      </c>
      <c r="G1082" s="108">
        <v>2.0632126000000001E-2</v>
      </c>
      <c r="H1082" s="108">
        <v>1</v>
      </c>
    </row>
    <row r="1083" spans="1:8" ht="14">
      <c r="A1083" s="108">
        <v>2005</v>
      </c>
      <c r="B1083" s="108">
        <v>34</v>
      </c>
      <c r="C1083" s="108" t="s">
        <v>138</v>
      </c>
      <c r="D1083" s="108">
        <v>2215.4155760840999</v>
      </c>
      <c r="E1083" s="108">
        <v>120.881409104431</v>
      </c>
      <c r="F1083" s="108" t="s">
        <v>136</v>
      </c>
      <c r="G1083" s="108">
        <v>271.98315057149898</v>
      </c>
      <c r="H1083" s="108">
        <v>1</v>
      </c>
    </row>
    <row r="1084" spans="1:8" ht="14">
      <c r="A1084" s="108">
        <v>2005</v>
      </c>
      <c r="B1084" s="108">
        <v>34</v>
      </c>
      <c r="C1084" s="108" t="s">
        <v>138</v>
      </c>
      <c r="D1084" s="108">
        <v>7.4948510337237602E-3</v>
      </c>
      <c r="E1084" s="108">
        <v>8.1345226536888096E-3</v>
      </c>
      <c r="F1084" s="108" t="s">
        <v>137</v>
      </c>
      <c r="G1084" s="108">
        <v>1.8302656E-2</v>
      </c>
      <c r="H1084" s="108">
        <v>1</v>
      </c>
    </row>
    <row r="1085" spans="1:8" ht="14">
      <c r="A1085" s="108">
        <v>2005</v>
      </c>
      <c r="B1085" s="108">
        <v>34</v>
      </c>
      <c r="C1085" s="108" t="s">
        <v>138</v>
      </c>
      <c r="D1085" s="108">
        <v>49.927929064857103</v>
      </c>
      <c r="E1085" s="108">
        <v>4.4504563729151299</v>
      </c>
      <c r="F1085" s="108" t="s">
        <v>135</v>
      </c>
      <c r="G1085" s="108">
        <v>10.013527224000001</v>
      </c>
      <c r="H1085" s="108">
        <v>1</v>
      </c>
    </row>
    <row r="1086" spans="1:8" ht="14">
      <c r="A1086" s="108">
        <v>2005</v>
      </c>
      <c r="B1086" s="108">
        <v>34</v>
      </c>
      <c r="C1086" s="108" t="s">
        <v>139</v>
      </c>
      <c r="D1086" s="108">
        <v>980.70857094273197</v>
      </c>
      <c r="E1086" s="108">
        <v>117.92970323896</v>
      </c>
      <c r="F1086" s="108" t="s">
        <v>136</v>
      </c>
      <c r="G1086" s="108">
        <v>265.341780567</v>
      </c>
      <c r="H1086" s="108">
        <v>1</v>
      </c>
    </row>
    <row r="1087" spans="1:8" ht="14">
      <c r="A1087" s="108">
        <v>2005</v>
      </c>
      <c r="B1087" s="108">
        <v>34</v>
      </c>
      <c r="C1087" s="108" t="s">
        <v>139</v>
      </c>
      <c r="D1087" s="108">
        <v>0</v>
      </c>
      <c r="E1087" s="108">
        <v>1.03531945441493E-3</v>
      </c>
      <c r="F1087" s="108" t="s">
        <v>137</v>
      </c>
      <c r="G1087" s="108">
        <v>2.3294700000000002E-3</v>
      </c>
      <c r="H1087" s="108">
        <v>1</v>
      </c>
    </row>
    <row r="1088" spans="1:8" ht="14">
      <c r="A1088" s="108">
        <v>2005</v>
      </c>
      <c r="B1088" s="108">
        <v>34</v>
      </c>
      <c r="C1088" s="108" t="s">
        <v>139</v>
      </c>
      <c r="D1088" s="108">
        <v>46.619429057267197</v>
      </c>
      <c r="E1088" s="108">
        <v>3.9502614415846802</v>
      </c>
      <c r="F1088" s="108" t="s">
        <v>135</v>
      </c>
      <c r="G1088" s="108">
        <v>8.8880880399999995</v>
      </c>
      <c r="H1088" s="108">
        <v>1</v>
      </c>
    </row>
    <row r="1089" spans="1:8" ht="14">
      <c r="A1089" s="108">
        <v>2005</v>
      </c>
      <c r="B1089" s="108">
        <v>51</v>
      </c>
      <c r="C1089" s="108" t="s">
        <v>30</v>
      </c>
      <c r="D1089" s="108">
        <v>9478.9491719768903</v>
      </c>
      <c r="E1089" s="108">
        <v>686.72086367988504</v>
      </c>
      <c r="F1089" s="108" t="s">
        <v>135</v>
      </c>
      <c r="G1089" s="108"/>
      <c r="H1089" s="108">
        <v>1</v>
      </c>
    </row>
    <row r="1090" spans="1:8" ht="14">
      <c r="A1090" s="108">
        <v>2005</v>
      </c>
      <c r="B1090" s="108">
        <v>51</v>
      </c>
      <c r="C1090" s="108" t="s">
        <v>30</v>
      </c>
      <c r="D1090" s="108">
        <v>35568.577828023001</v>
      </c>
      <c r="E1090" s="108">
        <v>3200.3231363201098</v>
      </c>
      <c r="F1090" s="108" t="s">
        <v>136</v>
      </c>
      <c r="G1090" s="108"/>
      <c r="H1090" s="108">
        <v>1</v>
      </c>
    </row>
    <row r="1091" spans="1:8" ht="14">
      <c r="A1091" s="108">
        <v>2005</v>
      </c>
      <c r="B1091" s="108">
        <v>51</v>
      </c>
      <c r="C1091" s="108" t="s">
        <v>138</v>
      </c>
      <c r="D1091" s="108">
        <v>21349.359079931099</v>
      </c>
      <c r="E1091" s="108">
        <v>1589.31439311695</v>
      </c>
      <c r="F1091" s="108" t="s">
        <v>136</v>
      </c>
      <c r="G1091" s="108"/>
      <c r="H1091" s="108">
        <v>1</v>
      </c>
    </row>
    <row r="1092" spans="1:8" ht="14">
      <c r="A1092" s="108">
        <v>2005</v>
      </c>
      <c r="B1092" s="108">
        <v>51</v>
      </c>
      <c r="C1092" s="108" t="s">
        <v>138</v>
      </c>
      <c r="D1092" s="108">
        <v>4770.7489200688597</v>
      </c>
      <c r="E1092" s="108">
        <v>343.97860688304098</v>
      </c>
      <c r="F1092" s="108" t="s">
        <v>135</v>
      </c>
      <c r="G1092" s="108"/>
      <c r="H1092" s="108">
        <v>1</v>
      </c>
    </row>
    <row r="1093" spans="1:8" ht="14">
      <c r="A1093" s="108">
        <v>2005</v>
      </c>
      <c r="B1093" s="108">
        <v>51</v>
      </c>
      <c r="C1093" s="108" t="s">
        <v>139</v>
      </c>
      <c r="D1093" s="108">
        <v>4708.2002519080297</v>
      </c>
      <c r="E1093" s="108">
        <v>342.742256796844</v>
      </c>
      <c r="F1093" s="108" t="s">
        <v>135</v>
      </c>
      <c r="G1093" s="108"/>
      <c r="H1093" s="108">
        <v>1</v>
      </c>
    </row>
    <row r="1094" spans="1:8" ht="14">
      <c r="A1094" s="108">
        <v>2005</v>
      </c>
      <c r="B1094" s="108">
        <v>51</v>
      </c>
      <c r="C1094" s="108" t="s">
        <v>139</v>
      </c>
      <c r="D1094" s="108">
        <v>14219.2187480919</v>
      </c>
      <c r="E1094" s="108">
        <v>1611.0087432031501</v>
      </c>
      <c r="F1094" s="108" t="s">
        <v>136</v>
      </c>
      <c r="G1094" s="108"/>
      <c r="H1094" s="108">
        <v>1</v>
      </c>
    </row>
    <row r="1095" spans="1:8" ht="14">
      <c r="A1095" s="108">
        <v>2005</v>
      </c>
      <c r="B1095" s="108">
        <v>52</v>
      </c>
      <c r="C1095" s="108" t="s">
        <v>30</v>
      </c>
      <c r="D1095" s="108">
        <v>0</v>
      </c>
      <c r="E1095" s="108">
        <v>1222.2618214997999</v>
      </c>
      <c r="F1095" s="108" t="s">
        <v>135</v>
      </c>
      <c r="G1095" s="108"/>
      <c r="H1095" s="108">
        <v>1</v>
      </c>
    </row>
    <row r="1096" spans="1:8" ht="14">
      <c r="A1096" s="108">
        <v>2005</v>
      </c>
      <c r="B1096" s="108">
        <v>52</v>
      </c>
      <c r="C1096" s="108" t="s">
        <v>30</v>
      </c>
      <c r="D1096" s="108">
        <v>0</v>
      </c>
      <c r="E1096" s="108">
        <v>4858.18517850018</v>
      </c>
      <c r="F1096" s="108" t="s">
        <v>136</v>
      </c>
      <c r="G1096" s="108"/>
      <c r="H1096" s="108">
        <v>1</v>
      </c>
    </row>
    <row r="1097" spans="1:8" ht="14">
      <c r="A1097" s="108">
        <v>2005</v>
      </c>
      <c r="B1097" s="108">
        <v>52</v>
      </c>
      <c r="C1097" s="108" t="s">
        <v>30</v>
      </c>
      <c r="D1097" s="108">
        <v>0</v>
      </c>
      <c r="E1097" s="108">
        <v>9.6000000000000002E-2</v>
      </c>
      <c r="F1097" s="108" t="s">
        <v>137</v>
      </c>
      <c r="G1097" s="108"/>
      <c r="H1097" s="108">
        <v>1</v>
      </c>
    </row>
    <row r="1098" spans="1:8" ht="14">
      <c r="A1098" s="108">
        <v>2005</v>
      </c>
      <c r="B1098" s="108">
        <v>52</v>
      </c>
      <c r="C1098" s="108" t="s">
        <v>138</v>
      </c>
      <c r="D1098" s="108">
        <v>0</v>
      </c>
      <c r="E1098" s="108">
        <v>618.14470366422995</v>
      </c>
      <c r="F1098" s="108" t="s">
        <v>135</v>
      </c>
      <c r="G1098" s="108"/>
      <c r="H1098" s="108">
        <v>1</v>
      </c>
    </row>
    <row r="1099" spans="1:8" ht="14">
      <c r="A1099" s="108">
        <v>2005</v>
      </c>
      <c r="B1099" s="108">
        <v>52</v>
      </c>
      <c r="C1099" s="108" t="s">
        <v>138</v>
      </c>
      <c r="D1099" s="108">
        <v>0</v>
      </c>
      <c r="E1099" s="108">
        <v>2414.7352963357598</v>
      </c>
      <c r="F1099" s="108" t="s">
        <v>136</v>
      </c>
      <c r="G1099" s="108"/>
      <c r="H1099" s="108">
        <v>1</v>
      </c>
    </row>
    <row r="1100" spans="1:8" ht="14">
      <c r="A1100" s="108">
        <v>2005</v>
      </c>
      <c r="B1100" s="108">
        <v>52</v>
      </c>
      <c r="C1100" s="108" t="s">
        <v>139</v>
      </c>
      <c r="D1100" s="108">
        <v>0</v>
      </c>
      <c r="E1100" s="108">
        <v>604.11711783557905</v>
      </c>
      <c r="F1100" s="108" t="s">
        <v>135</v>
      </c>
      <c r="G1100" s="108"/>
      <c r="H1100" s="108">
        <v>1</v>
      </c>
    </row>
    <row r="1101" spans="1:8" ht="14">
      <c r="A1101" s="108">
        <v>2005</v>
      </c>
      <c r="B1101" s="108">
        <v>52</v>
      </c>
      <c r="C1101" s="108" t="s">
        <v>139</v>
      </c>
      <c r="D1101" s="108">
        <v>0</v>
      </c>
      <c r="E1101" s="108">
        <v>9.6000000000000002E-2</v>
      </c>
      <c r="F1101" s="108" t="s">
        <v>137</v>
      </c>
      <c r="G1101" s="108"/>
      <c r="H1101" s="108">
        <v>1</v>
      </c>
    </row>
    <row r="1102" spans="1:8" ht="14">
      <c r="A1102" s="108">
        <v>2005</v>
      </c>
      <c r="B1102" s="108">
        <v>52</v>
      </c>
      <c r="C1102" s="108" t="s">
        <v>139</v>
      </c>
      <c r="D1102" s="108">
        <v>0</v>
      </c>
      <c r="E1102" s="108">
        <v>2443.4498821644202</v>
      </c>
      <c r="F1102" s="108" t="s">
        <v>136</v>
      </c>
      <c r="G1102" s="108"/>
      <c r="H1102" s="108">
        <v>1</v>
      </c>
    </row>
    <row r="1103" spans="1:8" ht="14">
      <c r="A1103" s="108">
        <v>2005</v>
      </c>
      <c r="B1103" s="108">
        <v>53</v>
      </c>
      <c r="C1103" s="108" t="s">
        <v>30</v>
      </c>
      <c r="D1103" s="108">
        <v>0</v>
      </c>
      <c r="E1103" s="108">
        <v>13.05</v>
      </c>
      <c r="F1103" s="108" t="s">
        <v>137</v>
      </c>
      <c r="G1103" s="108"/>
      <c r="H1103" s="108">
        <v>1</v>
      </c>
    </row>
    <row r="1104" spans="1:8" ht="14">
      <c r="A1104" s="108">
        <v>2005</v>
      </c>
      <c r="B1104" s="108">
        <v>53</v>
      </c>
      <c r="C1104" s="108" t="s">
        <v>30</v>
      </c>
      <c r="D1104" s="108">
        <v>0</v>
      </c>
      <c r="E1104" s="108">
        <v>145.886061652281</v>
      </c>
      <c r="F1104" s="108" t="s">
        <v>136</v>
      </c>
      <c r="G1104" s="108"/>
      <c r="H1104" s="108">
        <v>1</v>
      </c>
    </row>
    <row r="1105" spans="1:8" ht="14">
      <c r="A1105" s="108">
        <v>2005</v>
      </c>
      <c r="B1105" s="108">
        <v>53</v>
      </c>
      <c r="C1105" s="108" t="s">
        <v>30</v>
      </c>
      <c r="D1105" s="108">
        <v>0</v>
      </c>
      <c r="E1105" s="108">
        <v>15.2949383477188</v>
      </c>
      <c r="F1105" s="108" t="s">
        <v>135</v>
      </c>
      <c r="G1105" s="108"/>
      <c r="H1105" s="108">
        <v>1</v>
      </c>
    </row>
    <row r="1106" spans="1:8" ht="14">
      <c r="A1106" s="108">
        <v>2005</v>
      </c>
      <c r="B1106" s="108">
        <v>53</v>
      </c>
      <c r="C1106" s="108" t="s">
        <v>138</v>
      </c>
      <c r="D1106" s="108">
        <v>0</v>
      </c>
      <c r="E1106" s="108">
        <v>7.7030000000000003</v>
      </c>
      <c r="F1106" s="108" t="s">
        <v>135</v>
      </c>
      <c r="G1106" s="108"/>
      <c r="H1106" s="108">
        <v>1</v>
      </c>
    </row>
    <row r="1107" spans="1:8" ht="14">
      <c r="A1107" s="108">
        <v>2005</v>
      </c>
      <c r="B1107" s="108">
        <v>53</v>
      </c>
      <c r="C1107" s="108" t="s">
        <v>138</v>
      </c>
      <c r="D1107" s="108">
        <v>0</v>
      </c>
      <c r="E1107" s="108">
        <v>73.278000000000006</v>
      </c>
      <c r="F1107" s="108" t="s">
        <v>136</v>
      </c>
      <c r="G1107" s="108"/>
      <c r="H1107" s="108">
        <v>1</v>
      </c>
    </row>
    <row r="1108" spans="1:8" ht="14">
      <c r="A1108" s="108">
        <v>2005</v>
      </c>
      <c r="B1108" s="108">
        <v>53</v>
      </c>
      <c r="C1108" s="108" t="s">
        <v>138</v>
      </c>
      <c r="D1108" s="108">
        <v>0</v>
      </c>
      <c r="E1108" s="108">
        <v>6.5250000000000004</v>
      </c>
      <c r="F1108" s="108" t="s">
        <v>137</v>
      </c>
      <c r="G1108" s="108"/>
      <c r="H1108" s="108">
        <v>1</v>
      </c>
    </row>
    <row r="1109" spans="1:8" ht="14">
      <c r="A1109" s="108">
        <v>2005</v>
      </c>
      <c r="B1109" s="108">
        <v>53</v>
      </c>
      <c r="C1109" s="108" t="s">
        <v>139</v>
      </c>
      <c r="D1109" s="108">
        <v>0</v>
      </c>
      <c r="E1109" s="108">
        <v>72.608061652281094</v>
      </c>
      <c r="F1109" s="108" t="s">
        <v>136</v>
      </c>
      <c r="G1109" s="108"/>
      <c r="H1109" s="108">
        <v>1</v>
      </c>
    </row>
    <row r="1110" spans="1:8" ht="14">
      <c r="A1110" s="108">
        <v>2005</v>
      </c>
      <c r="B1110" s="108">
        <v>53</v>
      </c>
      <c r="C1110" s="108" t="s">
        <v>139</v>
      </c>
      <c r="D1110" s="108">
        <v>0</v>
      </c>
      <c r="E1110" s="108">
        <v>6.5250000000000004</v>
      </c>
      <c r="F1110" s="108" t="s">
        <v>137</v>
      </c>
      <c r="G1110" s="108"/>
      <c r="H1110" s="108">
        <v>1</v>
      </c>
    </row>
    <row r="1111" spans="1:8" ht="14">
      <c r="A1111" s="108">
        <v>2005</v>
      </c>
      <c r="B1111" s="108">
        <v>53</v>
      </c>
      <c r="C1111" s="108" t="s">
        <v>139</v>
      </c>
      <c r="D1111" s="108">
        <v>0</v>
      </c>
      <c r="E1111" s="108">
        <v>7.5919383477188598</v>
      </c>
      <c r="F1111" s="108" t="s">
        <v>135</v>
      </c>
      <c r="G1111" s="108"/>
      <c r="H1111" s="108">
        <v>1</v>
      </c>
    </row>
    <row r="1112" spans="1:8" ht="14">
      <c r="A1112" s="108">
        <v>2005</v>
      </c>
      <c r="B1112" s="108">
        <v>54</v>
      </c>
      <c r="C1112" s="108" t="s">
        <v>30</v>
      </c>
      <c r="D1112" s="108">
        <v>239.282758901672</v>
      </c>
      <c r="E1112" s="108">
        <v>186.53904263343799</v>
      </c>
      <c r="F1112" s="108" t="s">
        <v>135</v>
      </c>
      <c r="G1112" s="108"/>
      <c r="H1112" s="108">
        <v>1</v>
      </c>
    </row>
    <row r="1113" spans="1:8" ht="14">
      <c r="A1113" s="108">
        <v>2005</v>
      </c>
      <c r="B1113" s="108">
        <v>54</v>
      </c>
      <c r="C1113" s="108" t="s">
        <v>30</v>
      </c>
      <c r="D1113" s="108">
        <v>5160.0612410983304</v>
      </c>
      <c r="E1113" s="108">
        <v>3790.73895736656</v>
      </c>
      <c r="F1113" s="108" t="s">
        <v>136</v>
      </c>
      <c r="G1113" s="108"/>
      <c r="H1113" s="108">
        <v>1</v>
      </c>
    </row>
    <row r="1114" spans="1:8" ht="14">
      <c r="A1114" s="108">
        <v>2005</v>
      </c>
      <c r="B1114" s="108">
        <v>54</v>
      </c>
      <c r="C1114" s="108" t="s">
        <v>30</v>
      </c>
      <c r="D1114" s="108">
        <v>0.39200000000000002</v>
      </c>
      <c r="E1114" s="108">
        <v>0.63700000000000001</v>
      </c>
      <c r="F1114" s="108" t="s">
        <v>137</v>
      </c>
      <c r="G1114" s="108"/>
      <c r="H1114" s="108">
        <v>1</v>
      </c>
    </row>
    <row r="1115" spans="1:8" ht="14">
      <c r="A1115" s="108">
        <v>2005</v>
      </c>
      <c r="B1115" s="108">
        <v>54</v>
      </c>
      <c r="C1115" s="108" t="s">
        <v>138</v>
      </c>
      <c r="D1115" s="108">
        <v>2978.2749842263302</v>
      </c>
      <c r="E1115" s="108">
        <v>2341.3739689937602</v>
      </c>
      <c r="F1115" s="108" t="s">
        <v>136</v>
      </c>
      <c r="G1115" s="108"/>
      <c r="H1115" s="108">
        <v>1</v>
      </c>
    </row>
    <row r="1116" spans="1:8" ht="14">
      <c r="A1116" s="108">
        <v>2005</v>
      </c>
      <c r="B1116" s="108">
        <v>54</v>
      </c>
      <c r="C1116" s="108" t="s">
        <v>138</v>
      </c>
      <c r="D1116" s="108">
        <v>0.221</v>
      </c>
      <c r="E1116" s="108">
        <v>0.442</v>
      </c>
      <c r="F1116" s="108" t="s">
        <v>137</v>
      </c>
      <c r="G1116" s="108"/>
      <c r="H1116" s="108">
        <v>1</v>
      </c>
    </row>
    <row r="1117" spans="1:8" ht="14">
      <c r="A1117" s="108">
        <v>2005</v>
      </c>
      <c r="B1117" s="108">
        <v>54</v>
      </c>
      <c r="C1117" s="108" t="s">
        <v>138</v>
      </c>
      <c r="D1117" s="108">
        <v>121.282015773664</v>
      </c>
      <c r="E1117" s="108">
        <v>93.3540310062304</v>
      </c>
      <c r="F1117" s="108" t="s">
        <v>135</v>
      </c>
      <c r="G1117" s="108"/>
      <c r="H1117" s="108">
        <v>1</v>
      </c>
    </row>
    <row r="1118" spans="1:8" ht="14">
      <c r="A1118" s="108">
        <v>2005</v>
      </c>
      <c r="B1118" s="108">
        <v>54</v>
      </c>
      <c r="C1118" s="108" t="s">
        <v>139</v>
      </c>
      <c r="D1118" s="108">
        <v>2181.7862568719902</v>
      </c>
      <c r="E1118" s="108">
        <v>1449.3649883727901</v>
      </c>
      <c r="F1118" s="108" t="s">
        <v>136</v>
      </c>
      <c r="G1118" s="108"/>
      <c r="H1118" s="108">
        <v>1</v>
      </c>
    </row>
    <row r="1119" spans="1:8" ht="14">
      <c r="A1119" s="108">
        <v>2005</v>
      </c>
      <c r="B1119" s="108">
        <v>54</v>
      </c>
      <c r="C1119" s="108" t="s">
        <v>139</v>
      </c>
      <c r="D1119" s="108">
        <v>0.17100000000000001</v>
      </c>
      <c r="E1119" s="108">
        <v>0.19500000000000001</v>
      </c>
      <c r="F1119" s="108" t="s">
        <v>137</v>
      </c>
      <c r="G1119" s="108"/>
      <c r="H1119" s="108">
        <v>1</v>
      </c>
    </row>
    <row r="1120" spans="1:8" ht="14">
      <c r="A1120" s="108">
        <v>2005</v>
      </c>
      <c r="B1120" s="108">
        <v>54</v>
      </c>
      <c r="C1120" s="108" t="s">
        <v>139</v>
      </c>
      <c r="D1120" s="108">
        <v>118.000743128007</v>
      </c>
      <c r="E1120" s="108">
        <v>93.185011627207999</v>
      </c>
      <c r="F1120" s="108" t="s">
        <v>135</v>
      </c>
      <c r="G1120" s="108"/>
      <c r="H1120" s="108">
        <v>1</v>
      </c>
    </row>
    <row r="1121" spans="1:8" ht="14">
      <c r="A1121" s="108">
        <v>2005</v>
      </c>
      <c r="B1121" s="108">
        <v>56</v>
      </c>
      <c r="C1121" s="108" t="s">
        <v>30</v>
      </c>
      <c r="D1121" s="108">
        <v>0</v>
      </c>
      <c r="E1121" s="108">
        <v>0</v>
      </c>
      <c r="F1121" s="108" t="s">
        <v>135</v>
      </c>
      <c r="G1121" s="108"/>
      <c r="H1121" s="108">
        <v>1</v>
      </c>
    </row>
    <row r="1122" spans="1:8" ht="14">
      <c r="A1122" s="108">
        <v>2005</v>
      </c>
      <c r="B1122" s="108">
        <v>56</v>
      </c>
      <c r="C1122" s="108" t="s">
        <v>138</v>
      </c>
      <c r="D1122" s="108">
        <v>0</v>
      </c>
      <c r="E1122" s="108">
        <v>0</v>
      </c>
      <c r="F1122" s="108" t="s">
        <v>135</v>
      </c>
      <c r="G1122" s="108"/>
      <c r="H1122" s="108">
        <v>1</v>
      </c>
    </row>
    <row r="1123" spans="1:8" ht="14">
      <c r="A1123" s="108">
        <v>2005</v>
      </c>
      <c r="B1123" s="108">
        <v>59</v>
      </c>
      <c r="C1123" s="108" t="s">
        <v>30</v>
      </c>
      <c r="D1123" s="108">
        <v>573.75</v>
      </c>
      <c r="E1123" s="108">
        <v>70.547999999999902</v>
      </c>
      <c r="F1123" s="108" t="s">
        <v>136</v>
      </c>
      <c r="G1123" s="108"/>
      <c r="H1123" s="108">
        <v>1</v>
      </c>
    </row>
    <row r="1124" spans="1:8" ht="14">
      <c r="A1124" s="108">
        <v>2005</v>
      </c>
      <c r="B1124" s="108">
        <v>59</v>
      </c>
      <c r="C1124" s="108" t="s">
        <v>30</v>
      </c>
      <c r="D1124" s="108">
        <v>17.068000000000001</v>
      </c>
      <c r="E1124" s="108">
        <v>6.3529999999999998</v>
      </c>
      <c r="F1124" s="108" t="s">
        <v>135</v>
      </c>
      <c r="G1124" s="108"/>
      <c r="H1124" s="108">
        <v>1</v>
      </c>
    </row>
    <row r="1125" spans="1:8" ht="14">
      <c r="A1125" s="108">
        <v>2005</v>
      </c>
      <c r="B1125" s="108">
        <v>59</v>
      </c>
      <c r="C1125" s="108" t="s">
        <v>138</v>
      </c>
      <c r="D1125" s="108">
        <v>463.998999999999</v>
      </c>
      <c r="E1125" s="108">
        <v>42.660999999999902</v>
      </c>
      <c r="F1125" s="108" t="s">
        <v>136</v>
      </c>
      <c r="G1125" s="108"/>
      <c r="H1125" s="108">
        <v>1</v>
      </c>
    </row>
    <row r="1126" spans="1:8" ht="14">
      <c r="A1126" s="108">
        <v>2005</v>
      </c>
      <c r="B1126" s="108">
        <v>59</v>
      </c>
      <c r="C1126" s="108" t="s">
        <v>138</v>
      </c>
      <c r="D1126" s="108">
        <v>10.865</v>
      </c>
      <c r="E1126" s="108">
        <v>4.093</v>
      </c>
      <c r="F1126" s="108" t="s">
        <v>135</v>
      </c>
      <c r="G1126" s="108"/>
      <c r="H1126" s="108">
        <v>1</v>
      </c>
    </row>
    <row r="1127" spans="1:8" ht="14">
      <c r="A1127" s="108">
        <v>2005</v>
      </c>
      <c r="B1127" s="108">
        <v>59</v>
      </c>
      <c r="C1127" s="108" t="s">
        <v>139</v>
      </c>
      <c r="D1127" s="108">
        <v>6.2030000000000003</v>
      </c>
      <c r="E1127" s="108">
        <v>2.25999999999999</v>
      </c>
      <c r="F1127" s="108" t="s">
        <v>135</v>
      </c>
      <c r="G1127" s="108"/>
      <c r="H1127" s="108">
        <v>1</v>
      </c>
    </row>
    <row r="1128" spans="1:8" ht="14">
      <c r="A1128" s="108">
        <v>2005</v>
      </c>
      <c r="B1128" s="108">
        <v>59</v>
      </c>
      <c r="C1128" s="108" t="s">
        <v>139</v>
      </c>
      <c r="D1128" s="108">
        <v>109.751</v>
      </c>
      <c r="E1128" s="108">
        <v>27.887</v>
      </c>
      <c r="F1128" s="108" t="s">
        <v>136</v>
      </c>
      <c r="G1128" s="108"/>
      <c r="H1128" s="108">
        <v>1</v>
      </c>
    </row>
    <row r="1129" spans="1:8" ht="14">
      <c r="A1129" s="108">
        <v>2005</v>
      </c>
      <c r="B1129" s="108">
        <v>61</v>
      </c>
      <c r="C1129" s="108" t="s">
        <v>30</v>
      </c>
      <c r="D1129" s="108">
        <v>13.47</v>
      </c>
      <c r="E1129" s="108">
        <v>1.1890000000000001</v>
      </c>
      <c r="F1129" s="108" t="s">
        <v>137</v>
      </c>
      <c r="G1129" s="108"/>
      <c r="H1129" s="108">
        <v>1</v>
      </c>
    </row>
    <row r="1130" spans="1:8" ht="14">
      <c r="A1130" s="108">
        <v>2005</v>
      </c>
      <c r="B1130" s="108">
        <v>61</v>
      </c>
      <c r="C1130" s="108" t="s">
        <v>30</v>
      </c>
      <c r="D1130" s="108">
        <v>25521.889803676298</v>
      </c>
      <c r="E1130" s="108">
        <v>1808.03716905537</v>
      </c>
      <c r="F1130" s="108" t="s">
        <v>136</v>
      </c>
      <c r="G1130" s="108"/>
      <c r="H1130" s="108">
        <v>1</v>
      </c>
    </row>
    <row r="1131" spans="1:8" ht="14">
      <c r="A1131" s="108">
        <v>2005</v>
      </c>
      <c r="B1131" s="108">
        <v>61</v>
      </c>
      <c r="C1131" s="108" t="s">
        <v>30</v>
      </c>
      <c r="D1131" s="108">
        <v>12701.091196323599</v>
      </c>
      <c r="E1131" s="108">
        <v>987.91583094462203</v>
      </c>
      <c r="F1131" s="108" t="s">
        <v>135</v>
      </c>
      <c r="G1131" s="108"/>
      <c r="H1131" s="108">
        <v>1</v>
      </c>
    </row>
    <row r="1132" spans="1:8" ht="14">
      <c r="A1132" s="108">
        <v>2005</v>
      </c>
      <c r="B1132" s="108">
        <v>61</v>
      </c>
      <c r="C1132" s="108" t="s">
        <v>138</v>
      </c>
      <c r="D1132" s="108">
        <v>6371.1587287892698</v>
      </c>
      <c r="E1132" s="108">
        <v>488.33162315627698</v>
      </c>
      <c r="F1132" s="108" t="s">
        <v>135</v>
      </c>
      <c r="G1132" s="108"/>
      <c r="H1132" s="108">
        <v>1</v>
      </c>
    </row>
    <row r="1133" spans="1:8" ht="14">
      <c r="A1133" s="108">
        <v>2005</v>
      </c>
      <c r="B1133" s="108">
        <v>61</v>
      </c>
      <c r="C1133" s="108" t="s">
        <v>138</v>
      </c>
      <c r="D1133" s="108">
        <v>9.2550000000000008</v>
      </c>
      <c r="E1133" s="108">
        <v>0.627</v>
      </c>
      <c r="F1133" s="108" t="s">
        <v>137</v>
      </c>
      <c r="G1133" s="108"/>
      <c r="H1133" s="108">
        <v>1</v>
      </c>
    </row>
    <row r="1134" spans="1:8" ht="14">
      <c r="A1134" s="108">
        <v>2005</v>
      </c>
      <c r="B1134" s="108">
        <v>61</v>
      </c>
      <c r="C1134" s="108" t="s">
        <v>138</v>
      </c>
      <c r="D1134" s="108">
        <v>15071.8572712107</v>
      </c>
      <c r="E1134" s="108">
        <v>931.37337684372199</v>
      </c>
      <c r="F1134" s="108" t="s">
        <v>136</v>
      </c>
      <c r="G1134" s="108"/>
      <c r="H1134" s="108">
        <v>1</v>
      </c>
    </row>
    <row r="1135" spans="1:8" ht="14">
      <c r="A1135" s="108">
        <v>2005</v>
      </c>
      <c r="B1135" s="108">
        <v>61</v>
      </c>
      <c r="C1135" s="108" t="s">
        <v>139</v>
      </c>
      <c r="D1135" s="108">
        <v>6329.9324675343896</v>
      </c>
      <c r="E1135" s="108">
        <v>499.584207788345</v>
      </c>
      <c r="F1135" s="108" t="s">
        <v>135</v>
      </c>
      <c r="G1135" s="108"/>
      <c r="H1135" s="108">
        <v>1</v>
      </c>
    </row>
    <row r="1136" spans="1:8" ht="14">
      <c r="A1136" s="108">
        <v>2005</v>
      </c>
      <c r="B1136" s="108">
        <v>61</v>
      </c>
      <c r="C1136" s="108" t="s">
        <v>139</v>
      </c>
      <c r="D1136" s="108">
        <v>4.2149999999999999</v>
      </c>
      <c r="E1136" s="108">
        <v>0.56200000000000006</v>
      </c>
      <c r="F1136" s="108" t="s">
        <v>137</v>
      </c>
      <c r="G1136" s="108"/>
      <c r="H1136" s="108">
        <v>1</v>
      </c>
    </row>
    <row r="1137" spans="1:8" ht="14">
      <c r="A1137" s="108">
        <v>2005</v>
      </c>
      <c r="B1137" s="108">
        <v>61</v>
      </c>
      <c r="C1137" s="108" t="s">
        <v>139</v>
      </c>
      <c r="D1137" s="108">
        <v>10450.032532465601</v>
      </c>
      <c r="E1137" s="108">
        <v>876.66379221165403</v>
      </c>
      <c r="F1137" s="108" t="s">
        <v>136</v>
      </c>
      <c r="G1137" s="108"/>
      <c r="H1137" s="108">
        <v>1</v>
      </c>
    </row>
    <row r="1138" spans="1:8" ht="14">
      <c r="A1138" s="108">
        <v>2005</v>
      </c>
      <c r="B1138" s="108">
        <v>62</v>
      </c>
      <c r="C1138" s="108" t="s">
        <v>30</v>
      </c>
      <c r="D1138" s="108">
        <v>377.38199999999898</v>
      </c>
      <c r="E1138" s="108">
        <v>62.451999999999998</v>
      </c>
      <c r="F1138" s="108" t="s">
        <v>136</v>
      </c>
      <c r="G1138" s="108"/>
      <c r="H1138" s="108">
        <v>1</v>
      </c>
    </row>
    <row r="1139" spans="1:8" ht="14">
      <c r="A1139" s="108">
        <v>2005</v>
      </c>
      <c r="B1139" s="108">
        <v>62</v>
      </c>
      <c r="C1139" s="108" t="s">
        <v>30</v>
      </c>
      <c r="D1139" s="108">
        <v>1.1870000000000001</v>
      </c>
      <c r="E1139" s="108">
        <v>0.316</v>
      </c>
      <c r="F1139" s="108" t="s">
        <v>137</v>
      </c>
      <c r="G1139" s="108"/>
      <c r="H1139" s="108">
        <v>1</v>
      </c>
    </row>
    <row r="1140" spans="1:8" ht="14">
      <c r="A1140" s="108">
        <v>2005</v>
      </c>
      <c r="B1140" s="108">
        <v>62</v>
      </c>
      <c r="C1140" s="108" t="s">
        <v>30</v>
      </c>
      <c r="D1140" s="108">
        <v>44.384</v>
      </c>
      <c r="E1140" s="108">
        <v>26.3109999999999</v>
      </c>
      <c r="F1140" s="108" t="s">
        <v>135</v>
      </c>
      <c r="G1140" s="108"/>
      <c r="H1140" s="108">
        <v>1</v>
      </c>
    </row>
    <row r="1141" spans="1:8" ht="14">
      <c r="A1141" s="108">
        <v>2005</v>
      </c>
      <c r="B1141" s="108">
        <v>62</v>
      </c>
      <c r="C1141" s="108" t="s">
        <v>138</v>
      </c>
      <c r="D1141" s="108">
        <v>21.596999999999898</v>
      </c>
      <c r="E1141" s="108">
        <v>9.8629999999999995</v>
      </c>
      <c r="F1141" s="108" t="s">
        <v>135</v>
      </c>
      <c r="G1141" s="108"/>
      <c r="H1141" s="108">
        <v>1</v>
      </c>
    </row>
    <row r="1142" spans="1:8" ht="14">
      <c r="A1142" s="108">
        <v>2005</v>
      </c>
      <c r="B1142" s="108">
        <v>62</v>
      </c>
      <c r="C1142" s="108" t="s">
        <v>138</v>
      </c>
      <c r="D1142" s="108">
        <v>238.715</v>
      </c>
      <c r="E1142" s="108">
        <v>35.759</v>
      </c>
      <c r="F1142" s="108" t="s">
        <v>136</v>
      </c>
      <c r="G1142" s="108"/>
      <c r="H1142" s="108">
        <v>1</v>
      </c>
    </row>
    <row r="1143" spans="1:8" ht="14">
      <c r="A1143" s="108">
        <v>2005</v>
      </c>
      <c r="B1143" s="108">
        <v>62</v>
      </c>
      <c r="C1143" s="108" t="s">
        <v>138</v>
      </c>
      <c r="D1143" s="108">
        <v>0.59499999999999997</v>
      </c>
      <c r="E1143" s="108">
        <v>0.14000000000000001</v>
      </c>
      <c r="F1143" s="108" t="s">
        <v>137</v>
      </c>
      <c r="G1143" s="108"/>
      <c r="H1143" s="108">
        <v>1</v>
      </c>
    </row>
    <row r="1144" spans="1:8" ht="14">
      <c r="A1144" s="108">
        <v>2005</v>
      </c>
      <c r="B1144" s="108">
        <v>62</v>
      </c>
      <c r="C1144" s="108" t="s">
        <v>139</v>
      </c>
      <c r="D1144" s="108">
        <v>138.667</v>
      </c>
      <c r="E1144" s="108">
        <v>26.692999999999898</v>
      </c>
      <c r="F1144" s="108" t="s">
        <v>136</v>
      </c>
      <c r="G1144" s="108"/>
      <c r="H1144" s="108">
        <v>1</v>
      </c>
    </row>
    <row r="1145" spans="1:8" ht="14">
      <c r="A1145" s="108">
        <v>2005</v>
      </c>
      <c r="B1145" s="108">
        <v>62</v>
      </c>
      <c r="C1145" s="108" t="s">
        <v>139</v>
      </c>
      <c r="D1145" s="108">
        <v>22.786999999999999</v>
      </c>
      <c r="E1145" s="108">
        <v>16.448</v>
      </c>
      <c r="F1145" s="108" t="s">
        <v>135</v>
      </c>
      <c r="G1145" s="108"/>
      <c r="H1145" s="108">
        <v>1</v>
      </c>
    </row>
    <row r="1146" spans="1:8" ht="14">
      <c r="A1146" s="108">
        <v>2005</v>
      </c>
      <c r="B1146" s="108">
        <v>62</v>
      </c>
      <c r="C1146" s="108" t="s">
        <v>139</v>
      </c>
      <c r="D1146" s="108">
        <v>0.59199999999999997</v>
      </c>
      <c r="E1146" s="108">
        <v>0.17599999999999999</v>
      </c>
      <c r="F1146" s="108" t="s">
        <v>137</v>
      </c>
      <c r="G1146" s="108"/>
      <c r="H1146" s="108">
        <v>1</v>
      </c>
    </row>
    <row r="1147" spans="1:8" ht="14">
      <c r="A1147" s="108">
        <v>2005</v>
      </c>
      <c r="B1147" s="108">
        <v>63</v>
      </c>
      <c r="C1147" s="108" t="s">
        <v>30</v>
      </c>
      <c r="D1147" s="108">
        <v>10.177</v>
      </c>
      <c r="E1147" s="108">
        <v>4.032</v>
      </c>
      <c r="F1147" s="108" t="s">
        <v>135</v>
      </c>
      <c r="G1147" s="108"/>
      <c r="H1147" s="108">
        <v>1</v>
      </c>
    </row>
    <row r="1148" spans="1:8" ht="14">
      <c r="A1148" s="108">
        <v>2005</v>
      </c>
      <c r="B1148" s="108">
        <v>63</v>
      </c>
      <c r="C1148" s="108" t="s">
        <v>30</v>
      </c>
      <c r="D1148" s="108">
        <v>10054.263000000001</v>
      </c>
      <c r="E1148" s="108">
        <v>661.11699999999905</v>
      </c>
      <c r="F1148" s="108" t="s">
        <v>136</v>
      </c>
      <c r="G1148" s="108"/>
      <c r="H1148" s="108">
        <v>1</v>
      </c>
    </row>
    <row r="1149" spans="1:8" ht="14">
      <c r="A1149" s="108">
        <v>2005</v>
      </c>
      <c r="B1149" s="108">
        <v>63</v>
      </c>
      <c r="C1149" s="108" t="s">
        <v>138</v>
      </c>
      <c r="D1149" s="108">
        <v>7086.4219999999996</v>
      </c>
      <c r="E1149" s="108">
        <v>382.38900000000001</v>
      </c>
      <c r="F1149" s="108" t="s">
        <v>136</v>
      </c>
      <c r="G1149" s="108"/>
      <c r="H1149" s="108">
        <v>1</v>
      </c>
    </row>
    <row r="1150" spans="1:8" ht="14">
      <c r="A1150" s="108">
        <v>2005</v>
      </c>
      <c r="B1150" s="108">
        <v>63</v>
      </c>
      <c r="C1150" s="108" t="s">
        <v>138</v>
      </c>
      <c r="D1150" s="108">
        <v>10.177</v>
      </c>
      <c r="E1150" s="108">
        <v>2.1459999999999999</v>
      </c>
      <c r="F1150" s="108" t="s">
        <v>135</v>
      </c>
      <c r="G1150" s="108"/>
      <c r="H1150" s="108">
        <v>1</v>
      </c>
    </row>
    <row r="1151" spans="1:8" ht="14">
      <c r="A1151" s="108">
        <v>2005</v>
      </c>
      <c r="B1151" s="108">
        <v>63</v>
      </c>
      <c r="C1151" s="108" t="s">
        <v>139</v>
      </c>
      <c r="D1151" s="108">
        <v>0</v>
      </c>
      <c r="E1151" s="108">
        <v>1.8859999999999999</v>
      </c>
      <c r="F1151" s="108" t="s">
        <v>135</v>
      </c>
      <c r="G1151" s="108"/>
      <c r="H1151" s="108">
        <v>1</v>
      </c>
    </row>
    <row r="1152" spans="1:8" ht="14">
      <c r="A1152" s="108">
        <v>2005</v>
      </c>
      <c r="B1152" s="108">
        <v>63</v>
      </c>
      <c r="C1152" s="108" t="s">
        <v>139</v>
      </c>
      <c r="D1152" s="108">
        <v>2967.8409999999999</v>
      </c>
      <c r="E1152" s="108">
        <v>278.72800000000001</v>
      </c>
      <c r="F1152" s="108" t="s">
        <v>136</v>
      </c>
      <c r="G1152" s="108"/>
      <c r="H1152" s="108">
        <v>1</v>
      </c>
    </row>
    <row r="1153" spans="1:8" ht="14">
      <c r="A1153" s="108">
        <v>2005</v>
      </c>
      <c r="B1153" s="108">
        <v>69</v>
      </c>
      <c r="C1153" s="108" t="s">
        <v>30</v>
      </c>
      <c r="D1153" s="108">
        <v>424.09500000000003</v>
      </c>
      <c r="E1153" s="108">
        <v>31.247</v>
      </c>
      <c r="F1153" s="108" t="s">
        <v>135</v>
      </c>
      <c r="G1153" s="108"/>
      <c r="H1153" s="108">
        <v>1</v>
      </c>
    </row>
    <row r="1154" spans="1:8" ht="14">
      <c r="A1154" s="108">
        <v>2005</v>
      </c>
      <c r="B1154" s="108">
        <v>69</v>
      </c>
      <c r="C1154" s="108" t="s">
        <v>30</v>
      </c>
      <c r="D1154" s="108">
        <v>7.8</v>
      </c>
      <c r="E1154" s="108">
        <v>5</v>
      </c>
      <c r="F1154" s="108" t="s">
        <v>137</v>
      </c>
      <c r="G1154" s="108"/>
      <c r="H1154" s="108">
        <v>1</v>
      </c>
    </row>
    <row r="1155" spans="1:8" ht="14">
      <c r="A1155" s="108">
        <v>2005</v>
      </c>
      <c r="B1155" s="108">
        <v>69</v>
      </c>
      <c r="C1155" s="108" t="s">
        <v>30</v>
      </c>
      <c r="D1155" s="108">
        <v>67.749999999999901</v>
      </c>
      <c r="E1155" s="108">
        <v>5.835</v>
      </c>
      <c r="F1155" s="108" t="s">
        <v>136</v>
      </c>
      <c r="G1155" s="108"/>
      <c r="H1155" s="108">
        <v>1</v>
      </c>
    </row>
    <row r="1156" spans="1:8" ht="14">
      <c r="A1156" s="108">
        <v>2005</v>
      </c>
      <c r="B1156" s="108">
        <v>69</v>
      </c>
      <c r="C1156" s="108" t="s">
        <v>138</v>
      </c>
      <c r="D1156" s="108">
        <v>213.81899999999999</v>
      </c>
      <c r="E1156" s="108">
        <v>16.72</v>
      </c>
      <c r="F1156" s="108" t="s">
        <v>135</v>
      </c>
      <c r="G1156" s="108"/>
      <c r="H1156" s="108">
        <v>1</v>
      </c>
    </row>
    <row r="1157" spans="1:8" ht="14">
      <c r="A1157" s="108">
        <v>2005</v>
      </c>
      <c r="B1157" s="108">
        <v>69</v>
      </c>
      <c r="C1157" s="108" t="s">
        <v>138</v>
      </c>
      <c r="D1157" s="108">
        <v>50.700999999999901</v>
      </c>
      <c r="E1157" s="108">
        <v>4.2370000000000001</v>
      </c>
      <c r="F1157" s="108" t="s">
        <v>136</v>
      </c>
      <c r="G1157" s="108"/>
      <c r="H1157" s="108">
        <v>1</v>
      </c>
    </row>
    <row r="1158" spans="1:8" ht="14">
      <c r="A1158" s="108">
        <v>2005</v>
      </c>
      <c r="B1158" s="108">
        <v>69</v>
      </c>
      <c r="C1158" s="108" t="s">
        <v>138</v>
      </c>
      <c r="D1158" s="108">
        <v>7.8</v>
      </c>
      <c r="E1158" s="108">
        <v>5</v>
      </c>
      <c r="F1158" s="108" t="s">
        <v>137</v>
      </c>
      <c r="G1158" s="108"/>
      <c r="H1158" s="108">
        <v>1</v>
      </c>
    </row>
    <row r="1159" spans="1:8" ht="14">
      <c r="A1159" s="108">
        <v>2005</v>
      </c>
      <c r="B1159" s="108">
        <v>69</v>
      </c>
      <c r="C1159" s="108" t="s">
        <v>139</v>
      </c>
      <c r="D1159" s="108">
        <v>210.27600000000001</v>
      </c>
      <c r="E1159" s="108">
        <v>14.526999999999999</v>
      </c>
      <c r="F1159" s="108" t="s">
        <v>135</v>
      </c>
      <c r="G1159" s="108"/>
      <c r="H1159" s="108">
        <v>1</v>
      </c>
    </row>
    <row r="1160" spans="1:8" ht="14">
      <c r="A1160" s="108">
        <v>2005</v>
      </c>
      <c r="B1160" s="108">
        <v>69</v>
      </c>
      <c r="C1160" s="108" t="s">
        <v>139</v>
      </c>
      <c r="D1160" s="108">
        <v>17.048999999999999</v>
      </c>
      <c r="E1160" s="108">
        <v>1.5980000000000001</v>
      </c>
      <c r="F1160" s="108" t="s">
        <v>136</v>
      </c>
      <c r="G1160" s="108"/>
      <c r="H1160" s="108">
        <v>1</v>
      </c>
    </row>
    <row r="1161" spans="1:8" ht="14">
      <c r="A1161" s="108">
        <v>2005</v>
      </c>
      <c r="B1161" s="108">
        <v>91</v>
      </c>
      <c r="C1161" s="108" t="s">
        <v>30</v>
      </c>
      <c r="D1161" s="108">
        <v>9282.9708005568791</v>
      </c>
      <c r="E1161" s="108">
        <v>0</v>
      </c>
      <c r="F1161" s="108" t="s">
        <v>136</v>
      </c>
      <c r="G1161" s="108"/>
      <c r="H1161" s="108">
        <v>1</v>
      </c>
    </row>
    <row r="1162" spans="1:8" ht="14">
      <c r="A1162" s="108">
        <v>2005</v>
      </c>
      <c r="B1162" s="108">
        <v>91</v>
      </c>
      <c r="C1162" s="108" t="s">
        <v>30</v>
      </c>
      <c r="D1162" s="108">
        <v>44.301751312943999</v>
      </c>
      <c r="E1162" s="108">
        <v>0</v>
      </c>
      <c r="F1162" s="108" t="s">
        <v>137</v>
      </c>
      <c r="G1162" s="108"/>
      <c r="H1162" s="108">
        <v>1</v>
      </c>
    </row>
    <row r="1163" spans="1:8" ht="14">
      <c r="A1163" s="108">
        <v>2005</v>
      </c>
      <c r="B1163" s="108">
        <v>91</v>
      </c>
      <c r="C1163" s="108" t="s">
        <v>30</v>
      </c>
      <c r="D1163" s="108">
        <v>288.63544813017</v>
      </c>
      <c r="E1163" s="108">
        <v>0</v>
      </c>
      <c r="F1163" s="108" t="s">
        <v>135</v>
      </c>
      <c r="G1163" s="108"/>
      <c r="H1163" s="108">
        <v>1</v>
      </c>
    </row>
    <row r="1164" spans="1:8" ht="14">
      <c r="A1164" s="108">
        <v>2005</v>
      </c>
      <c r="B1164" s="108">
        <v>91</v>
      </c>
      <c r="C1164" s="108" t="s">
        <v>138</v>
      </c>
      <c r="D1164" s="108">
        <v>21.009086317701101</v>
      </c>
      <c r="E1164" s="108">
        <v>0</v>
      </c>
      <c r="F1164" s="108" t="s">
        <v>135</v>
      </c>
      <c r="G1164" s="108"/>
      <c r="H1164" s="108">
        <v>1</v>
      </c>
    </row>
    <row r="1165" spans="1:8" ht="14">
      <c r="A1165" s="108">
        <v>2005</v>
      </c>
      <c r="B1165" s="108">
        <v>91</v>
      </c>
      <c r="C1165" s="108" t="s">
        <v>138</v>
      </c>
      <c r="D1165" s="108">
        <v>9004.8939136822901</v>
      </c>
      <c r="E1165" s="108">
        <v>0</v>
      </c>
      <c r="F1165" s="108" t="s">
        <v>136</v>
      </c>
      <c r="G1165" s="108"/>
      <c r="H1165" s="108">
        <v>1</v>
      </c>
    </row>
    <row r="1166" spans="1:8" ht="14">
      <c r="A1166" s="108">
        <v>2005</v>
      </c>
      <c r="B1166" s="108">
        <v>91</v>
      </c>
      <c r="C1166" s="108" t="s">
        <v>139</v>
      </c>
      <c r="D1166" s="108">
        <v>267.62636181246899</v>
      </c>
      <c r="E1166" s="108">
        <v>0</v>
      </c>
      <c r="F1166" s="108" t="s">
        <v>135</v>
      </c>
      <c r="G1166" s="108"/>
      <c r="H1166" s="108">
        <v>1</v>
      </c>
    </row>
    <row r="1167" spans="1:8" ht="14">
      <c r="A1167" s="108">
        <v>2005</v>
      </c>
      <c r="B1167" s="108">
        <v>91</v>
      </c>
      <c r="C1167" s="108" t="s">
        <v>139</v>
      </c>
      <c r="D1167" s="108">
        <v>278.07688687458602</v>
      </c>
      <c r="E1167" s="108">
        <v>0</v>
      </c>
      <c r="F1167" s="108" t="s">
        <v>136</v>
      </c>
      <c r="G1167" s="108"/>
      <c r="H1167" s="108">
        <v>1</v>
      </c>
    </row>
    <row r="1168" spans="1:8" ht="14">
      <c r="A1168" s="108">
        <v>2005</v>
      </c>
      <c r="B1168" s="108">
        <v>91</v>
      </c>
      <c r="C1168" s="108" t="s">
        <v>139</v>
      </c>
      <c r="D1168" s="108">
        <v>44.301751312943999</v>
      </c>
      <c r="E1168" s="108">
        <v>0</v>
      </c>
      <c r="F1168" s="108" t="s">
        <v>137</v>
      </c>
      <c r="G1168" s="108"/>
      <c r="H1168" s="108">
        <v>1</v>
      </c>
    </row>
    <row r="1169" spans="1:8" ht="14">
      <c r="A1169" s="108">
        <v>2005</v>
      </c>
      <c r="B1169" s="108">
        <v>92</v>
      </c>
      <c r="C1169" s="108" t="s">
        <v>30</v>
      </c>
      <c r="D1169" s="108">
        <v>0.42485304308893701</v>
      </c>
      <c r="E1169" s="108">
        <v>0</v>
      </c>
      <c r="F1169" s="108" t="s">
        <v>137</v>
      </c>
      <c r="G1169" s="108"/>
      <c r="H1169" s="108">
        <v>1</v>
      </c>
    </row>
    <row r="1170" spans="1:8" ht="14">
      <c r="A1170" s="108">
        <v>2005</v>
      </c>
      <c r="B1170" s="108">
        <v>92</v>
      </c>
      <c r="C1170" s="108" t="s">
        <v>30</v>
      </c>
      <c r="D1170" s="108">
        <v>322.24861299014901</v>
      </c>
      <c r="E1170" s="108">
        <v>0</v>
      </c>
      <c r="F1170" s="108" t="s">
        <v>135</v>
      </c>
      <c r="G1170" s="108"/>
      <c r="H1170" s="108">
        <v>1</v>
      </c>
    </row>
    <row r="1171" spans="1:8" ht="14">
      <c r="A1171" s="108">
        <v>2005</v>
      </c>
      <c r="B1171" s="108">
        <v>92</v>
      </c>
      <c r="C1171" s="108" t="s">
        <v>30</v>
      </c>
      <c r="D1171" s="108">
        <v>10028.316533966699</v>
      </c>
      <c r="E1171" s="108">
        <v>0</v>
      </c>
      <c r="F1171" s="108" t="s">
        <v>136</v>
      </c>
      <c r="G1171" s="108"/>
      <c r="H1171" s="108">
        <v>1</v>
      </c>
    </row>
    <row r="1172" spans="1:8" ht="14">
      <c r="A1172" s="108">
        <v>2005</v>
      </c>
      <c r="B1172" s="108">
        <v>92</v>
      </c>
      <c r="C1172" s="108" t="s">
        <v>138</v>
      </c>
      <c r="D1172" s="108">
        <v>173.843524658034</v>
      </c>
      <c r="E1172" s="108">
        <v>0</v>
      </c>
      <c r="F1172" s="108" t="s">
        <v>135</v>
      </c>
      <c r="G1172" s="108"/>
      <c r="H1172" s="108">
        <v>1</v>
      </c>
    </row>
    <row r="1173" spans="1:8" ht="14">
      <c r="A1173" s="108">
        <v>2005</v>
      </c>
      <c r="B1173" s="108">
        <v>92</v>
      </c>
      <c r="C1173" s="108" t="s">
        <v>138</v>
      </c>
      <c r="D1173" s="108">
        <v>0.37464945206378297</v>
      </c>
      <c r="E1173" s="108">
        <v>0</v>
      </c>
      <c r="F1173" s="108" t="s">
        <v>137</v>
      </c>
      <c r="G1173" s="108"/>
      <c r="H1173" s="108">
        <v>1</v>
      </c>
    </row>
    <row r="1174" spans="1:8" ht="14">
      <c r="A1174" s="108">
        <v>2005</v>
      </c>
      <c r="B1174" s="108">
        <v>92</v>
      </c>
      <c r="C1174" s="108" t="s">
        <v>138</v>
      </c>
      <c r="D1174" s="108">
        <v>5379.1458258899002</v>
      </c>
      <c r="E1174" s="108">
        <v>0</v>
      </c>
      <c r="F1174" s="108" t="s">
        <v>136</v>
      </c>
      <c r="G1174" s="108"/>
      <c r="H1174" s="108">
        <v>1</v>
      </c>
    </row>
    <row r="1175" spans="1:8" ht="14">
      <c r="A1175" s="108">
        <v>2005</v>
      </c>
      <c r="B1175" s="108">
        <v>92</v>
      </c>
      <c r="C1175" s="108" t="s">
        <v>139</v>
      </c>
      <c r="D1175" s="108">
        <v>5.0203591025153399E-2</v>
      </c>
      <c r="E1175" s="108">
        <v>0</v>
      </c>
      <c r="F1175" s="108" t="s">
        <v>137</v>
      </c>
      <c r="G1175" s="108"/>
      <c r="H1175" s="108">
        <v>1</v>
      </c>
    </row>
    <row r="1176" spans="1:8" ht="14">
      <c r="A1176" s="108">
        <v>2005</v>
      </c>
      <c r="B1176" s="108">
        <v>92</v>
      </c>
      <c r="C1176" s="108" t="s">
        <v>139</v>
      </c>
      <c r="D1176" s="108">
        <v>148.40508833211501</v>
      </c>
      <c r="E1176" s="108">
        <v>0</v>
      </c>
      <c r="F1176" s="108" t="s">
        <v>135</v>
      </c>
      <c r="G1176" s="108"/>
      <c r="H1176" s="108">
        <v>1</v>
      </c>
    </row>
    <row r="1177" spans="1:8" ht="14">
      <c r="A1177" s="108">
        <v>2005</v>
      </c>
      <c r="B1177" s="108">
        <v>92</v>
      </c>
      <c r="C1177" s="108" t="s">
        <v>139</v>
      </c>
      <c r="D1177" s="108">
        <v>4649.1707080768601</v>
      </c>
      <c r="E1177" s="108">
        <v>0</v>
      </c>
      <c r="F1177" s="108" t="s">
        <v>136</v>
      </c>
      <c r="G1177" s="108"/>
      <c r="H1177" s="108">
        <v>1</v>
      </c>
    </row>
    <row r="1178" spans="1:8" ht="14">
      <c r="A1178" s="108">
        <v>2005</v>
      </c>
      <c r="B1178" s="108">
        <v>99</v>
      </c>
      <c r="C1178" s="108" t="s">
        <v>30</v>
      </c>
      <c r="D1178" s="108">
        <v>5.7902998472896696</v>
      </c>
      <c r="E1178" s="108">
        <v>0</v>
      </c>
      <c r="F1178" s="108" t="s">
        <v>137</v>
      </c>
      <c r="G1178" s="108"/>
      <c r="H1178" s="108">
        <v>1</v>
      </c>
    </row>
    <row r="1179" spans="1:8" ht="14">
      <c r="A1179" s="108">
        <v>2005</v>
      </c>
      <c r="B1179" s="108">
        <v>99</v>
      </c>
      <c r="C1179" s="108" t="s">
        <v>30</v>
      </c>
      <c r="D1179" s="108">
        <v>2499.5859223944399</v>
      </c>
      <c r="E1179" s="108">
        <v>0</v>
      </c>
      <c r="F1179" s="108" t="s">
        <v>135</v>
      </c>
      <c r="G1179" s="108"/>
      <c r="H1179" s="108">
        <v>1</v>
      </c>
    </row>
    <row r="1180" spans="1:8" ht="14">
      <c r="A1180" s="108">
        <v>2005</v>
      </c>
      <c r="B1180" s="108">
        <v>99</v>
      </c>
      <c r="C1180" s="108" t="s">
        <v>30</v>
      </c>
      <c r="D1180" s="108">
        <v>4836.82877775826</v>
      </c>
      <c r="E1180" s="108">
        <v>0</v>
      </c>
      <c r="F1180" s="108" t="s">
        <v>136</v>
      </c>
      <c r="G1180" s="108"/>
      <c r="H1180" s="108">
        <v>1</v>
      </c>
    </row>
    <row r="1181" spans="1:8" ht="14">
      <c r="A1181" s="108">
        <v>2005</v>
      </c>
      <c r="B1181" s="108">
        <v>99</v>
      </c>
      <c r="C1181" s="108" t="s">
        <v>138</v>
      </c>
      <c r="D1181" s="108">
        <v>894.13790181875504</v>
      </c>
      <c r="E1181" s="108">
        <v>0</v>
      </c>
      <c r="F1181" s="108" t="s">
        <v>135</v>
      </c>
      <c r="G1181" s="108"/>
      <c r="H1181" s="108">
        <v>1</v>
      </c>
    </row>
    <row r="1182" spans="1:8" ht="14">
      <c r="A1182" s="108">
        <v>2005</v>
      </c>
      <c r="B1182" s="108">
        <v>99</v>
      </c>
      <c r="C1182" s="108" t="s">
        <v>138</v>
      </c>
      <c r="D1182" s="108">
        <v>3483.2728743399098</v>
      </c>
      <c r="E1182" s="108">
        <v>0</v>
      </c>
      <c r="F1182" s="108" t="s">
        <v>136</v>
      </c>
      <c r="G1182" s="108"/>
      <c r="H1182" s="108">
        <v>1</v>
      </c>
    </row>
    <row r="1183" spans="1:8" ht="14">
      <c r="A1183" s="108">
        <v>2005</v>
      </c>
      <c r="B1183" s="108">
        <v>99</v>
      </c>
      <c r="C1183" s="108" t="s">
        <v>138</v>
      </c>
      <c r="D1183" s="108">
        <v>5.5682238413284102</v>
      </c>
      <c r="E1183" s="108">
        <v>0</v>
      </c>
      <c r="F1183" s="108" t="s">
        <v>137</v>
      </c>
      <c r="G1183" s="108"/>
      <c r="H1183" s="108">
        <v>1</v>
      </c>
    </row>
    <row r="1184" spans="1:8" ht="14">
      <c r="A1184" s="108">
        <v>2005</v>
      </c>
      <c r="B1184" s="108">
        <v>99</v>
      </c>
      <c r="C1184" s="108" t="s">
        <v>139</v>
      </c>
      <c r="D1184" s="108">
        <v>1605.44802057569</v>
      </c>
      <c r="E1184" s="108">
        <v>0</v>
      </c>
      <c r="F1184" s="108" t="s">
        <v>135</v>
      </c>
      <c r="G1184" s="108"/>
      <c r="H1184" s="108">
        <v>1</v>
      </c>
    </row>
    <row r="1185" spans="1:8" ht="14">
      <c r="A1185" s="108">
        <v>2005</v>
      </c>
      <c r="B1185" s="108">
        <v>99</v>
      </c>
      <c r="C1185" s="108" t="s">
        <v>139</v>
      </c>
      <c r="D1185" s="108">
        <v>1353.55590341834</v>
      </c>
      <c r="E1185" s="108">
        <v>0</v>
      </c>
      <c r="F1185" s="108" t="s">
        <v>136</v>
      </c>
      <c r="G1185" s="108"/>
      <c r="H1185" s="108">
        <v>1</v>
      </c>
    </row>
    <row r="1186" spans="1:8" ht="14">
      <c r="A1186" s="108">
        <v>2005</v>
      </c>
      <c r="B1186" s="108">
        <v>99</v>
      </c>
      <c r="C1186" s="108" t="s">
        <v>139</v>
      </c>
      <c r="D1186" s="108">
        <v>0.22207600596125099</v>
      </c>
      <c r="E1186" s="108">
        <v>0</v>
      </c>
      <c r="F1186" s="108" t="s">
        <v>137</v>
      </c>
      <c r="G1186" s="108"/>
      <c r="H1186" s="108">
        <v>1</v>
      </c>
    </row>
    <row r="1187" spans="1:8" ht="14">
      <c r="A1187" s="108">
        <v>2006</v>
      </c>
      <c r="B1187" s="108">
        <v>11</v>
      </c>
      <c r="C1187" s="108" t="s">
        <v>30</v>
      </c>
      <c r="D1187" s="108">
        <v>2188.9075174579498</v>
      </c>
      <c r="E1187" s="108">
        <v>0</v>
      </c>
      <c r="F1187" s="108" t="s">
        <v>135</v>
      </c>
      <c r="G1187" s="108"/>
      <c r="H1187" s="108">
        <v>1</v>
      </c>
    </row>
    <row r="1188" spans="1:8" ht="14">
      <c r="A1188" s="108">
        <v>2006</v>
      </c>
      <c r="B1188" s="108">
        <v>11</v>
      </c>
      <c r="C1188" s="108" t="s">
        <v>30</v>
      </c>
      <c r="D1188" s="108">
        <v>7281.6934825420403</v>
      </c>
      <c r="E1188" s="108">
        <v>0</v>
      </c>
      <c r="F1188" s="108" t="s">
        <v>136</v>
      </c>
      <c r="G1188" s="108"/>
      <c r="H1188" s="108">
        <v>1</v>
      </c>
    </row>
    <row r="1189" spans="1:8" ht="14">
      <c r="A1189" s="108">
        <v>2006</v>
      </c>
      <c r="B1189" s="108">
        <v>11</v>
      </c>
      <c r="C1189" s="108" t="s">
        <v>138</v>
      </c>
      <c r="D1189" s="108">
        <v>3531.4767431577902</v>
      </c>
      <c r="E1189" s="108">
        <v>0</v>
      </c>
      <c r="F1189" s="108" t="s">
        <v>136</v>
      </c>
      <c r="G1189" s="108"/>
      <c r="H1189" s="108">
        <v>1</v>
      </c>
    </row>
    <row r="1190" spans="1:8" ht="14">
      <c r="A1190" s="108">
        <v>2006</v>
      </c>
      <c r="B1190" s="108">
        <v>11</v>
      </c>
      <c r="C1190" s="108" t="s">
        <v>138</v>
      </c>
      <c r="D1190" s="108">
        <v>923.00525684220497</v>
      </c>
      <c r="E1190" s="108">
        <v>0</v>
      </c>
      <c r="F1190" s="108" t="s">
        <v>135</v>
      </c>
      <c r="G1190" s="108"/>
      <c r="H1190" s="108">
        <v>1</v>
      </c>
    </row>
    <row r="1191" spans="1:8" ht="14">
      <c r="A1191" s="108">
        <v>2006</v>
      </c>
      <c r="B1191" s="108">
        <v>11</v>
      </c>
      <c r="C1191" s="108" t="s">
        <v>139</v>
      </c>
      <c r="D1191" s="108">
        <v>1265.90226061574</v>
      </c>
      <c r="E1191" s="108">
        <v>0</v>
      </c>
      <c r="F1191" s="108" t="s">
        <v>135</v>
      </c>
      <c r="G1191" s="108"/>
      <c r="H1191" s="108">
        <v>1</v>
      </c>
    </row>
    <row r="1192" spans="1:8" ht="14">
      <c r="A1192" s="108">
        <v>2006</v>
      </c>
      <c r="B1192" s="108">
        <v>11</v>
      </c>
      <c r="C1192" s="108" t="s">
        <v>139</v>
      </c>
      <c r="D1192" s="108">
        <v>3750.2167393842501</v>
      </c>
      <c r="E1192" s="108">
        <v>0</v>
      </c>
      <c r="F1192" s="108" t="s">
        <v>136</v>
      </c>
      <c r="G1192" s="108"/>
      <c r="H1192" s="108">
        <v>1</v>
      </c>
    </row>
    <row r="1193" spans="1:8" ht="14">
      <c r="A1193" s="108">
        <v>2006</v>
      </c>
      <c r="B1193" s="108">
        <v>12</v>
      </c>
      <c r="C1193" s="108" t="s">
        <v>30</v>
      </c>
      <c r="D1193" s="108">
        <v>51759.345252319399</v>
      </c>
      <c r="E1193" s="108">
        <v>0</v>
      </c>
      <c r="F1193" s="108" t="s">
        <v>135</v>
      </c>
      <c r="G1193" s="108"/>
      <c r="H1193" s="108">
        <v>1</v>
      </c>
    </row>
    <row r="1194" spans="1:8" ht="14">
      <c r="A1194" s="108">
        <v>2006</v>
      </c>
      <c r="B1194" s="108">
        <v>12</v>
      </c>
      <c r="C1194" s="108" t="s">
        <v>30</v>
      </c>
      <c r="D1194" s="108">
        <v>90440.927747680602</v>
      </c>
      <c r="E1194" s="108">
        <v>0</v>
      </c>
      <c r="F1194" s="108" t="s">
        <v>136</v>
      </c>
      <c r="G1194" s="108"/>
      <c r="H1194" s="108">
        <v>1</v>
      </c>
    </row>
    <row r="1195" spans="1:8" ht="14">
      <c r="A1195" s="108">
        <v>2006</v>
      </c>
      <c r="B1195" s="108">
        <v>12</v>
      </c>
      <c r="C1195" s="108" t="s">
        <v>138</v>
      </c>
      <c r="D1195" s="108">
        <v>43126.241561402298</v>
      </c>
      <c r="E1195" s="108">
        <v>0</v>
      </c>
      <c r="F1195" s="108" t="s">
        <v>136</v>
      </c>
      <c r="G1195" s="108"/>
      <c r="H1195" s="108">
        <v>1</v>
      </c>
    </row>
    <row r="1196" spans="1:8" ht="14">
      <c r="A1196" s="108">
        <v>2006</v>
      </c>
      <c r="B1196" s="108">
        <v>12</v>
      </c>
      <c r="C1196" s="108" t="s">
        <v>138</v>
      </c>
      <c r="D1196" s="108">
        <v>33504.522438597502</v>
      </c>
      <c r="E1196" s="108">
        <v>0</v>
      </c>
      <c r="F1196" s="108" t="s">
        <v>135</v>
      </c>
      <c r="G1196" s="108"/>
      <c r="H1196" s="108">
        <v>1</v>
      </c>
    </row>
    <row r="1197" spans="1:8" ht="14">
      <c r="A1197" s="108">
        <v>2006</v>
      </c>
      <c r="B1197" s="108">
        <v>12</v>
      </c>
      <c r="C1197" s="108" t="s">
        <v>139</v>
      </c>
      <c r="D1197" s="108">
        <v>18254.822813721701</v>
      </c>
      <c r="E1197" s="108">
        <v>0</v>
      </c>
      <c r="F1197" s="108" t="s">
        <v>135</v>
      </c>
      <c r="G1197" s="108"/>
      <c r="H1197" s="108">
        <v>1</v>
      </c>
    </row>
    <row r="1198" spans="1:8" ht="14">
      <c r="A1198" s="108">
        <v>2006</v>
      </c>
      <c r="B1198" s="108">
        <v>12</v>
      </c>
      <c r="C1198" s="108" t="s">
        <v>139</v>
      </c>
      <c r="D1198" s="108">
        <v>47314.686186278101</v>
      </c>
      <c r="E1198" s="108">
        <v>0</v>
      </c>
      <c r="F1198" s="108" t="s">
        <v>136</v>
      </c>
      <c r="G1198" s="108"/>
      <c r="H1198" s="108">
        <v>1</v>
      </c>
    </row>
    <row r="1199" spans="1:8" ht="14">
      <c r="A1199" s="108">
        <v>2006</v>
      </c>
      <c r="B1199" s="108">
        <v>13</v>
      </c>
      <c r="C1199" s="108" t="s">
        <v>30</v>
      </c>
      <c r="D1199" s="108">
        <v>25823.163088835001</v>
      </c>
      <c r="E1199" s="108">
        <v>0</v>
      </c>
      <c r="F1199" s="108" t="s">
        <v>135</v>
      </c>
      <c r="G1199" s="108"/>
      <c r="H1199" s="108">
        <v>1</v>
      </c>
    </row>
    <row r="1200" spans="1:8" ht="14">
      <c r="A1200" s="108">
        <v>2006</v>
      </c>
      <c r="B1200" s="108">
        <v>13</v>
      </c>
      <c r="C1200" s="108" t="s">
        <v>30</v>
      </c>
      <c r="D1200" s="108">
        <v>0.96699999999999997</v>
      </c>
      <c r="E1200" s="108">
        <v>0</v>
      </c>
      <c r="F1200" s="108" t="s">
        <v>137</v>
      </c>
      <c r="G1200" s="108"/>
      <c r="H1200" s="108">
        <v>1</v>
      </c>
    </row>
    <row r="1201" spans="1:8" ht="14">
      <c r="A1201" s="108">
        <v>2006</v>
      </c>
      <c r="B1201" s="108">
        <v>13</v>
      </c>
      <c r="C1201" s="108" t="s">
        <v>30</v>
      </c>
      <c r="D1201" s="108">
        <v>59295.3709111649</v>
      </c>
      <c r="E1201" s="108">
        <v>0</v>
      </c>
      <c r="F1201" s="108" t="s">
        <v>136</v>
      </c>
      <c r="G1201" s="108"/>
      <c r="H1201" s="108">
        <v>1</v>
      </c>
    </row>
    <row r="1202" spans="1:8" ht="14">
      <c r="A1202" s="108">
        <v>2006</v>
      </c>
      <c r="B1202" s="108">
        <v>13</v>
      </c>
      <c r="C1202" s="108" t="s">
        <v>138</v>
      </c>
      <c r="D1202" s="108">
        <v>31463.613536419201</v>
      </c>
      <c r="E1202" s="108">
        <v>0</v>
      </c>
      <c r="F1202" s="108" t="s">
        <v>136</v>
      </c>
      <c r="G1202" s="108"/>
      <c r="H1202" s="108">
        <v>1</v>
      </c>
    </row>
    <row r="1203" spans="1:8" ht="14">
      <c r="A1203" s="108">
        <v>2006</v>
      </c>
      <c r="B1203" s="108">
        <v>13</v>
      </c>
      <c r="C1203" s="108" t="s">
        <v>138</v>
      </c>
      <c r="D1203" s="108">
        <v>12684.2664635807</v>
      </c>
      <c r="E1203" s="108">
        <v>0</v>
      </c>
      <c r="F1203" s="108" t="s">
        <v>135</v>
      </c>
      <c r="G1203" s="108"/>
      <c r="H1203" s="108">
        <v>1</v>
      </c>
    </row>
    <row r="1204" spans="1:8" ht="14">
      <c r="A1204" s="108">
        <v>2006</v>
      </c>
      <c r="B1204" s="108">
        <v>13</v>
      </c>
      <c r="C1204" s="108" t="s">
        <v>139</v>
      </c>
      <c r="D1204" s="108">
        <v>27831.757374745699</v>
      </c>
      <c r="E1204" s="108">
        <v>0</v>
      </c>
      <c r="F1204" s="108" t="s">
        <v>136</v>
      </c>
      <c r="G1204" s="108"/>
      <c r="H1204" s="108">
        <v>1</v>
      </c>
    </row>
    <row r="1205" spans="1:8" ht="14">
      <c r="A1205" s="108">
        <v>2006</v>
      </c>
      <c r="B1205" s="108">
        <v>13</v>
      </c>
      <c r="C1205" s="108" t="s">
        <v>139</v>
      </c>
      <c r="D1205" s="108">
        <v>13138.8966252542</v>
      </c>
      <c r="E1205" s="108">
        <v>0</v>
      </c>
      <c r="F1205" s="108" t="s">
        <v>135</v>
      </c>
      <c r="G1205" s="108"/>
      <c r="H1205" s="108">
        <v>1</v>
      </c>
    </row>
    <row r="1206" spans="1:8" ht="14">
      <c r="A1206" s="108">
        <v>2006</v>
      </c>
      <c r="B1206" s="108">
        <v>13</v>
      </c>
      <c r="C1206" s="108" t="s">
        <v>139</v>
      </c>
      <c r="D1206" s="108">
        <v>0.96699999999999997</v>
      </c>
      <c r="E1206" s="108">
        <v>0</v>
      </c>
      <c r="F1206" s="108" t="s">
        <v>137</v>
      </c>
      <c r="G1206" s="108"/>
      <c r="H1206" s="108">
        <v>1</v>
      </c>
    </row>
    <row r="1207" spans="1:8" ht="14">
      <c r="A1207" s="108">
        <v>2006</v>
      </c>
      <c r="B1207" s="108">
        <v>19</v>
      </c>
      <c r="C1207" s="108" t="s">
        <v>30</v>
      </c>
      <c r="D1207" s="108">
        <v>2851.9846646947199</v>
      </c>
      <c r="E1207" s="108">
        <v>0</v>
      </c>
      <c r="F1207" s="108" t="s">
        <v>135</v>
      </c>
      <c r="G1207" s="108"/>
      <c r="H1207" s="108">
        <v>1</v>
      </c>
    </row>
    <row r="1208" spans="1:8" ht="14">
      <c r="A1208" s="108">
        <v>2006</v>
      </c>
      <c r="B1208" s="108">
        <v>19</v>
      </c>
      <c r="C1208" s="108" t="s">
        <v>30</v>
      </c>
      <c r="D1208" s="108">
        <v>10745.658335305199</v>
      </c>
      <c r="E1208" s="108">
        <v>0</v>
      </c>
      <c r="F1208" s="108" t="s">
        <v>136</v>
      </c>
      <c r="G1208" s="108"/>
      <c r="H1208" s="108">
        <v>1</v>
      </c>
    </row>
    <row r="1209" spans="1:8" ht="14">
      <c r="A1209" s="108">
        <v>2006</v>
      </c>
      <c r="B1209" s="108">
        <v>19</v>
      </c>
      <c r="C1209" s="108" t="s">
        <v>30</v>
      </c>
      <c r="D1209" s="108">
        <v>0.126</v>
      </c>
      <c r="E1209" s="108">
        <v>0</v>
      </c>
      <c r="F1209" s="108" t="s">
        <v>137</v>
      </c>
      <c r="G1209" s="108"/>
      <c r="H1209" s="108">
        <v>1</v>
      </c>
    </row>
    <row r="1210" spans="1:8" ht="14">
      <c r="A1210" s="108">
        <v>2006</v>
      </c>
      <c r="B1210" s="108">
        <v>19</v>
      </c>
      <c r="C1210" s="108" t="s">
        <v>138</v>
      </c>
      <c r="D1210" s="108">
        <v>1303.1912605422499</v>
      </c>
      <c r="E1210" s="108">
        <v>0</v>
      </c>
      <c r="F1210" s="108" t="s">
        <v>135</v>
      </c>
      <c r="G1210" s="108"/>
      <c r="H1210" s="108">
        <v>1</v>
      </c>
    </row>
    <row r="1211" spans="1:8" ht="14">
      <c r="A1211" s="108">
        <v>2006</v>
      </c>
      <c r="B1211" s="108">
        <v>19</v>
      </c>
      <c r="C1211" s="108" t="s">
        <v>138</v>
      </c>
      <c r="D1211" s="108">
        <v>6874.56473945774</v>
      </c>
      <c r="E1211" s="108">
        <v>0</v>
      </c>
      <c r="F1211" s="108" t="s">
        <v>136</v>
      </c>
      <c r="G1211" s="108"/>
      <c r="H1211" s="108">
        <v>1</v>
      </c>
    </row>
    <row r="1212" spans="1:8" ht="14">
      <c r="A1212" s="108">
        <v>2006</v>
      </c>
      <c r="B1212" s="108">
        <v>19</v>
      </c>
      <c r="C1212" s="108" t="s">
        <v>139</v>
      </c>
      <c r="D1212" s="108">
        <v>0.126</v>
      </c>
      <c r="E1212" s="108">
        <v>0</v>
      </c>
      <c r="F1212" s="108" t="s">
        <v>137</v>
      </c>
      <c r="G1212" s="108"/>
      <c r="H1212" s="108">
        <v>1</v>
      </c>
    </row>
    <row r="1213" spans="1:8" ht="14">
      <c r="A1213" s="108">
        <v>2006</v>
      </c>
      <c r="B1213" s="108">
        <v>19</v>
      </c>
      <c r="C1213" s="108" t="s">
        <v>139</v>
      </c>
      <c r="D1213" s="108">
        <v>1548.79340415247</v>
      </c>
      <c r="E1213" s="108">
        <v>0</v>
      </c>
      <c r="F1213" s="108" t="s">
        <v>135</v>
      </c>
      <c r="G1213" s="108"/>
      <c r="H1213" s="108">
        <v>1</v>
      </c>
    </row>
    <row r="1214" spans="1:8" ht="14">
      <c r="A1214" s="108">
        <v>2006</v>
      </c>
      <c r="B1214" s="108">
        <v>19</v>
      </c>
      <c r="C1214" s="108" t="s">
        <v>139</v>
      </c>
      <c r="D1214" s="108">
        <v>3871.0935958475202</v>
      </c>
      <c r="E1214" s="108">
        <v>0</v>
      </c>
      <c r="F1214" s="108" t="s">
        <v>136</v>
      </c>
      <c r="G1214" s="108"/>
      <c r="H1214" s="108">
        <v>1</v>
      </c>
    </row>
    <row r="1215" spans="1:8" ht="14">
      <c r="A1215" s="108">
        <v>2006</v>
      </c>
      <c r="B1215" s="108">
        <v>21</v>
      </c>
      <c r="C1215" s="108" t="s">
        <v>30</v>
      </c>
      <c r="D1215" s="108">
        <v>7.5250000000000004</v>
      </c>
      <c r="E1215" s="108">
        <v>0</v>
      </c>
      <c r="F1215" s="108" t="s">
        <v>137</v>
      </c>
      <c r="G1215" s="108"/>
      <c r="H1215" s="108">
        <v>1</v>
      </c>
    </row>
    <row r="1216" spans="1:8" ht="14">
      <c r="A1216" s="108">
        <v>2006</v>
      </c>
      <c r="B1216" s="108">
        <v>21</v>
      </c>
      <c r="C1216" s="108" t="s">
        <v>30</v>
      </c>
      <c r="D1216" s="108">
        <v>18261.4069761631</v>
      </c>
      <c r="E1216" s="108">
        <v>0</v>
      </c>
      <c r="F1216" s="108" t="s">
        <v>136</v>
      </c>
      <c r="G1216" s="108"/>
      <c r="H1216" s="108">
        <v>1</v>
      </c>
    </row>
    <row r="1217" spans="1:8" ht="14">
      <c r="A1217" s="108">
        <v>2006</v>
      </c>
      <c r="B1217" s="108">
        <v>21</v>
      </c>
      <c r="C1217" s="108" t="s">
        <v>30</v>
      </c>
      <c r="D1217" s="108">
        <v>31.579023836885199</v>
      </c>
      <c r="E1217" s="108">
        <v>0</v>
      </c>
      <c r="F1217" s="108" t="s">
        <v>135</v>
      </c>
      <c r="G1217" s="108"/>
      <c r="H1217" s="108">
        <v>1</v>
      </c>
    </row>
    <row r="1218" spans="1:8" ht="14">
      <c r="A1218" s="108">
        <v>2006</v>
      </c>
      <c r="B1218" s="108">
        <v>21</v>
      </c>
      <c r="C1218" s="108" t="s">
        <v>138</v>
      </c>
      <c r="D1218" s="108">
        <v>7.5250000000000004</v>
      </c>
      <c r="E1218" s="108">
        <v>0</v>
      </c>
      <c r="F1218" s="108" t="s">
        <v>137</v>
      </c>
      <c r="G1218" s="108"/>
      <c r="H1218" s="108">
        <v>1</v>
      </c>
    </row>
    <row r="1219" spans="1:8" ht="14">
      <c r="A1219" s="108">
        <v>2006</v>
      </c>
      <c r="B1219" s="108">
        <v>21</v>
      </c>
      <c r="C1219" s="108" t="s">
        <v>138</v>
      </c>
      <c r="D1219" s="108">
        <v>30.618239682932298</v>
      </c>
      <c r="E1219" s="108">
        <v>0</v>
      </c>
      <c r="F1219" s="108" t="s">
        <v>135</v>
      </c>
      <c r="G1219" s="108"/>
      <c r="H1219" s="108">
        <v>1</v>
      </c>
    </row>
    <row r="1220" spans="1:8" ht="14">
      <c r="A1220" s="108">
        <v>2006</v>
      </c>
      <c r="B1220" s="108">
        <v>21</v>
      </c>
      <c r="C1220" s="108" t="s">
        <v>138</v>
      </c>
      <c r="D1220" s="108">
        <v>17724.595760316999</v>
      </c>
      <c r="E1220" s="108">
        <v>0</v>
      </c>
      <c r="F1220" s="108" t="s">
        <v>136</v>
      </c>
      <c r="G1220" s="108"/>
      <c r="H1220" s="108">
        <v>1</v>
      </c>
    </row>
    <row r="1221" spans="1:8" ht="14">
      <c r="A1221" s="108">
        <v>2006</v>
      </c>
      <c r="B1221" s="108">
        <v>21</v>
      </c>
      <c r="C1221" s="108" t="s">
        <v>139</v>
      </c>
      <c r="D1221" s="108">
        <v>0.960784153952843</v>
      </c>
      <c r="E1221" s="108">
        <v>0</v>
      </c>
      <c r="F1221" s="108" t="s">
        <v>135</v>
      </c>
      <c r="G1221" s="108"/>
      <c r="H1221" s="108">
        <v>1</v>
      </c>
    </row>
    <row r="1222" spans="1:8" ht="14">
      <c r="A1222" s="108">
        <v>2006</v>
      </c>
      <c r="B1222" s="108">
        <v>21</v>
      </c>
      <c r="C1222" s="108" t="s">
        <v>139</v>
      </c>
      <c r="D1222" s="108">
        <v>536.81121584604705</v>
      </c>
      <c r="E1222" s="108">
        <v>0</v>
      </c>
      <c r="F1222" s="108" t="s">
        <v>136</v>
      </c>
      <c r="G1222" s="108"/>
      <c r="H1222" s="108">
        <v>1</v>
      </c>
    </row>
    <row r="1223" spans="1:8" ht="14">
      <c r="A1223" s="108">
        <v>2006</v>
      </c>
      <c r="B1223" s="108">
        <v>22</v>
      </c>
      <c r="C1223" s="108" t="s">
        <v>30</v>
      </c>
      <c r="D1223" s="108">
        <v>2.2250000000000001</v>
      </c>
      <c r="E1223" s="108">
        <v>0</v>
      </c>
      <c r="F1223" s="108" t="s">
        <v>137</v>
      </c>
      <c r="G1223" s="108"/>
      <c r="H1223" s="108">
        <v>1</v>
      </c>
    </row>
    <row r="1224" spans="1:8" ht="14">
      <c r="A1224" s="108">
        <v>2006</v>
      </c>
      <c r="B1224" s="108">
        <v>22</v>
      </c>
      <c r="C1224" s="108" t="s">
        <v>30</v>
      </c>
      <c r="D1224" s="108">
        <v>3515.8873548346801</v>
      </c>
      <c r="E1224" s="108">
        <v>0</v>
      </c>
      <c r="F1224" s="108" t="s">
        <v>135</v>
      </c>
      <c r="G1224" s="108"/>
      <c r="H1224" s="108">
        <v>1</v>
      </c>
    </row>
    <row r="1225" spans="1:8" ht="14">
      <c r="A1225" s="108">
        <v>2006</v>
      </c>
      <c r="B1225" s="108">
        <v>22</v>
      </c>
      <c r="C1225" s="108" t="s">
        <v>30</v>
      </c>
      <c r="D1225" s="108">
        <v>53763.847645165297</v>
      </c>
      <c r="E1225" s="108">
        <v>0</v>
      </c>
      <c r="F1225" s="108" t="s">
        <v>136</v>
      </c>
      <c r="G1225" s="108"/>
      <c r="H1225" s="108">
        <v>1</v>
      </c>
    </row>
    <row r="1226" spans="1:8" ht="14">
      <c r="A1226" s="108">
        <v>2006</v>
      </c>
      <c r="B1226" s="108">
        <v>22</v>
      </c>
      <c r="C1226" s="108" t="s">
        <v>138</v>
      </c>
      <c r="D1226" s="108">
        <v>52411.809385291999</v>
      </c>
      <c r="E1226" s="108">
        <v>0</v>
      </c>
      <c r="F1226" s="108" t="s">
        <v>136</v>
      </c>
      <c r="G1226" s="108"/>
      <c r="H1226" s="108">
        <v>1</v>
      </c>
    </row>
    <row r="1227" spans="1:8" ht="14">
      <c r="A1227" s="108">
        <v>2006</v>
      </c>
      <c r="B1227" s="108">
        <v>22</v>
      </c>
      <c r="C1227" s="108" t="s">
        <v>138</v>
      </c>
      <c r="D1227" s="108">
        <v>1917.3796147079099</v>
      </c>
      <c r="E1227" s="108">
        <v>0</v>
      </c>
      <c r="F1227" s="108" t="s">
        <v>135</v>
      </c>
      <c r="G1227" s="108"/>
      <c r="H1227" s="108">
        <v>1</v>
      </c>
    </row>
    <row r="1228" spans="1:8" ht="14">
      <c r="A1228" s="108">
        <v>2006</v>
      </c>
      <c r="B1228" s="108">
        <v>22</v>
      </c>
      <c r="C1228" s="108" t="s">
        <v>139</v>
      </c>
      <c r="D1228" s="108">
        <v>2.2250000000000001</v>
      </c>
      <c r="E1228" s="108">
        <v>0</v>
      </c>
      <c r="F1228" s="108" t="s">
        <v>137</v>
      </c>
      <c r="G1228" s="108"/>
      <c r="H1228" s="108">
        <v>1</v>
      </c>
    </row>
    <row r="1229" spans="1:8" ht="14">
      <c r="A1229" s="108">
        <v>2006</v>
      </c>
      <c r="B1229" s="108">
        <v>22</v>
      </c>
      <c r="C1229" s="108" t="s">
        <v>139</v>
      </c>
      <c r="D1229" s="108">
        <v>1352.0382598732201</v>
      </c>
      <c r="E1229" s="108">
        <v>0</v>
      </c>
      <c r="F1229" s="108" t="s">
        <v>136</v>
      </c>
      <c r="G1229" s="108"/>
      <c r="H1229" s="108">
        <v>1</v>
      </c>
    </row>
    <row r="1230" spans="1:8" ht="14">
      <c r="A1230" s="108">
        <v>2006</v>
      </c>
      <c r="B1230" s="108">
        <v>22</v>
      </c>
      <c r="C1230" s="108" t="s">
        <v>139</v>
      </c>
      <c r="D1230" s="108">
        <v>1598.5077401267699</v>
      </c>
      <c r="E1230" s="108">
        <v>0</v>
      </c>
      <c r="F1230" s="108" t="s">
        <v>135</v>
      </c>
      <c r="G1230" s="108"/>
      <c r="H1230" s="108">
        <v>1</v>
      </c>
    </row>
    <row r="1231" spans="1:8" ht="14">
      <c r="A1231" s="108">
        <v>2006</v>
      </c>
      <c r="B1231" s="108">
        <v>23</v>
      </c>
      <c r="C1231" s="108" t="s">
        <v>30</v>
      </c>
      <c r="D1231" s="108">
        <v>1574.0713957891101</v>
      </c>
      <c r="E1231" s="108">
        <v>0</v>
      </c>
      <c r="F1231" s="108" t="s">
        <v>135</v>
      </c>
      <c r="G1231" s="108"/>
      <c r="H1231" s="108">
        <v>1</v>
      </c>
    </row>
    <row r="1232" spans="1:8" ht="14">
      <c r="A1232" s="108">
        <v>2006</v>
      </c>
      <c r="B1232" s="108">
        <v>23</v>
      </c>
      <c r="C1232" s="108" t="s">
        <v>30</v>
      </c>
      <c r="D1232" s="108">
        <v>11512.751120111399</v>
      </c>
      <c r="E1232" s="108">
        <v>0</v>
      </c>
      <c r="F1232" s="108" t="s">
        <v>136</v>
      </c>
      <c r="G1232" s="108"/>
      <c r="H1232" s="108">
        <v>1</v>
      </c>
    </row>
    <row r="1233" spans="1:8" ht="14">
      <c r="A1233" s="108">
        <v>2006</v>
      </c>
      <c r="B1233" s="108">
        <v>23</v>
      </c>
      <c r="C1233" s="108" t="s">
        <v>30</v>
      </c>
      <c r="D1233" s="108">
        <v>8.2174840994790603</v>
      </c>
      <c r="E1233" s="108">
        <v>0</v>
      </c>
      <c r="F1233" s="108" t="s">
        <v>137</v>
      </c>
      <c r="G1233" s="108"/>
      <c r="H1233" s="108">
        <v>1</v>
      </c>
    </row>
    <row r="1234" spans="1:8" ht="14">
      <c r="A1234" s="108">
        <v>2006</v>
      </c>
      <c r="B1234" s="108">
        <v>23</v>
      </c>
      <c r="C1234" s="108" t="s">
        <v>138</v>
      </c>
      <c r="D1234" s="108">
        <v>4.6264840994790601</v>
      </c>
      <c r="E1234" s="108">
        <v>0</v>
      </c>
      <c r="F1234" s="108" t="s">
        <v>137</v>
      </c>
      <c r="G1234" s="108"/>
      <c r="H1234" s="108">
        <v>1</v>
      </c>
    </row>
    <row r="1235" spans="1:8" ht="14">
      <c r="A1235" s="108">
        <v>2006</v>
      </c>
      <c r="B1235" s="108">
        <v>23</v>
      </c>
      <c r="C1235" s="108" t="s">
        <v>138</v>
      </c>
      <c r="D1235" s="108">
        <v>836.01587864630801</v>
      </c>
      <c r="E1235" s="108">
        <v>0</v>
      </c>
      <c r="F1235" s="108" t="s">
        <v>135</v>
      </c>
      <c r="G1235" s="108"/>
      <c r="H1235" s="108">
        <v>1</v>
      </c>
    </row>
    <row r="1236" spans="1:8" ht="14">
      <c r="A1236" s="108">
        <v>2006</v>
      </c>
      <c r="B1236" s="108">
        <v>23</v>
      </c>
      <c r="C1236" s="108" t="s">
        <v>138</v>
      </c>
      <c r="D1236" s="108">
        <v>8624.8076372542091</v>
      </c>
      <c r="E1236" s="108">
        <v>0</v>
      </c>
      <c r="F1236" s="108" t="s">
        <v>136</v>
      </c>
      <c r="G1236" s="108"/>
      <c r="H1236" s="108">
        <v>1</v>
      </c>
    </row>
    <row r="1237" spans="1:8" ht="14">
      <c r="A1237" s="108">
        <v>2006</v>
      </c>
      <c r="B1237" s="108">
        <v>23</v>
      </c>
      <c r="C1237" s="108" t="s">
        <v>139</v>
      </c>
      <c r="D1237" s="108">
        <v>2887.9434828571898</v>
      </c>
      <c r="E1237" s="108">
        <v>0</v>
      </c>
      <c r="F1237" s="108" t="s">
        <v>136</v>
      </c>
      <c r="G1237" s="108"/>
      <c r="H1237" s="108">
        <v>1</v>
      </c>
    </row>
    <row r="1238" spans="1:8" ht="14">
      <c r="A1238" s="108">
        <v>2006</v>
      </c>
      <c r="B1238" s="108">
        <v>23</v>
      </c>
      <c r="C1238" s="108" t="s">
        <v>139</v>
      </c>
      <c r="D1238" s="108">
        <v>738.05551714280102</v>
      </c>
      <c r="E1238" s="108">
        <v>0</v>
      </c>
      <c r="F1238" s="108" t="s">
        <v>135</v>
      </c>
      <c r="G1238" s="108"/>
      <c r="H1238" s="108">
        <v>1</v>
      </c>
    </row>
    <row r="1239" spans="1:8" ht="14">
      <c r="A1239" s="108">
        <v>2006</v>
      </c>
      <c r="B1239" s="108">
        <v>23</v>
      </c>
      <c r="C1239" s="108" t="s">
        <v>139</v>
      </c>
      <c r="D1239" s="108">
        <v>3.5910000000000002</v>
      </c>
      <c r="E1239" s="108">
        <v>0</v>
      </c>
      <c r="F1239" s="108" t="s">
        <v>137</v>
      </c>
      <c r="G1239" s="108"/>
      <c r="H1239" s="108">
        <v>1</v>
      </c>
    </row>
    <row r="1240" spans="1:8" ht="14">
      <c r="A1240" s="108">
        <v>2006</v>
      </c>
      <c r="B1240" s="108">
        <v>29</v>
      </c>
      <c r="C1240" s="108" t="s">
        <v>30</v>
      </c>
      <c r="D1240" s="108">
        <v>22228.9204585195</v>
      </c>
      <c r="E1240" s="108">
        <v>0</v>
      </c>
      <c r="F1240" s="108" t="s">
        <v>135</v>
      </c>
      <c r="G1240" s="108"/>
      <c r="H1240" s="108">
        <v>1</v>
      </c>
    </row>
    <row r="1241" spans="1:8" ht="14">
      <c r="A1241" s="108">
        <v>2006</v>
      </c>
      <c r="B1241" s="108">
        <v>29</v>
      </c>
      <c r="C1241" s="108" t="s">
        <v>30</v>
      </c>
      <c r="D1241" s="108">
        <v>22173.582541480399</v>
      </c>
      <c r="E1241" s="108">
        <v>0</v>
      </c>
      <c r="F1241" s="108" t="s">
        <v>136</v>
      </c>
      <c r="G1241" s="108"/>
      <c r="H1241" s="108">
        <v>1</v>
      </c>
    </row>
    <row r="1242" spans="1:8" ht="14">
      <c r="A1242" s="108">
        <v>2006</v>
      </c>
      <c r="B1242" s="108">
        <v>29</v>
      </c>
      <c r="C1242" s="108" t="s">
        <v>138</v>
      </c>
      <c r="D1242" s="108">
        <v>17373.981174169301</v>
      </c>
      <c r="E1242" s="108">
        <v>0</v>
      </c>
      <c r="F1242" s="108" t="s">
        <v>135</v>
      </c>
      <c r="G1242" s="108"/>
      <c r="H1242" s="108">
        <v>1</v>
      </c>
    </row>
    <row r="1243" spans="1:8" ht="14">
      <c r="A1243" s="108">
        <v>2006</v>
      </c>
      <c r="B1243" s="108">
        <v>29</v>
      </c>
      <c r="C1243" s="108" t="s">
        <v>138</v>
      </c>
      <c r="D1243" s="108">
        <v>11323.903825830601</v>
      </c>
      <c r="E1243" s="108">
        <v>0</v>
      </c>
      <c r="F1243" s="108" t="s">
        <v>136</v>
      </c>
      <c r="G1243" s="108"/>
      <c r="H1243" s="108">
        <v>1</v>
      </c>
    </row>
    <row r="1244" spans="1:8" ht="14">
      <c r="A1244" s="108">
        <v>2006</v>
      </c>
      <c r="B1244" s="108">
        <v>29</v>
      </c>
      <c r="C1244" s="108" t="s">
        <v>139</v>
      </c>
      <c r="D1244" s="108">
        <v>10849.678715649799</v>
      </c>
      <c r="E1244" s="108">
        <v>0</v>
      </c>
      <c r="F1244" s="108" t="s">
        <v>136</v>
      </c>
      <c r="G1244" s="108"/>
      <c r="H1244" s="108">
        <v>1</v>
      </c>
    </row>
    <row r="1245" spans="1:8" ht="14">
      <c r="A1245" s="108">
        <v>2006</v>
      </c>
      <c r="B1245" s="108">
        <v>29</v>
      </c>
      <c r="C1245" s="108" t="s">
        <v>139</v>
      </c>
      <c r="D1245" s="108">
        <v>4854.9392843501701</v>
      </c>
      <c r="E1245" s="108">
        <v>0</v>
      </c>
      <c r="F1245" s="108" t="s">
        <v>135</v>
      </c>
      <c r="G1245" s="108"/>
      <c r="H1245" s="108">
        <v>1</v>
      </c>
    </row>
    <row r="1246" spans="1:8" ht="14">
      <c r="A1246" s="108">
        <v>2006</v>
      </c>
      <c r="B1246" s="108">
        <v>31</v>
      </c>
      <c r="C1246" s="108" t="s">
        <v>30</v>
      </c>
      <c r="D1246" s="108">
        <v>977.654632047306</v>
      </c>
      <c r="E1246" s="108">
        <v>134.74819669855</v>
      </c>
      <c r="F1246" s="108" t="s">
        <v>135</v>
      </c>
      <c r="G1246" s="108">
        <v>134.748239423999</v>
      </c>
      <c r="H1246" s="108">
        <v>1</v>
      </c>
    </row>
    <row r="1247" spans="1:8" ht="14">
      <c r="A1247" s="108">
        <v>2006</v>
      </c>
      <c r="B1247" s="108">
        <v>31</v>
      </c>
      <c r="C1247" s="108" t="s">
        <v>30</v>
      </c>
      <c r="D1247" s="108">
        <v>17502.7066533342</v>
      </c>
      <c r="E1247" s="108">
        <v>1564.3233516115699</v>
      </c>
      <c r="F1247" s="108" t="s">
        <v>136</v>
      </c>
      <c r="G1247" s="108">
        <v>1564.32329470899</v>
      </c>
      <c r="H1247" s="108">
        <v>1</v>
      </c>
    </row>
    <row r="1248" spans="1:8" ht="14">
      <c r="A1248" s="108">
        <v>2006</v>
      </c>
      <c r="B1248" s="108">
        <v>31</v>
      </c>
      <c r="C1248" s="108" t="s">
        <v>30</v>
      </c>
      <c r="D1248" s="108">
        <v>67.162714618458594</v>
      </c>
      <c r="E1248" s="108">
        <v>69.741451689873003</v>
      </c>
      <c r="F1248" s="108" t="s">
        <v>137</v>
      </c>
      <c r="G1248" s="108">
        <v>69.741457356999902</v>
      </c>
      <c r="H1248" s="108">
        <v>1</v>
      </c>
    </row>
    <row r="1249" spans="1:8" ht="14">
      <c r="A1249" s="108">
        <v>2006</v>
      </c>
      <c r="B1249" s="108">
        <v>31</v>
      </c>
      <c r="C1249" s="108" t="s">
        <v>138</v>
      </c>
      <c r="D1249" s="108">
        <v>460.74390693148899</v>
      </c>
      <c r="E1249" s="108">
        <v>65.306061459645306</v>
      </c>
      <c r="F1249" s="108" t="s">
        <v>135</v>
      </c>
      <c r="G1249" s="108">
        <v>65.3060860759999</v>
      </c>
      <c r="H1249" s="108">
        <v>1</v>
      </c>
    </row>
    <row r="1250" spans="1:8" ht="14">
      <c r="A1250" s="108">
        <v>2006</v>
      </c>
      <c r="B1250" s="108">
        <v>31</v>
      </c>
      <c r="C1250" s="108" t="s">
        <v>138</v>
      </c>
      <c r="D1250" s="108">
        <v>10541.084786404699</v>
      </c>
      <c r="E1250" s="108">
        <v>831.90420820427903</v>
      </c>
      <c r="F1250" s="108" t="s">
        <v>136</v>
      </c>
      <c r="G1250" s="108">
        <v>831.90413483300199</v>
      </c>
      <c r="H1250" s="108">
        <v>1</v>
      </c>
    </row>
    <row r="1251" spans="1:8" ht="14">
      <c r="A1251" s="108">
        <v>2006</v>
      </c>
      <c r="B1251" s="108">
        <v>31</v>
      </c>
      <c r="C1251" s="108" t="s">
        <v>138</v>
      </c>
      <c r="D1251" s="108">
        <v>58.109306663721803</v>
      </c>
      <c r="E1251" s="108">
        <v>7.25073033607827</v>
      </c>
      <c r="F1251" s="108" t="s">
        <v>137</v>
      </c>
      <c r="G1251" s="108">
        <v>7.2507293299999898</v>
      </c>
      <c r="H1251" s="108">
        <v>1</v>
      </c>
    </row>
    <row r="1252" spans="1:8" ht="14">
      <c r="A1252" s="108">
        <v>2006</v>
      </c>
      <c r="B1252" s="108">
        <v>31</v>
      </c>
      <c r="C1252" s="108" t="s">
        <v>139</v>
      </c>
      <c r="D1252" s="108">
        <v>516.91072511581694</v>
      </c>
      <c r="E1252" s="108">
        <v>69.442135238905294</v>
      </c>
      <c r="F1252" s="108" t="s">
        <v>135</v>
      </c>
      <c r="G1252" s="108">
        <v>69.442153347999906</v>
      </c>
      <c r="H1252" s="108">
        <v>1</v>
      </c>
    </row>
    <row r="1253" spans="1:8" ht="14">
      <c r="A1253" s="108">
        <v>2006</v>
      </c>
      <c r="B1253" s="108">
        <v>31</v>
      </c>
      <c r="C1253" s="108" t="s">
        <v>139</v>
      </c>
      <c r="D1253" s="108">
        <v>9.0534079547367394</v>
      </c>
      <c r="E1253" s="108">
        <v>62.490721353794697</v>
      </c>
      <c r="F1253" s="108" t="s">
        <v>137</v>
      </c>
      <c r="G1253" s="108">
        <v>62.490728026999903</v>
      </c>
      <c r="H1253" s="108">
        <v>1</v>
      </c>
    </row>
    <row r="1254" spans="1:8" ht="14">
      <c r="A1254" s="108">
        <v>2006</v>
      </c>
      <c r="B1254" s="108">
        <v>31</v>
      </c>
      <c r="C1254" s="108" t="s">
        <v>139</v>
      </c>
      <c r="D1254" s="108">
        <v>6961.6218669294403</v>
      </c>
      <c r="E1254" s="108">
        <v>732.41914340729898</v>
      </c>
      <c r="F1254" s="108" t="s">
        <v>136</v>
      </c>
      <c r="G1254" s="108">
        <v>732.41915987599896</v>
      </c>
      <c r="H1254" s="108">
        <v>1</v>
      </c>
    </row>
    <row r="1255" spans="1:8" ht="14">
      <c r="A1255" s="108">
        <v>2006</v>
      </c>
      <c r="B1255" s="108">
        <v>32</v>
      </c>
      <c r="C1255" s="108" t="s">
        <v>30</v>
      </c>
      <c r="D1255" s="108">
        <v>207.15054279175601</v>
      </c>
      <c r="E1255" s="108">
        <v>90.492138035680597</v>
      </c>
      <c r="F1255" s="108" t="s">
        <v>137</v>
      </c>
      <c r="G1255" s="108">
        <v>180.98429899000001</v>
      </c>
      <c r="H1255" s="108">
        <v>1</v>
      </c>
    </row>
    <row r="1256" spans="1:8" ht="14">
      <c r="A1256" s="108">
        <v>2006</v>
      </c>
      <c r="B1256" s="108">
        <v>32</v>
      </c>
      <c r="C1256" s="108" t="s">
        <v>30</v>
      </c>
      <c r="D1256" s="108">
        <v>30189.208619418299</v>
      </c>
      <c r="E1256" s="108">
        <v>2565.2349420063601</v>
      </c>
      <c r="F1256" s="108" t="s">
        <v>136</v>
      </c>
      <c r="G1256" s="108">
        <v>5130.47007691001</v>
      </c>
      <c r="H1256" s="108">
        <v>1</v>
      </c>
    </row>
    <row r="1257" spans="1:8" ht="14">
      <c r="A1257" s="108">
        <v>2006</v>
      </c>
      <c r="B1257" s="108">
        <v>32</v>
      </c>
      <c r="C1257" s="108" t="s">
        <v>30</v>
      </c>
      <c r="D1257" s="108">
        <v>1377.4398377898499</v>
      </c>
      <c r="E1257" s="108">
        <v>135.15191995795101</v>
      </c>
      <c r="F1257" s="108" t="s">
        <v>135</v>
      </c>
      <c r="G1257" s="108">
        <v>270.303776279999</v>
      </c>
      <c r="H1257" s="108">
        <v>1</v>
      </c>
    </row>
    <row r="1258" spans="1:8" ht="14">
      <c r="A1258" s="108">
        <v>2006</v>
      </c>
      <c r="B1258" s="108">
        <v>32</v>
      </c>
      <c r="C1258" s="108" t="s">
        <v>138</v>
      </c>
      <c r="D1258" s="108">
        <v>686.31458924154197</v>
      </c>
      <c r="E1258" s="108">
        <v>67.461497702577603</v>
      </c>
      <c r="F1258" s="108" t="s">
        <v>135</v>
      </c>
      <c r="G1258" s="108">
        <v>134.9229435</v>
      </c>
      <c r="H1258" s="108">
        <v>1</v>
      </c>
    </row>
    <row r="1259" spans="1:8" ht="14">
      <c r="A1259" s="108">
        <v>2006</v>
      </c>
      <c r="B1259" s="108">
        <v>32</v>
      </c>
      <c r="C1259" s="108" t="s">
        <v>138</v>
      </c>
      <c r="D1259" s="108">
        <v>17372.1496851187</v>
      </c>
      <c r="E1259" s="108">
        <v>1324.7180904460799</v>
      </c>
      <c r="F1259" s="108" t="s">
        <v>136</v>
      </c>
      <c r="G1259" s="108">
        <v>2649.4363553899998</v>
      </c>
      <c r="H1259" s="108">
        <v>1</v>
      </c>
    </row>
    <row r="1260" spans="1:8" ht="14">
      <c r="A1260" s="108">
        <v>2006</v>
      </c>
      <c r="B1260" s="108">
        <v>32</v>
      </c>
      <c r="C1260" s="108" t="s">
        <v>138</v>
      </c>
      <c r="D1260" s="108">
        <v>177.038725639668</v>
      </c>
      <c r="E1260" s="108">
        <v>20.132411851335402</v>
      </c>
      <c r="F1260" s="108" t="s">
        <v>137</v>
      </c>
      <c r="G1260" s="108">
        <v>40.264824599999997</v>
      </c>
      <c r="H1260" s="108">
        <v>1</v>
      </c>
    </row>
    <row r="1261" spans="1:8" ht="14">
      <c r="A1261" s="108">
        <v>2006</v>
      </c>
      <c r="B1261" s="108">
        <v>32</v>
      </c>
      <c r="C1261" s="108" t="s">
        <v>139</v>
      </c>
      <c r="D1261" s="108">
        <v>12817.058934299501</v>
      </c>
      <c r="E1261" s="108">
        <v>1240.51685156028</v>
      </c>
      <c r="F1261" s="108" t="s">
        <v>136</v>
      </c>
      <c r="G1261" s="108">
        <v>2481.0337215200002</v>
      </c>
      <c r="H1261" s="108">
        <v>1</v>
      </c>
    </row>
    <row r="1262" spans="1:8" ht="14">
      <c r="A1262" s="108">
        <v>2006</v>
      </c>
      <c r="B1262" s="108">
        <v>32</v>
      </c>
      <c r="C1262" s="108" t="s">
        <v>139</v>
      </c>
      <c r="D1262" s="108">
        <v>30.111817152087799</v>
      </c>
      <c r="E1262" s="108">
        <v>70.359726184345107</v>
      </c>
      <c r="F1262" s="108" t="s">
        <v>137</v>
      </c>
      <c r="G1262" s="108">
        <v>140.71947438999999</v>
      </c>
      <c r="H1262" s="108">
        <v>1</v>
      </c>
    </row>
    <row r="1263" spans="1:8" ht="14">
      <c r="A1263" s="108">
        <v>2006</v>
      </c>
      <c r="B1263" s="108">
        <v>32</v>
      </c>
      <c r="C1263" s="108" t="s">
        <v>139</v>
      </c>
      <c r="D1263" s="108">
        <v>691.12524854831599</v>
      </c>
      <c r="E1263" s="108">
        <v>67.690422255374102</v>
      </c>
      <c r="F1263" s="108" t="s">
        <v>135</v>
      </c>
      <c r="G1263" s="108">
        <v>135.380832779999</v>
      </c>
      <c r="H1263" s="108">
        <v>1</v>
      </c>
    </row>
    <row r="1264" spans="1:8" ht="14">
      <c r="A1264" s="108">
        <v>2006</v>
      </c>
      <c r="B1264" s="108">
        <v>33</v>
      </c>
      <c r="C1264" s="108" t="s">
        <v>30</v>
      </c>
      <c r="D1264" s="108">
        <v>546.87431213887999</v>
      </c>
      <c r="E1264" s="108">
        <v>37.203352148873797</v>
      </c>
      <c r="F1264" s="108" t="s">
        <v>136</v>
      </c>
      <c r="G1264" s="108">
        <v>55.805026187999999</v>
      </c>
      <c r="H1264" s="108">
        <v>1</v>
      </c>
    </row>
    <row r="1265" spans="1:8" ht="14">
      <c r="A1265" s="108">
        <v>2006</v>
      </c>
      <c r="B1265" s="108">
        <v>33</v>
      </c>
      <c r="C1265" s="108" t="s">
        <v>30</v>
      </c>
      <c r="D1265" s="108">
        <v>0</v>
      </c>
      <c r="E1265" s="108">
        <v>0.14704887983706699</v>
      </c>
      <c r="F1265" s="108" t="s">
        <v>137</v>
      </c>
      <c r="G1265" s="108">
        <v>0.22057331999999999</v>
      </c>
      <c r="H1265" s="108">
        <v>1</v>
      </c>
    </row>
    <row r="1266" spans="1:8" ht="14">
      <c r="A1266" s="108">
        <v>2006</v>
      </c>
      <c r="B1266" s="108">
        <v>33</v>
      </c>
      <c r="C1266" s="108" t="s">
        <v>30</v>
      </c>
      <c r="D1266" s="108">
        <v>33.8126878611195</v>
      </c>
      <c r="E1266" s="108">
        <v>3.5685989712890702</v>
      </c>
      <c r="F1266" s="108" t="s">
        <v>135</v>
      </c>
      <c r="G1266" s="108">
        <v>5.3528991330000002</v>
      </c>
      <c r="H1266" s="108">
        <v>1</v>
      </c>
    </row>
    <row r="1267" spans="1:8" ht="14">
      <c r="A1267" s="108">
        <v>2006</v>
      </c>
      <c r="B1267" s="108">
        <v>33</v>
      </c>
      <c r="C1267" s="108" t="s">
        <v>138</v>
      </c>
      <c r="D1267" s="108">
        <v>310.08375589320099</v>
      </c>
      <c r="E1267" s="108">
        <v>18.2174636425468</v>
      </c>
      <c r="F1267" s="108" t="s">
        <v>136</v>
      </c>
      <c r="G1267" s="108">
        <v>27.326198475999899</v>
      </c>
      <c r="H1267" s="108">
        <v>1</v>
      </c>
    </row>
    <row r="1268" spans="1:8" ht="14">
      <c r="A1268" s="108">
        <v>2006</v>
      </c>
      <c r="B1268" s="108">
        <v>33</v>
      </c>
      <c r="C1268" s="108" t="s">
        <v>138</v>
      </c>
      <c r="D1268" s="108">
        <v>28.030244106798001</v>
      </c>
      <c r="E1268" s="108">
        <v>1.63653635745311</v>
      </c>
      <c r="F1268" s="108" t="s">
        <v>135</v>
      </c>
      <c r="G1268" s="108">
        <v>2.4548047499999899</v>
      </c>
      <c r="H1268" s="108">
        <v>1</v>
      </c>
    </row>
    <row r="1269" spans="1:8" ht="14">
      <c r="A1269" s="108">
        <v>2006</v>
      </c>
      <c r="B1269" s="108">
        <v>33</v>
      </c>
      <c r="C1269" s="108" t="s">
        <v>139</v>
      </c>
      <c r="D1269" s="108">
        <v>236.790556245678</v>
      </c>
      <c r="E1269" s="108">
        <v>18.985888506326901</v>
      </c>
      <c r="F1269" s="108" t="s">
        <v>136</v>
      </c>
      <c r="G1269" s="108">
        <v>28.478827712000001</v>
      </c>
      <c r="H1269" s="108">
        <v>1</v>
      </c>
    </row>
    <row r="1270" spans="1:8" ht="14">
      <c r="A1270" s="108">
        <v>2006</v>
      </c>
      <c r="B1270" s="108">
        <v>33</v>
      </c>
      <c r="C1270" s="108" t="s">
        <v>139</v>
      </c>
      <c r="D1270" s="108">
        <v>0</v>
      </c>
      <c r="E1270" s="108">
        <v>0.14704887983706699</v>
      </c>
      <c r="F1270" s="108" t="s">
        <v>137</v>
      </c>
      <c r="G1270" s="108">
        <v>0.22057331999999999</v>
      </c>
      <c r="H1270" s="108">
        <v>1</v>
      </c>
    </row>
    <row r="1271" spans="1:8" ht="14">
      <c r="A1271" s="108">
        <v>2006</v>
      </c>
      <c r="B1271" s="108">
        <v>33</v>
      </c>
      <c r="C1271" s="108" t="s">
        <v>139</v>
      </c>
      <c r="D1271" s="108">
        <v>5.7824437543214398</v>
      </c>
      <c r="E1271" s="108">
        <v>1.93206261383596</v>
      </c>
      <c r="F1271" s="108" t="s">
        <v>135</v>
      </c>
      <c r="G1271" s="108">
        <v>2.8980943829999899</v>
      </c>
      <c r="H1271" s="108">
        <v>1</v>
      </c>
    </row>
    <row r="1272" spans="1:8" ht="14">
      <c r="A1272" s="108">
        <v>2006</v>
      </c>
      <c r="B1272" s="108">
        <v>34</v>
      </c>
      <c r="C1272" s="108" t="s">
        <v>30</v>
      </c>
      <c r="D1272" s="108">
        <v>1.30157537034684</v>
      </c>
      <c r="E1272" s="108">
        <v>0.16557461186790501</v>
      </c>
      <c r="F1272" s="108" t="s">
        <v>137</v>
      </c>
      <c r="G1272" s="108">
        <v>0.37254287999999902</v>
      </c>
      <c r="H1272" s="108">
        <v>1</v>
      </c>
    </row>
    <row r="1273" spans="1:8" ht="14">
      <c r="A1273" s="108">
        <v>2006</v>
      </c>
      <c r="B1273" s="108">
        <v>34</v>
      </c>
      <c r="C1273" s="108" t="s">
        <v>30</v>
      </c>
      <c r="D1273" s="108">
        <v>49.107542129551497</v>
      </c>
      <c r="E1273" s="108">
        <v>4.7442577757422502</v>
      </c>
      <c r="F1273" s="108" t="s">
        <v>135</v>
      </c>
      <c r="G1273" s="108">
        <v>10.674580796600001</v>
      </c>
      <c r="H1273" s="108">
        <v>1</v>
      </c>
    </row>
    <row r="1274" spans="1:8" ht="14">
      <c r="A1274" s="108">
        <v>2006</v>
      </c>
      <c r="B1274" s="108">
        <v>34</v>
      </c>
      <c r="C1274" s="108" t="s">
        <v>30</v>
      </c>
      <c r="D1274" s="108">
        <v>3406.9618825000998</v>
      </c>
      <c r="E1274" s="108">
        <v>255.805167612389</v>
      </c>
      <c r="F1274" s="108" t="s">
        <v>136</v>
      </c>
      <c r="G1274" s="108">
        <v>575.56164244060005</v>
      </c>
      <c r="H1274" s="108">
        <v>1</v>
      </c>
    </row>
    <row r="1275" spans="1:8" ht="14">
      <c r="A1275" s="108">
        <v>2006</v>
      </c>
      <c r="B1275" s="108">
        <v>34</v>
      </c>
      <c r="C1275" s="108" t="s">
        <v>138</v>
      </c>
      <c r="D1275" s="108">
        <v>31.919873042047101</v>
      </c>
      <c r="E1275" s="108">
        <v>2.1674013026837602</v>
      </c>
      <c r="F1275" s="108" t="s">
        <v>135</v>
      </c>
      <c r="G1275" s="108">
        <v>4.8766540599999999</v>
      </c>
      <c r="H1275" s="108">
        <v>1</v>
      </c>
    </row>
    <row r="1276" spans="1:8" ht="14">
      <c r="A1276" s="108">
        <v>2006</v>
      </c>
      <c r="B1276" s="108">
        <v>34</v>
      </c>
      <c r="C1276" s="108" t="s">
        <v>138</v>
      </c>
      <c r="D1276" s="108">
        <v>2431.4146755419702</v>
      </c>
      <c r="E1276" s="108">
        <v>130.953388470043</v>
      </c>
      <c r="F1276" s="108" t="s">
        <v>136</v>
      </c>
      <c r="G1276" s="108">
        <v>294.64511785799999</v>
      </c>
      <c r="H1276" s="108">
        <v>1</v>
      </c>
    </row>
    <row r="1277" spans="1:8" ht="14">
      <c r="A1277" s="108">
        <v>2006</v>
      </c>
      <c r="B1277" s="108">
        <v>34</v>
      </c>
      <c r="C1277" s="108" t="s">
        <v>138</v>
      </c>
      <c r="D1277" s="108">
        <v>1.2544514159742199</v>
      </c>
      <c r="E1277" s="108">
        <v>0.14721022727272701</v>
      </c>
      <c r="F1277" s="108" t="s">
        <v>137</v>
      </c>
      <c r="G1277" s="108">
        <v>0.33122303999999902</v>
      </c>
      <c r="H1277" s="108">
        <v>1</v>
      </c>
    </row>
    <row r="1278" spans="1:8" ht="14">
      <c r="A1278" s="108">
        <v>2006</v>
      </c>
      <c r="B1278" s="108">
        <v>34</v>
      </c>
      <c r="C1278" s="108" t="s">
        <v>139</v>
      </c>
      <c r="D1278" s="108">
        <v>975.54720695812296</v>
      </c>
      <c r="E1278" s="108">
        <v>124.851779142346</v>
      </c>
      <c r="F1278" s="108" t="s">
        <v>136</v>
      </c>
      <c r="G1278" s="108">
        <v>280.9165245826</v>
      </c>
      <c r="H1278" s="108">
        <v>1</v>
      </c>
    </row>
    <row r="1279" spans="1:8" ht="14">
      <c r="A1279" s="108">
        <v>2006</v>
      </c>
      <c r="B1279" s="108">
        <v>34</v>
      </c>
      <c r="C1279" s="108" t="s">
        <v>139</v>
      </c>
      <c r="D1279" s="108">
        <v>17.1876690875044</v>
      </c>
      <c r="E1279" s="108">
        <v>2.57685647305849</v>
      </c>
      <c r="F1279" s="108" t="s">
        <v>135</v>
      </c>
      <c r="G1279" s="108">
        <v>5.7979267365999902</v>
      </c>
      <c r="H1279" s="108">
        <v>1</v>
      </c>
    </row>
    <row r="1280" spans="1:8" ht="14">
      <c r="A1280" s="108">
        <v>2006</v>
      </c>
      <c r="B1280" s="108">
        <v>34</v>
      </c>
      <c r="C1280" s="108" t="s">
        <v>139</v>
      </c>
      <c r="D1280" s="108">
        <v>4.7123954372623497E-2</v>
      </c>
      <c r="E1280" s="108">
        <v>1.8364384595178501E-2</v>
      </c>
      <c r="F1280" s="108" t="s">
        <v>137</v>
      </c>
      <c r="G1280" s="108">
        <v>4.1319839999999997E-2</v>
      </c>
      <c r="H1280" s="108">
        <v>1</v>
      </c>
    </row>
    <row r="1281" spans="1:8" ht="14">
      <c r="A1281" s="108">
        <v>2006</v>
      </c>
      <c r="B1281" s="108">
        <v>51</v>
      </c>
      <c r="C1281" s="108" t="s">
        <v>30</v>
      </c>
      <c r="D1281" s="108">
        <v>37740.0018998331</v>
      </c>
      <c r="E1281" s="108">
        <v>3453.48084722981</v>
      </c>
      <c r="F1281" s="108" t="s">
        <v>136</v>
      </c>
      <c r="G1281" s="108"/>
      <c r="H1281" s="108">
        <v>1</v>
      </c>
    </row>
    <row r="1282" spans="1:8" ht="14">
      <c r="A1282" s="108">
        <v>2006</v>
      </c>
      <c r="B1282" s="108">
        <v>51</v>
      </c>
      <c r="C1282" s="108" t="s">
        <v>30</v>
      </c>
      <c r="D1282" s="108">
        <v>9042.1371001668504</v>
      </c>
      <c r="E1282" s="108">
        <v>712.29015277018505</v>
      </c>
      <c r="F1282" s="108" t="s">
        <v>135</v>
      </c>
      <c r="G1282" s="108"/>
      <c r="H1282" s="108">
        <v>1</v>
      </c>
    </row>
    <row r="1283" spans="1:8" ht="14">
      <c r="A1283" s="108">
        <v>2006</v>
      </c>
      <c r="B1283" s="108">
        <v>51</v>
      </c>
      <c r="C1283" s="108" t="s">
        <v>138</v>
      </c>
      <c r="D1283" s="108">
        <v>4488.2523928405799</v>
      </c>
      <c r="E1283" s="108">
        <v>350.08703956379901</v>
      </c>
      <c r="F1283" s="108" t="s">
        <v>135</v>
      </c>
      <c r="G1283" s="108"/>
      <c r="H1283" s="108">
        <v>1</v>
      </c>
    </row>
    <row r="1284" spans="1:8" ht="14">
      <c r="A1284" s="108">
        <v>2006</v>
      </c>
      <c r="B1284" s="108">
        <v>51</v>
      </c>
      <c r="C1284" s="108" t="s">
        <v>138</v>
      </c>
      <c r="D1284" s="108">
        <v>22201.828607159401</v>
      </c>
      <c r="E1284" s="108">
        <v>1707.4219604361899</v>
      </c>
      <c r="F1284" s="108" t="s">
        <v>136</v>
      </c>
      <c r="G1284" s="108"/>
      <c r="H1284" s="108">
        <v>1</v>
      </c>
    </row>
    <row r="1285" spans="1:8" ht="14">
      <c r="A1285" s="108">
        <v>2006</v>
      </c>
      <c r="B1285" s="108">
        <v>51</v>
      </c>
      <c r="C1285" s="108" t="s">
        <v>139</v>
      </c>
      <c r="D1285" s="108">
        <v>4553.8847073262596</v>
      </c>
      <c r="E1285" s="108">
        <v>362.20311320638598</v>
      </c>
      <c r="F1285" s="108" t="s">
        <v>135</v>
      </c>
      <c r="G1285" s="108"/>
      <c r="H1285" s="108">
        <v>1</v>
      </c>
    </row>
    <row r="1286" spans="1:8" ht="14">
      <c r="A1286" s="108">
        <v>2006</v>
      </c>
      <c r="B1286" s="108">
        <v>51</v>
      </c>
      <c r="C1286" s="108" t="s">
        <v>139</v>
      </c>
      <c r="D1286" s="108">
        <v>15538.1732926737</v>
      </c>
      <c r="E1286" s="108">
        <v>1746.0588867936101</v>
      </c>
      <c r="F1286" s="108" t="s">
        <v>136</v>
      </c>
      <c r="G1286" s="108"/>
      <c r="H1286" s="108">
        <v>1</v>
      </c>
    </row>
    <row r="1287" spans="1:8" ht="14">
      <c r="A1287" s="108">
        <v>2006</v>
      </c>
      <c r="B1287" s="108">
        <v>52</v>
      </c>
      <c r="C1287" s="108" t="s">
        <v>30</v>
      </c>
      <c r="D1287" s="108">
        <v>0</v>
      </c>
      <c r="E1287" s="108">
        <v>3.2000000000000001E-2</v>
      </c>
      <c r="F1287" s="108" t="s">
        <v>137</v>
      </c>
      <c r="G1287" s="108"/>
      <c r="H1287" s="108">
        <v>1</v>
      </c>
    </row>
    <row r="1288" spans="1:8" ht="14">
      <c r="A1288" s="108">
        <v>2006</v>
      </c>
      <c r="B1288" s="108">
        <v>52</v>
      </c>
      <c r="C1288" s="108" t="s">
        <v>30</v>
      </c>
      <c r="D1288" s="108">
        <v>0</v>
      </c>
      <c r="E1288" s="108">
        <v>1238.02946937156</v>
      </c>
      <c r="F1288" s="108" t="s">
        <v>135</v>
      </c>
      <c r="G1288" s="108"/>
      <c r="H1288" s="108">
        <v>1</v>
      </c>
    </row>
    <row r="1289" spans="1:8" ht="14">
      <c r="A1289" s="108">
        <v>2006</v>
      </c>
      <c r="B1289" s="108">
        <v>52</v>
      </c>
      <c r="C1289" s="108" t="s">
        <v>30</v>
      </c>
      <c r="D1289" s="108">
        <v>0</v>
      </c>
      <c r="E1289" s="108">
        <v>4923.6275306284297</v>
      </c>
      <c r="F1289" s="108" t="s">
        <v>136</v>
      </c>
      <c r="G1289" s="108"/>
      <c r="H1289" s="108">
        <v>1</v>
      </c>
    </row>
    <row r="1290" spans="1:8" ht="14">
      <c r="A1290" s="108">
        <v>2006</v>
      </c>
      <c r="B1290" s="108">
        <v>52</v>
      </c>
      <c r="C1290" s="108" t="s">
        <v>138</v>
      </c>
      <c r="D1290" s="108">
        <v>0</v>
      </c>
      <c r="E1290" s="108">
        <v>617.83318370825202</v>
      </c>
      <c r="F1290" s="108" t="s">
        <v>135</v>
      </c>
      <c r="G1290" s="108"/>
      <c r="H1290" s="108">
        <v>1</v>
      </c>
    </row>
    <row r="1291" spans="1:8" ht="14">
      <c r="A1291" s="108">
        <v>2006</v>
      </c>
      <c r="B1291" s="108">
        <v>52</v>
      </c>
      <c r="C1291" s="108" t="s">
        <v>138</v>
      </c>
      <c r="D1291" s="108">
        <v>0</v>
      </c>
      <c r="E1291" s="108">
        <v>2424.8998162917401</v>
      </c>
      <c r="F1291" s="108" t="s">
        <v>136</v>
      </c>
      <c r="G1291" s="108"/>
      <c r="H1291" s="108">
        <v>1</v>
      </c>
    </row>
    <row r="1292" spans="1:8" ht="14">
      <c r="A1292" s="108">
        <v>2006</v>
      </c>
      <c r="B1292" s="108">
        <v>52</v>
      </c>
      <c r="C1292" s="108" t="s">
        <v>139</v>
      </c>
      <c r="D1292" s="108">
        <v>0</v>
      </c>
      <c r="E1292" s="108">
        <v>3.2000000000000001E-2</v>
      </c>
      <c r="F1292" s="108" t="s">
        <v>137</v>
      </c>
      <c r="G1292" s="108"/>
      <c r="H1292" s="108">
        <v>1</v>
      </c>
    </row>
    <row r="1293" spans="1:8" ht="14">
      <c r="A1293" s="108">
        <v>2006</v>
      </c>
      <c r="B1293" s="108">
        <v>52</v>
      </c>
      <c r="C1293" s="108" t="s">
        <v>139</v>
      </c>
      <c r="D1293" s="108">
        <v>0</v>
      </c>
      <c r="E1293" s="108">
        <v>620.19628566331596</v>
      </c>
      <c r="F1293" s="108" t="s">
        <v>135</v>
      </c>
      <c r="G1293" s="108"/>
      <c r="H1293" s="108">
        <v>1</v>
      </c>
    </row>
    <row r="1294" spans="1:8" ht="14">
      <c r="A1294" s="108">
        <v>2006</v>
      </c>
      <c r="B1294" s="108">
        <v>52</v>
      </c>
      <c r="C1294" s="108" t="s">
        <v>139</v>
      </c>
      <c r="D1294" s="108">
        <v>0</v>
      </c>
      <c r="E1294" s="108">
        <v>2498.72771433668</v>
      </c>
      <c r="F1294" s="108" t="s">
        <v>136</v>
      </c>
      <c r="G1294" s="108"/>
      <c r="H1294" s="108">
        <v>1</v>
      </c>
    </row>
    <row r="1295" spans="1:8" ht="14">
      <c r="A1295" s="108">
        <v>2006</v>
      </c>
      <c r="B1295" s="108">
        <v>53</v>
      </c>
      <c r="C1295" s="108" t="s">
        <v>30</v>
      </c>
      <c r="D1295" s="108">
        <v>0</v>
      </c>
      <c r="E1295" s="108">
        <v>16.6425368807339</v>
      </c>
      <c r="F1295" s="108" t="s">
        <v>135</v>
      </c>
      <c r="G1295" s="108"/>
      <c r="H1295" s="108">
        <v>1</v>
      </c>
    </row>
    <row r="1296" spans="1:8" ht="14">
      <c r="A1296" s="108">
        <v>2006</v>
      </c>
      <c r="B1296" s="108">
        <v>53</v>
      </c>
      <c r="C1296" s="108" t="s">
        <v>30</v>
      </c>
      <c r="D1296" s="108">
        <v>0</v>
      </c>
      <c r="E1296" s="108">
        <v>141.66746311926599</v>
      </c>
      <c r="F1296" s="108" t="s">
        <v>136</v>
      </c>
      <c r="G1296" s="108"/>
      <c r="H1296" s="108">
        <v>1</v>
      </c>
    </row>
    <row r="1297" spans="1:8" ht="14">
      <c r="A1297" s="108">
        <v>2006</v>
      </c>
      <c r="B1297" s="108">
        <v>53</v>
      </c>
      <c r="C1297" s="108" t="s">
        <v>138</v>
      </c>
      <c r="D1297" s="108">
        <v>0</v>
      </c>
      <c r="E1297" s="108">
        <v>7.9029999999999996</v>
      </c>
      <c r="F1297" s="108" t="s">
        <v>135</v>
      </c>
      <c r="G1297" s="108"/>
      <c r="H1297" s="108">
        <v>1</v>
      </c>
    </row>
    <row r="1298" spans="1:8" ht="14">
      <c r="A1298" s="108">
        <v>2006</v>
      </c>
      <c r="B1298" s="108">
        <v>53</v>
      </c>
      <c r="C1298" s="108" t="s">
        <v>138</v>
      </c>
      <c r="D1298" s="108">
        <v>0</v>
      </c>
      <c r="E1298" s="108">
        <v>71.605999999999895</v>
      </c>
      <c r="F1298" s="108" t="s">
        <v>136</v>
      </c>
      <c r="G1298" s="108"/>
      <c r="H1298" s="108">
        <v>1</v>
      </c>
    </row>
    <row r="1299" spans="1:8" ht="14">
      <c r="A1299" s="108">
        <v>2006</v>
      </c>
      <c r="B1299" s="108">
        <v>53</v>
      </c>
      <c r="C1299" s="108" t="s">
        <v>139</v>
      </c>
      <c r="D1299" s="108">
        <v>0</v>
      </c>
      <c r="E1299" s="108">
        <v>8.7395368807339402</v>
      </c>
      <c r="F1299" s="108" t="s">
        <v>135</v>
      </c>
      <c r="G1299" s="108"/>
      <c r="H1299" s="108">
        <v>1</v>
      </c>
    </row>
    <row r="1300" spans="1:8" ht="14">
      <c r="A1300" s="108">
        <v>2006</v>
      </c>
      <c r="B1300" s="108">
        <v>53</v>
      </c>
      <c r="C1300" s="108" t="s">
        <v>139</v>
      </c>
      <c r="D1300" s="108">
        <v>0</v>
      </c>
      <c r="E1300" s="108">
        <v>70.061463119265994</v>
      </c>
      <c r="F1300" s="108" t="s">
        <v>136</v>
      </c>
      <c r="G1300" s="108"/>
      <c r="H1300" s="108">
        <v>1</v>
      </c>
    </row>
    <row r="1301" spans="1:8" ht="14">
      <c r="A1301" s="108">
        <v>2006</v>
      </c>
      <c r="B1301" s="108">
        <v>54</v>
      </c>
      <c r="C1301" s="108" t="s">
        <v>30</v>
      </c>
      <c r="D1301" s="108">
        <v>0.33800000000000002</v>
      </c>
      <c r="E1301" s="108">
        <v>0.67500000000000004</v>
      </c>
      <c r="F1301" s="108" t="s">
        <v>137</v>
      </c>
      <c r="G1301" s="108"/>
      <c r="H1301" s="108">
        <v>1</v>
      </c>
    </row>
    <row r="1302" spans="1:8" ht="14">
      <c r="A1302" s="108">
        <v>2006</v>
      </c>
      <c r="B1302" s="108">
        <v>54</v>
      </c>
      <c r="C1302" s="108" t="s">
        <v>30</v>
      </c>
      <c r="D1302" s="108">
        <v>5384.2615607829202</v>
      </c>
      <c r="E1302" s="108">
        <v>3761.52253906653</v>
      </c>
      <c r="F1302" s="108" t="s">
        <v>136</v>
      </c>
      <c r="G1302" s="108"/>
      <c r="H1302" s="108">
        <v>1</v>
      </c>
    </row>
    <row r="1303" spans="1:8" ht="14">
      <c r="A1303" s="108">
        <v>2006</v>
      </c>
      <c r="B1303" s="108">
        <v>54</v>
      </c>
      <c r="C1303" s="108" t="s">
        <v>30</v>
      </c>
      <c r="D1303" s="108">
        <v>180.97943921708099</v>
      </c>
      <c r="E1303" s="108">
        <v>144.013460933468</v>
      </c>
      <c r="F1303" s="108" t="s">
        <v>135</v>
      </c>
      <c r="G1303" s="108"/>
      <c r="H1303" s="108">
        <v>1</v>
      </c>
    </row>
    <row r="1304" spans="1:8" ht="14">
      <c r="A1304" s="108">
        <v>2006</v>
      </c>
      <c r="B1304" s="108">
        <v>54</v>
      </c>
      <c r="C1304" s="108" t="s">
        <v>138</v>
      </c>
      <c r="D1304" s="108">
        <v>112.197033998557</v>
      </c>
      <c r="E1304" s="108">
        <v>82.935560088621202</v>
      </c>
      <c r="F1304" s="108" t="s">
        <v>135</v>
      </c>
      <c r="G1304" s="108"/>
      <c r="H1304" s="108">
        <v>1</v>
      </c>
    </row>
    <row r="1305" spans="1:8" ht="14">
      <c r="A1305" s="108">
        <v>2006</v>
      </c>
      <c r="B1305" s="108">
        <v>54</v>
      </c>
      <c r="C1305" s="108" t="s">
        <v>138</v>
      </c>
      <c r="D1305" s="108">
        <v>0.33800000000000002</v>
      </c>
      <c r="E1305" s="108">
        <v>0.67500000000000004</v>
      </c>
      <c r="F1305" s="108" t="s">
        <v>137</v>
      </c>
      <c r="G1305" s="108"/>
      <c r="H1305" s="108">
        <v>1</v>
      </c>
    </row>
    <row r="1306" spans="1:8" ht="14">
      <c r="A1306" s="108">
        <v>2006</v>
      </c>
      <c r="B1306" s="108">
        <v>54</v>
      </c>
      <c r="C1306" s="108" t="s">
        <v>138</v>
      </c>
      <c r="D1306" s="108">
        <v>3225.02196600144</v>
      </c>
      <c r="E1306" s="108">
        <v>2365.2714399113702</v>
      </c>
      <c r="F1306" s="108" t="s">
        <v>136</v>
      </c>
      <c r="G1306" s="108"/>
      <c r="H1306" s="108">
        <v>1</v>
      </c>
    </row>
    <row r="1307" spans="1:8" ht="14">
      <c r="A1307" s="108">
        <v>2006</v>
      </c>
      <c r="B1307" s="108">
        <v>54</v>
      </c>
      <c r="C1307" s="108" t="s">
        <v>139</v>
      </c>
      <c r="D1307" s="108">
        <v>2159.2395947814698</v>
      </c>
      <c r="E1307" s="108">
        <v>1396.2510991551501</v>
      </c>
      <c r="F1307" s="108" t="s">
        <v>136</v>
      </c>
      <c r="G1307" s="108"/>
      <c r="H1307" s="108">
        <v>1</v>
      </c>
    </row>
    <row r="1308" spans="1:8" ht="14">
      <c r="A1308" s="108">
        <v>2006</v>
      </c>
      <c r="B1308" s="108">
        <v>54</v>
      </c>
      <c r="C1308" s="108" t="s">
        <v>139</v>
      </c>
      <c r="D1308" s="108">
        <v>68.782405218523706</v>
      </c>
      <c r="E1308" s="108">
        <v>61.077900844847299</v>
      </c>
      <c r="F1308" s="108" t="s">
        <v>135</v>
      </c>
      <c r="G1308" s="108"/>
      <c r="H1308" s="108">
        <v>1</v>
      </c>
    </row>
    <row r="1309" spans="1:8" ht="14">
      <c r="A1309" s="108">
        <v>2006</v>
      </c>
      <c r="B1309" s="108">
        <v>56</v>
      </c>
      <c r="C1309" s="108" t="s">
        <v>30</v>
      </c>
      <c r="D1309" s="108">
        <v>0</v>
      </c>
      <c r="E1309" s="108">
        <v>0</v>
      </c>
      <c r="F1309" s="108" t="s">
        <v>135</v>
      </c>
      <c r="G1309" s="108"/>
      <c r="H1309" s="108">
        <v>1</v>
      </c>
    </row>
    <row r="1310" spans="1:8" ht="14">
      <c r="A1310" s="108">
        <v>2006</v>
      </c>
      <c r="B1310" s="108">
        <v>56</v>
      </c>
      <c r="C1310" s="108" t="s">
        <v>138</v>
      </c>
      <c r="D1310" s="108">
        <v>0</v>
      </c>
      <c r="E1310" s="108">
        <v>0</v>
      </c>
      <c r="F1310" s="108" t="s">
        <v>135</v>
      </c>
      <c r="G1310" s="108"/>
      <c r="H1310" s="108">
        <v>1</v>
      </c>
    </row>
    <row r="1311" spans="1:8" ht="14">
      <c r="A1311" s="108">
        <v>2006</v>
      </c>
      <c r="B1311" s="108">
        <v>59</v>
      </c>
      <c r="C1311" s="108" t="s">
        <v>30</v>
      </c>
      <c r="D1311" s="108">
        <v>250.48699999999999</v>
      </c>
      <c r="E1311" s="108">
        <v>21.704999999999998</v>
      </c>
      <c r="F1311" s="108" t="s">
        <v>136</v>
      </c>
      <c r="G1311" s="108"/>
      <c r="H1311" s="108">
        <v>1</v>
      </c>
    </row>
    <row r="1312" spans="1:8" ht="14">
      <c r="A1312" s="108">
        <v>2006</v>
      </c>
      <c r="B1312" s="108">
        <v>59</v>
      </c>
      <c r="C1312" s="108" t="s">
        <v>30</v>
      </c>
      <c r="D1312" s="108">
        <v>14.733000000000001</v>
      </c>
      <c r="E1312" s="108">
        <v>5.968</v>
      </c>
      <c r="F1312" s="108" t="s">
        <v>135</v>
      </c>
      <c r="G1312" s="108"/>
      <c r="H1312" s="108">
        <v>1</v>
      </c>
    </row>
    <row r="1313" spans="1:8" ht="14">
      <c r="A1313" s="108">
        <v>2006</v>
      </c>
      <c r="B1313" s="108">
        <v>59</v>
      </c>
      <c r="C1313" s="108" t="s">
        <v>30</v>
      </c>
      <c r="D1313" s="108">
        <v>2.1520000000000001</v>
      </c>
      <c r="E1313" s="108">
        <v>0.111</v>
      </c>
      <c r="F1313" s="108" t="s">
        <v>137</v>
      </c>
      <c r="G1313" s="108"/>
      <c r="H1313" s="108">
        <v>1</v>
      </c>
    </row>
    <row r="1314" spans="1:8" ht="14">
      <c r="A1314" s="108">
        <v>2006</v>
      </c>
      <c r="B1314" s="108">
        <v>59</v>
      </c>
      <c r="C1314" s="108" t="s">
        <v>138</v>
      </c>
      <c r="D1314" s="108">
        <v>30.103000000000002</v>
      </c>
      <c r="E1314" s="108">
        <v>2.0579999999999901</v>
      </c>
      <c r="F1314" s="108" t="s">
        <v>136</v>
      </c>
      <c r="G1314" s="108"/>
      <c r="H1314" s="108">
        <v>1</v>
      </c>
    </row>
    <row r="1315" spans="1:8" ht="14">
      <c r="A1315" s="108">
        <v>2006</v>
      </c>
      <c r="B1315" s="108">
        <v>59</v>
      </c>
      <c r="C1315" s="108" t="s">
        <v>138</v>
      </c>
      <c r="D1315" s="108">
        <v>8.7680000000000007</v>
      </c>
      <c r="E1315" s="108">
        <v>3.7639999999999998</v>
      </c>
      <c r="F1315" s="108" t="s">
        <v>135</v>
      </c>
      <c r="G1315" s="108"/>
      <c r="H1315" s="108">
        <v>1</v>
      </c>
    </row>
    <row r="1316" spans="1:8" ht="14">
      <c r="A1316" s="108">
        <v>2006</v>
      </c>
      <c r="B1316" s="108">
        <v>59</v>
      </c>
      <c r="C1316" s="108" t="s">
        <v>139</v>
      </c>
      <c r="D1316" s="108">
        <v>5.9649999999999901</v>
      </c>
      <c r="E1316" s="108">
        <v>2.2040000000000002</v>
      </c>
      <c r="F1316" s="108" t="s">
        <v>135</v>
      </c>
      <c r="G1316" s="108"/>
      <c r="H1316" s="108">
        <v>1</v>
      </c>
    </row>
    <row r="1317" spans="1:8" ht="14">
      <c r="A1317" s="108">
        <v>2006</v>
      </c>
      <c r="B1317" s="108">
        <v>59</v>
      </c>
      <c r="C1317" s="108" t="s">
        <v>139</v>
      </c>
      <c r="D1317" s="108">
        <v>2.1520000000000001</v>
      </c>
      <c r="E1317" s="108">
        <v>0.111</v>
      </c>
      <c r="F1317" s="108" t="s">
        <v>137</v>
      </c>
      <c r="G1317" s="108"/>
      <c r="H1317" s="108">
        <v>1</v>
      </c>
    </row>
    <row r="1318" spans="1:8" ht="14">
      <c r="A1318" s="108">
        <v>2006</v>
      </c>
      <c r="B1318" s="108">
        <v>59</v>
      </c>
      <c r="C1318" s="108" t="s">
        <v>139</v>
      </c>
      <c r="D1318" s="108">
        <v>220.38399999999999</v>
      </c>
      <c r="E1318" s="108">
        <v>19.646999999999998</v>
      </c>
      <c r="F1318" s="108" t="s">
        <v>136</v>
      </c>
      <c r="G1318" s="108"/>
      <c r="H1318" s="108">
        <v>1</v>
      </c>
    </row>
    <row r="1319" spans="1:8" ht="14">
      <c r="A1319" s="108">
        <v>2006</v>
      </c>
      <c r="B1319" s="108">
        <v>61</v>
      </c>
      <c r="C1319" s="108" t="s">
        <v>30</v>
      </c>
      <c r="D1319" s="108">
        <v>13459.453471163701</v>
      </c>
      <c r="E1319" s="108">
        <v>1063.6008097489</v>
      </c>
      <c r="F1319" s="108" t="s">
        <v>135</v>
      </c>
      <c r="G1319" s="108"/>
      <c r="H1319" s="108">
        <v>1</v>
      </c>
    </row>
    <row r="1320" spans="1:8" ht="14">
      <c r="A1320" s="108">
        <v>2006</v>
      </c>
      <c r="B1320" s="108">
        <v>61</v>
      </c>
      <c r="C1320" s="108" t="s">
        <v>30</v>
      </c>
      <c r="D1320" s="108">
        <v>25816.385528836199</v>
      </c>
      <c r="E1320" s="108">
        <v>1847.94819025109</v>
      </c>
      <c r="F1320" s="108" t="s">
        <v>136</v>
      </c>
      <c r="G1320" s="108"/>
      <c r="H1320" s="108">
        <v>1</v>
      </c>
    </row>
    <row r="1321" spans="1:8" ht="14">
      <c r="A1321" s="108">
        <v>2006</v>
      </c>
      <c r="B1321" s="108">
        <v>61</v>
      </c>
      <c r="C1321" s="108" t="s">
        <v>138</v>
      </c>
      <c r="D1321" s="108">
        <v>6873.7200683970004</v>
      </c>
      <c r="E1321" s="108">
        <v>529.27014460500197</v>
      </c>
      <c r="F1321" s="108" t="s">
        <v>135</v>
      </c>
      <c r="G1321" s="108"/>
      <c r="H1321" s="108">
        <v>1</v>
      </c>
    </row>
    <row r="1322" spans="1:8" ht="14">
      <c r="A1322" s="108">
        <v>2006</v>
      </c>
      <c r="B1322" s="108">
        <v>61</v>
      </c>
      <c r="C1322" s="108" t="s">
        <v>138</v>
      </c>
      <c r="D1322" s="108">
        <v>15289.055931602899</v>
      </c>
      <c r="E1322" s="108">
        <v>977.94185539499699</v>
      </c>
      <c r="F1322" s="108" t="s">
        <v>136</v>
      </c>
      <c r="G1322" s="108"/>
      <c r="H1322" s="108">
        <v>1</v>
      </c>
    </row>
    <row r="1323" spans="1:8" ht="14">
      <c r="A1323" s="108">
        <v>2006</v>
      </c>
      <c r="B1323" s="108">
        <v>61</v>
      </c>
      <c r="C1323" s="108" t="s">
        <v>139</v>
      </c>
      <c r="D1323" s="108">
        <v>10527.3295972332</v>
      </c>
      <c r="E1323" s="108">
        <v>870.00633485609603</v>
      </c>
      <c r="F1323" s="108" t="s">
        <v>136</v>
      </c>
      <c r="G1323" s="108"/>
      <c r="H1323" s="108">
        <v>1</v>
      </c>
    </row>
    <row r="1324" spans="1:8" ht="14">
      <c r="A1324" s="108">
        <v>2006</v>
      </c>
      <c r="B1324" s="108">
        <v>61</v>
      </c>
      <c r="C1324" s="108" t="s">
        <v>139</v>
      </c>
      <c r="D1324" s="108">
        <v>6585.7334027667403</v>
      </c>
      <c r="E1324" s="108">
        <v>534.33066514390305</v>
      </c>
      <c r="F1324" s="108" t="s">
        <v>135</v>
      </c>
      <c r="G1324" s="108"/>
      <c r="H1324" s="108">
        <v>1</v>
      </c>
    </row>
    <row r="1325" spans="1:8" ht="14">
      <c r="A1325" s="108">
        <v>2006</v>
      </c>
      <c r="B1325" s="108">
        <v>62</v>
      </c>
      <c r="C1325" s="108" t="s">
        <v>30</v>
      </c>
      <c r="D1325" s="108">
        <v>47.716000000000001</v>
      </c>
      <c r="E1325" s="108">
        <v>31.9729999999999</v>
      </c>
      <c r="F1325" s="108" t="s">
        <v>135</v>
      </c>
      <c r="G1325" s="108"/>
      <c r="H1325" s="108">
        <v>1</v>
      </c>
    </row>
    <row r="1326" spans="1:8" ht="14">
      <c r="A1326" s="108">
        <v>2006</v>
      </c>
      <c r="B1326" s="108">
        <v>62</v>
      </c>
      <c r="C1326" s="108" t="s">
        <v>30</v>
      </c>
      <c r="D1326" s="108">
        <v>1.728</v>
      </c>
      <c r="E1326" s="108">
        <v>0.32800000000000001</v>
      </c>
      <c r="F1326" s="108" t="s">
        <v>137</v>
      </c>
      <c r="G1326" s="108"/>
      <c r="H1326" s="108">
        <v>1</v>
      </c>
    </row>
    <row r="1327" spans="1:8" ht="14">
      <c r="A1327" s="108">
        <v>2006</v>
      </c>
      <c r="B1327" s="108">
        <v>62</v>
      </c>
      <c r="C1327" s="108" t="s">
        <v>30</v>
      </c>
      <c r="D1327" s="108">
        <v>993.39700000000005</v>
      </c>
      <c r="E1327" s="108">
        <v>85.049000000000007</v>
      </c>
      <c r="F1327" s="108" t="s">
        <v>136</v>
      </c>
      <c r="G1327" s="108"/>
      <c r="H1327" s="108">
        <v>1</v>
      </c>
    </row>
    <row r="1328" spans="1:8" ht="14">
      <c r="A1328" s="108">
        <v>2006</v>
      </c>
      <c r="B1328" s="108">
        <v>62</v>
      </c>
      <c r="C1328" s="108" t="s">
        <v>138</v>
      </c>
      <c r="D1328" s="108">
        <v>20.715999999999902</v>
      </c>
      <c r="E1328" s="108">
        <v>11.206</v>
      </c>
      <c r="F1328" s="108" t="s">
        <v>135</v>
      </c>
      <c r="G1328" s="108"/>
      <c r="H1328" s="108">
        <v>1</v>
      </c>
    </row>
    <row r="1329" spans="1:8" ht="14">
      <c r="A1329" s="108">
        <v>2006</v>
      </c>
      <c r="B1329" s="108">
        <v>62</v>
      </c>
      <c r="C1329" s="108" t="s">
        <v>138</v>
      </c>
      <c r="D1329" s="108">
        <v>801.60599999999999</v>
      </c>
      <c r="E1329" s="108">
        <v>56.634</v>
      </c>
      <c r="F1329" s="108" t="s">
        <v>136</v>
      </c>
      <c r="G1329" s="108"/>
      <c r="H1329" s="108">
        <v>1</v>
      </c>
    </row>
    <row r="1330" spans="1:8" ht="14">
      <c r="A1330" s="108">
        <v>2006</v>
      </c>
      <c r="B1330" s="108">
        <v>62</v>
      </c>
      <c r="C1330" s="108" t="s">
        <v>138</v>
      </c>
      <c r="D1330" s="108">
        <v>0.83599999999999997</v>
      </c>
      <c r="E1330" s="108">
        <v>0.17499999999999999</v>
      </c>
      <c r="F1330" s="108" t="s">
        <v>137</v>
      </c>
      <c r="G1330" s="108"/>
      <c r="H1330" s="108">
        <v>1</v>
      </c>
    </row>
    <row r="1331" spans="1:8" ht="14">
      <c r="A1331" s="108">
        <v>2006</v>
      </c>
      <c r="B1331" s="108">
        <v>62</v>
      </c>
      <c r="C1331" s="108" t="s">
        <v>139</v>
      </c>
      <c r="D1331" s="108">
        <v>0.89200000000000002</v>
      </c>
      <c r="E1331" s="108">
        <v>0.153</v>
      </c>
      <c r="F1331" s="108" t="s">
        <v>137</v>
      </c>
      <c r="G1331" s="108"/>
      <c r="H1331" s="108">
        <v>1</v>
      </c>
    </row>
    <row r="1332" spans="1:8" ht="14">
      <c r="A1332" s="108">
        <v>2006</v>
      </c>
      <c r="B1332" s="108">
        <v>62</v>
      </c>
      <c r="C1332" s="108" t="s">
        <v>139</v>
      </c>
      <c r="D1332" s="108">
        <v>191.790999999999</v>
      </c>
      <c r="E1332" s="108">
        <v>28.414999999999999</v>
      </c>
      <c r="F1332" s="108" t="s">
        <v>136</v>
      </c>
      <c r="G1332" s="108"/>
      <c r="H1332" s="108">
        <v>1</v>
      </c>
    </row>
    <row r="1333" spans="1:8" ht="14">
      <c r="A1333" s="108">
        <v>2006</v>
      </c>
      <c r="B1333" s="108">
        <v>62</v>
      </c>
      <c r="C1333" s="108" t="s">
        <v>139</v>
      </c>
      <c r="D1333" s="108">
        <v>27</v>
      </c>
      <c r="E1333" s="108">
        <v>20.766999999999999</v>
      </c>
      <c r="F1333" s="108" t="s">
        <v>135</v>
      </c>
      <c r="G1333" s="108"/>
      <c r="H1333" s="108">
        <v>1</v>
      </c>
    </row>
    <row r="1334" spans="1:8" ht="14">
      <c r="A1334" s="108">
        <v>2006</v>
      </c>
      <c r="B1334" s="108">
        <v>63</v>
      </c>
      <c r="C1334" s="108" t="s">
        <v>30</v>
      </c>
      <c r="D1334" s="108">
        <v>10832.484</v>
      </c>
      <c r="E1334" s="108">
        <v>664.54899999999998</v>
      </c>
      <c r="F1334" s="108" t="s">
        <v>136</v>
      </c>
      <c r="G1334" s="108"/>
      <c r="H1334" s="108">
        <v>1</v>
      </c>
    </row>
    <row r="1335" spans="1:8" ht="14">
      <c r="A1335" s="108">
        <v>2006</v>
      </c>
      <c r="B1335" s="108">
        <v>63</v>
      </c>
      <c r="C1335" s="108" t="s">
        <v>30</v>
      </c>
      <c r="D1335" s="108">
        <v>4.9000000000000004</v>
      </c>
      <c r="E1335" s="108">
        <v>3.4</v>
      </c>
      <c r="F1335" s="108" t="s">
        <v>135</v>
      </c>
      <c r="G1335" s="108"/>
      <c r="H1335" s="108">
        <v>1</v>
      </c>
    </row>
    <row r="1336" spans="1:8" ht="14">
      <c r="A1336" s="108">
        <v>2006</v>
      </c>
      <c r="B1336" s="108">
        <v>63</v>
      </c>
      <c r="C1336" s="108" t="s">
        <v>138</v>
      </c>
      <c r="D1336" s="108">
        <v>4.8</v>
      </c>
      <c r="E1336" s="108">
        <v>2.2999999999999998</v>
      </c>
      <c r="F1336" s="108" t="s">
        <v>135</v>
      </c>
      <c r="G1336" s="108"/>
      <c r="H1336" s="108">
        <v>1</v>
      </c>
    </row>
    <row r="1337" spans="1:8" ht="14">
      <c r="A1337" s="108">
        <v>2006</v>
      </c>
      <c r="B1337" s="108">
        <v>63</v>
      </c>
      <c r="C1337" s="108" t="s">
        <v>138</v>
      </c>
      <c r="D1337" s="108">
        <v>7759.2569999999996</v>
      </c>
      <c r="E1337" s="108">
        <v>377.361999999999</v>
      </c>
      <c r="F1337" s="108" t="s">
        <v>136</v>
      </c>
      <c r="G1337" s="108"/>
      <c r="H1337" s="108">
        <v>1</v>
      </c>
    </row>
    <row r="1338" spans="1:8" ht="14">
      <c r="A1338" s="108">
        <v>2006</v>
      </c>
      <c r="B1338" s="108">
        <v>63</v>
      </c>
      <c r="C1338" s="108" t="s">
        <v>139</v>
      </c>
      <c r="D1338" s="108">
        <v>0.1</v>
      </c>
      <c r="E1338" s="108">
        <v>1.1000000000000001</v>
      </c>
      <c r="F1338" s="108" t="s">
        <v>135</v>
      </c>
      <c r="G1338" s="108"/>
      <c r="H1338" s="108">
        <v>1</v>
      </c>
    </row>
    <row r="1339" spans="1:8" ht="14">
      <c r="A1339" s="108">
        <v>2006</v>
      </c>
      <c r="B1339" s="108">
        <v>63</v>
      </c>
      <c r="C1339" s="108" t="s">
        <v>139</v>
      </c>
      <c r="D1339" s="108">
        <v>3073.2269999999999</v>
      </c>
      <c r="E1339" s="108">
        <v>287.18700000000001</v>
      </c>
      <c r="F1339" s="108" t="s">
        <v>136</v>
      </c>
      <c r="G1339" s="108"/>
      <c r="H1339" s="108">
        <v>1</v>
      </c>
    </row>
    <row r="1340" spans="1:8" ht="14">
      <c r="A1340" s="108">
        <v>2006</v>
      </c>
      <c r="B1340" s="108">
        <v>69</v>
      </c>
      <c r="C1340" s="108" t="s">
        <v>30</v>
      </c>
      <c r="D1340" s="108">
        <v>393.71199999999999</v>
      </c>
      <c r="E1340" s="108">
        <v>29.858999999999899</v>
      </c>
      <c r="F1340" s="108" t="s">
        <v>135</v>
      </c>
      <c r="G1340" s="108"/>
      <c r="H1340" s="108">
        <v>1</v>
      </c>
    </row>
    <row r="1341" spans="1:8" ht="14">
      <c r="A1341" s="108">
        <v>2006</v>
      </c>
      <c r="B1341" s="108">
        <v>69</v>
      </c>
      <c r="C1341" s="108" t="s">
        <v>30</v>
      </c>
      <c r="D1341" s="108">
        <v>92.433999999999997</v>
      </c>
      <c r="E1341" s="108">
        <v>7.4450000000000003</v>
      </c>
      <c r="F1341" s="108" t="s">
        <v>136</v>
      </c>
      <c r="G1341" s="108"/>
      <c r="H1341" s="108">
        <v>1</v>
      </c>
    </row>
    <row r="1342" spans="1:8" ht="14">
      <c r="A1342" s="108">
        <v>2006</v>
      </c>
      <c r="B1342" s="108">
        <v>69</v>
      </c>
      <c r="C1342" s="108" t="s">
        <v>30</v>
      </c>
      <c r="D1342" s="108">
        <v>5.56</v>
      </c>
      <c r="E1342" s="108">
        <v>3.7069999999999999</v>
      </c>
      <c r="F1342" s="108" t="s">
        <v>137</v>
      </c>
      <c r="G1342" s="108"/>
      <c r="H1342" s="108">
        <v>1</v>
      </c>
    </row>
    <row r="1343" spans="1:8" ht="14">
      <c r="A1343" s="108">
        <v>2006</v>
      </c>
      <c r="B1343" s="108">
        <v>69</v>
      </c>
      <c r="C1343" s="108" t="s">
        <v>138</v>
      </c>
      <c r="D1343" s="108">
        <v>5.56</v>
      </c>
      <c r="E1343" s="108">
        <v>3.7069999999999999</v>
      </c>
      <c r="F1343" s="108" t="s">
        <v>137</v>
      </c>
      <c r="G1343" s="108"/>
      <c r="H1343" s="108">
        <v>1</v>
      </c>
    </row>
    <row r="1344" spans="1:8" ht="14">
      <c r="A1344" s="108">
        <v>2006</v>
      </c>
      <c r="B1344" s="108">
        <v>69</v>
      </c>
      <c r="C1344" s="108" t="s">
        <v>138</v>
      </c>
      <c r="D1344" s="108">
        <v>38.747999999999898</v>
      </c>
      <c r="E1344" s="108">
        <v>2.8820000000000001</v>
      </c>
      <c r="F1344" s="108" t="s">
        <v>136</v>
      </c>
      <c r="G1344" s="108"/>
      <c r="H1344" s="108">
        <v>1</v>
      </c>
    </row>
    <row r="1345" spans="1:8" ht="14">
      <c r="A1345" s="108">
        <v>2006</v>
      </c>
      <c r="B1345" s="108">
        <v>69</v>
      </c>
      <c r="C1345" s="108" t="s">
        <v>138</v>
      </c>
      <c r="D1345" s="108">
        <v>198.159999999999</v>
      </c>
      <c r="E1345" s="108">
        <v>15.973000000000001</v>
      </c>
      <c r="F1345" s="108" t="s">
        <v>135</v>
      </c>
      <c r="G1345" s="108"/>
      <c r="H1345" s="108">
        <v>1</v>
      </c>
    </row>
    <row r="1346" spans="1:8" ht="14">
      <c r="A1346" s="108">
        <v>2006</v>
      </c>
      <c r="B1346" s="108">
        <v>69</v>
      </c>
      <c r="C1346" s="108" t="s">
        <v>139</v>
      </c>
      <c r="D1346" s="108">
        <v>195.551999999999</v>
      </c>
      <c r="E1346" s="108">
        <v>13.8859999999999</v>
      </c>
      <c r="F1346" s="108" t="s">
        <v>135</v>
      </c>
      <c r="G1346" s="108"/>
      <c r="H1346" s="108">
        <v>1</v>
      </c>
    </row>
    <row r="1347" spans="1:8" ht="14">
      <c r="A1347" s="108">
        <v>2006</v>
      </c>
      <c r="B1347" s="108">
        <v>69</v>
      </c>
      <c r="C1347" s="108" t="s">
        <v>139</v>
      </c>
      <c r="D1347" s="108">
        <v>53.686</v>
      </c>
      <c r="E1347" s="108">
        <v>4.5629999999999997</v>
      </c>
      <c r="F1347" s="108" t="s">
        <v>136</v>
      </c>
      <c r="G1347" s="108"/>
      <c r="H1347" s="108">
        <v>1</v>
      </c>
    </row>
    <row r="1348" spans="1:8" ht="14">
      <c r="A1348" s="108">
        <v>2006</v>
      </c>
      <c r="B1348" s="108">
        <v>91</v>
      </c>
      <c r="C1348" s="108" t="s">
        <v>30</v>
      </c>
      <c r="D1348" s="108">
        <v>8869.5904535359095</v>
      </c>
      <c r="E1348" s="108">
        <v>0</v>
      </c>
      <c r="F1348" s="108" t="s">
        <v>136</v>
      </c>
      <c r="G1348" s="108"/>
      <c r="H1348" s="108">
        <v>1</v>
      </c>
    </row>
    <row r="1349" spans="1:8" ht="14">
      <c r="A1349" s="108">
        <v>2006</v>
      </c>
      <c r="B1349" s="108">
        <v>91</v>
      </c>
      <c r="C1349" s="108" t="s">
        <v>30</v>
      </c>
      <c r="D1349" s="108">
        <v>9.8610000000000007</v>
      </c>
      <c r="E1349" s="108">
        <v>0</v>
      </c>
      <c r="F1349" s="108" t="s">
        <v>137</v>
      </c>
      <c r="G1349" s="108"/>
      <c r="H1349" s="108">
        <v>1</v>
      </c>
    </row>
    <row r="1350" spans="1:8" ht="14">
      <c r="A1350" s="108">
        <v>2006</v>
      </c>
      <c r="B1350" s="108">
        <v>91</v>
      </c>
      <c r="C1350" s="108" t="s">
        <v>30</v>
      </c>
      <c r="D1350" s="108">
        <v>14.764546464083301</v>
      </c>
      <c r="E1350" s="108">
        <v>0</v>
      </c>
      <c r="F1350" s="108" t="s">
        <v>135</v>
      </c>
      <c r="G1350" s="108"/>
      <c r="H1350" s="108">
        <v>1</v>
      </c>
    </row>
    <row r="1351" spans="1:8" ht="14">
      <c r="A1351" s="108">
        <v>2006</v>
      </c>
      <c r="B1351" s="108">
        <v>91</v>
      </c>
      <c r="C1351" s="108" t="s">
        <v>138</v>
      </c>
      <c r="D1351" s="108">
        <v>8444.3818582487493</v>
      </c>
      <c r="E1351" s="108">
        <v>0</v>
      </c>
      <c r="F1351" s="108" t="s">
        <v>136</v>
      </c>
      <c r="G1351" s="108"/>
      <c r="H1351" s="108">
        <v>1</v>
      </c>
    </row>
    <row r="1352" spans="1:8" ht="14">
      <c r="A1352" s="108">
        <v>2006</v>
      </c>
      <c r="B1352" s="108">
        <v>91</v>
      </c>
      <c r="C1352" s="108" t="s">
        <v>138</v>
      </c>
      <c r="D1352" s="108">
        <v>9.5921417512396605</v>
      </c>
      <c r="E1352" s="108">
        <v>0</v>
      </c>
      <c r="F1352" s="108" t="s">
        <v>135</v>
      </c>
      <c r="G1352" s="108"/>
      <c r="H1352" s="108">
        <v>1</v>
      </c>
    </row>
    <row r="1353" spans="1:8" ht="14">
      <c r="A1353" s="108">
        <v>2006</v>
      </c>
      <c r="B1353" s="108">
        <v>91</v>
      </c>
      <c r="C1353" s="108" t="s">
        <v>139</v>
      </c>
      <c r="D1353" s="108">
        <v>425.20859528715602</v>
      </c>
      <c r="E1353" s="108">
        <v>0</v>
      </c>
      <c r="F1353" s="108" t="s">
        <v>136</v>
      </c>
      <c r="G1353" s="108"/>
      <c r="H1353" s="108">
        <v>1</v>
      </c>
    </row>
    <row r="1354" spans="1:8" ht="14">
      <c r="A1354" s="108">
        <v>2006</v>
      </c>
      <c r="B1354" s="108">
        <v>91</v>
      </c>
      <c r="C1354" s="108" t="s">
        <v>139</v>
      </c>
      <c r="D1354" s="108">
        <v>5.1724047128436599</v>
      </c>
      <c r="E1354" s="108">
        <v>0</v>
      </c>
      <c r="F1354" s="108" t="s">
        <v>135</v>
      </c>
      <c r="G1354" s="108"/>
      <c r="H1354" s="108">
        <v>1</v>
      </c>
    </row>
    <row r="1355" spans="1:8" ht="14">
      <c r="A1355" s="108">
        <v>2006</v>
      </c>
      <c r="B1355" s="108">
        <v>91</v>
      </c>
      <c r="C1355" s="108" t="s">
        <v>139</v>
      </c>
      <c r="D1355" s="108">
        <v>9.8610000000000007</v>
      </c>
      <c r="E1355" s="108">
        <v>0</v>
      </c>
      <c r="F1355" s="108" t="s">
        <v>137</v>
      </c>
      <c r="G1355" s="108"/>
      <c r="H1355" s="108">
        <v>1</v>
      </c>
    </row>
    <row r="1356" spans="1:8" ht="14">
      <c r="A1356" s="108">
        <v>2006</v>
      </c>
      <c r="B1356" s="108">
        <v>92</v>
      </c>
      <c r="C1356" s="108" t="s">
        <v>30</v>
      </c>
      <c r="D1356" s="108">
        <v>10274.275323797399</v>
      </c>
      <c r="E1356" s="108">
        <v>0</v>
      </c>
      <c r="F1356" s="108" t="s">
        <v>136</v>
      </c>
      <c r="G1356" s="108"/>
      <c r="H1356" s="108">
        <v>1</v>
      </c>
    </row>
    <row r="1357" spans="1:8" ht="14">
      <c r="A1357" s="108">
        <v>2006</v>
      </c>
      <c r="B1357" s="108">
        <v>92</v>
      </c>
      <c r="C1357" s="108" t="s">
        <v>30</v>
      </c>
      <c r="D1357" s="108">
        <v>348.04548133177599</v>
      </c>
      <c r="E1357" s="108">
        <v>0</v>
      </c>
      <c r="F1357" s="108" t="s">
        <v>135</v>
      </c>
      <c r="G1357" s="108"/>
      <c r="H1357" s="108">
        <v>1</v>
      </c>
    </row>
    <row r="1358" spans="1:8" ht="14">
      <c r="A1358" s="108">
        <v>2006</v>
      </c>
      <c r="B1358" s="108">
        <v>92</v>
      </c>
      <c r="C1358" s="108" t="s">
        <v>30</v>
      </c>
      <c r="D1358" s="108">
        <v>14.319194870759199</v>
      </c>
      <c r="E1358" s="108">
        <v>0</v>
      </c>
      <c r="F1358" s="108" t="s">
        <v>137</v>
      </c>
      <c r="G1358" s="108"/>
      <c r="H1358" s="108">
        <v>1</v>
      </c>
    </row>
    <row r="1359" spans="1:8" ht="14">
      <c r="A1359" s="108">
        <v>2006</v>
      </c>
      <c r="B1359" s="108">
        <v>92</v>
      </c>
      <c r="C1359" s="108" t="s">
        <v>138</v>
      </c>
      <c r="D1359" s="108">
        <v>186.927726962517</v>
      </c>
      <c r="E1359" s="108">
        <v>0</v>
      </c>
      <c r="F1359" s="108" t="s">
        <v>135</v>
      </c>
      <c r="G1359" s="108"/>
      <c r="H1359" s="108">
        <v>1</v>
      </c>
    </row>
    <row r="1360" spans="1:8" ht="14">
      <c r="A1360" s="108">
        <v>2006</v>
      </c>
      <c r="B1360" s="108">
        <v>92</v>
      </c>
      <c r="C1360" s="108" t="s">
        <v>138</v>
      </c>
      <c r="D1360" s="108">
        <v>5737.5102730374801</v>
      </c>
      <c r="E1360" s="108">
        <v>0</v>
      </c>
      <c r="F1360" s="108" t="s">
        <v>136</v>
      </c>
      <c r="G1360" s="108"/>
      <c r="H1360" s="108">
        <v>1</v>
      </c>
    </row>
    <row r="1361" spans="1:8" ht="14">
      <c r="A1361" s="108">
        <v>2006</v>
      </c>
      <c r="B1361" s="108">
        <v>92</v>
      </c>
      <c r="C1361" s="108" t="s">
        <v>138</v>
      </c>
      <c r="D1361" s="108">
        <v>0.111</v>
      </c>
      <c r="E1361" s="108">
        <v>0</v>
      </c>
      <c r="F1361" s="108" t="s">
        <v>137</v>
      </c>
      <c r="G1361" s="108"/>
      <c r="H1361" s="108">
        <v>1</v>
      </c>
    </row>
    <row r="1362" spans="1:8" ht="14">
      <c r="A1362" s="108">
        <v>2006</v>
      </c>
      <c r="B1362" s="108">
        <v>92</v>
      </c>
      <c r="C1362" s="108" t="s">
        <v>139</v>
      </c>
      <c r="D1362" s="108">
        <v>161.11775436925899</v>
      </c>
      <c r="E1362" s="108">
        <v>0</v>
      </c>
      <c r="F1362" s="108" t="s">
        <v>135</v>
      </c>
      <c r="G1362" s="108"/>
      <c r="H1362" s="108">
        <v>1</v>
      </c>
    </row>
    <row r="1363" spans="1:8" ht="14">
      <c r="A1363" s="108">
        <v>2006</v>
      </c>
      <c r="B1363" s="108">
        <v>92</v>
      </c>
      <c r="C1363" s="108" t="s">
        <v>139</v>
      </c>
      <c r="D1363" s="108">
        <v>4536.7650507599801</v>
      </c>
      <c r="E1363" s="108">
        <v>0</v>
      </c>
      <c r="F1363" s="108" t="s">
        <v>136</v>
      </c>
      <c r="G1363" s="108"/>
      <c r="H1363" s="108">
        <v>1</v>
      </c>
    </row>
    <row r="1364" spans="1:8" ht="14">
      <c r="A1364" s="108">
        <v>2006</v>
      </c>
      <c r="B1364" s="108">
        <v>92</v>
      </c>
      <c r="C1364" s="108" t="s">
        <v>139</v>
      </c>
      <c r="D1364" s="108">
        <v>14.208194870759201</v>
      </c>
      <c r="E1364" s="108">
        <v>0</v>
      </c>
      <c r="F1364" s="108" t="s">
        <v>137</v>
      </c>
      <c r="G1364" s="108"/>
      <c r="H1364" s="108">
        <v>1</v>
      </c>
    </row>
    <row r="1365" spans="1:8" ht="14">
      <c r="A1365" s="108">
        <v>2006</v>
      </c>
      <c r="B1365" s="108">
        <v>99</v>
      </c>
      <c r="C1365" s="108" t="s">
        <v>30</v>
      </c>
      <c r="D1365" s="108">
        <v>2213.9217789866202</v>
      </c>
      <c r="E1365" s="108">
        <v>0</v>
      </c>
      <c r="F1365" s="108" t="s">
        <v>135</v>
      </c>
      <c r="G1365" s="108"/>
      <c r="H1365" s="108">
        <v>1</v>
      </c>
    </row>
    <row r="1366" spans="1:8" ht="14">
      <c r="A1366" s="108">
        <v>2006</v>
      </c>
      <c r="B1366" s="108">
        <v>99</v>
      </c>
      <c r="C1366" s="108" t="s">
        <v>30</v>
      </c>
      <c r="D1366" s="108">
        <v>4913.4059204766199</v>
      </c>
      <c r="E1366" s="108">
        <v>0</v>
      </c>
      <c r="F1366" s="108" t="s">
        <v>136</v>
      </c>
      <c r="G1366" s="108"/>
      <c r="H1366" s="108">
        <v>1</v>
      </c>
    </row>
    <row r="1367" spans="1:8" ht="14">
      <c r="A1367" s="108">
        <v>2006</v>
      </c>
      <c r="B1367" s="108">
        <v>99</v>
      </c>
      <c r="C1367" s="108" t="s">
        <v>30</v>
      </c>
      <c r="D1367" s="108">
        <v>13.9423005367605</v>
      </c>
      <c r="E1367" s="108">
        <v>0</v>
      </c>
      <c r="F1367" s="108" t="s">
        <v>137</v>
      </c>
      <c r="G1367" s="108"/>
      <c r="H1367" s="108">
        <v>1</v>
      </c>
    </row>
    <row r="1368" spans="1:8" ht="14">
      <c r="A1368" s="108">
        <v>2006</v>
      </c>
      <c r="B1368" s="108">
        <v>99</v>
      </c>
      <c r="C1368" s="108" t="s">
        <v>138</v>
      </c>
      <c r="D1368" s="108">
        <v>743.93509132652503</v>
      </c>
      <c r="E1368" s="108">
        <v>0</v>
      </c>
      <c r="F1368" s="108" t="s">
        <v>135</v>
      </c>
      <c r="G1368" s="108"/>
      <c r="H1368" s="108">
        <v>1</v>
      </c>
    </row>
    <row r="1369" spans="1:8" ht="14">
      <c r="A1369" s="108">
        <v>2006</v>
      </c>
      <c r="B1369" s="108">
        <v>99</v>
      </c>
      <c r="C1369" s="108" t="s">
        <v>138</v>
      </c>
      <c r="D1369" s="108">
        <v>3508.56433918521</v>
      </c>
      <c r="E1369" s="108">
        <v>0</v>
      </c>
      <c r="F1369" s="108" t="s">
        <v>136</v>
      </c>
      <c r="G1369" s="108"/>
      <c r="H1369" s="108">
        <v>1</v>
      </c>
    </row>
    <row r="1370" spans="1:8" ht="14">
      <c r="A1370" s="108">
        <v>2006</v>
      </c>
      <c r="B1370" s="108">
        <v>99</v>
      </c>
      <c r="C1370" s="108" t="s">
        <v>138</v>
      </c>
      <c r="D1370" s="108">
        <v>9.4855694882563508</v>
      </c>
      <c r="E1370" s="108">
        <v>0</v>
      </c>
      <c r="F1370" s="108" t="s">
        <v>137</v>
      </c>
      <c r="G1370" s="108"/>
      <c r="H1370" s="108">
        <v>1</v>
      </c>
    </row>
    <row r="1371" spans="1:8" ht="14">
      <c r="A1371" s="108">
        <v>2006</v>
      </c>
      <c r="B1371" s="108">
        <v>99</v>
      </c>
      <c r="C1371" s="108" t="s">
        <v>139</v>
      </c>
      <c r="D1371" s="108">
        <v>1404.8415812914</v>
      </c>
      <c r="E1371" s="108">
        <v>0</v>
      </c>
      <c r="F1371" s="108" t="s">
        <v>136</v>
      </c>
      <c r="G1371" s="108"/>
      <c r="H1371" s="108">
        <v>1</v>
      </c>
    </row>
    <row r="1372" spans="1:8" ht="14">
      <c r="A1372" s="108">
        <v>2006</v>
      </c>
      <c r="B1372" s="108">
        <v>99</v>
      </c>
      <c r="C1372" s="108" t="s">
        <v>139</v>
      </c>
      <c r="D1372" s="108">
        <v>1469.98668766009</v>
      </c>
      <c r="E1372" s="108">
        <v>0</v>
      </c>
      <c r="F1372" s="108" t="s">
        <v>135</v>
      </c>
      <c r="G1372" s="108"/>
      <c r="H1372" s="108">
        <v>1</v>
      </c>
    </row>
    <row r="1373" spans="1:8" ht="14">
      <c r="A1373" s="108">
        <v>2006</v>
      </c>
      <c r="B1373" s="108">
        <v>99</v>
      </c>
      <c r="C1373" s="108" t="s">
        <v>139</v>
      </c>
      <c r="D1373" s="108">
        <v>4.45673104850421</v>
      </c>
      <c r="E1373" s="108">
        <v>0</v>
      </c>
      <c r="F1373" s="108" t="s">
        <v>137</v>
      </c>
      <c r="G1373" s="108"/>
      <c r="H1373" s="108">
        <v>1</v>
      </c>
    </row>
    <row r="1374" spans="1:8" ht="14">
      <c r="A1374" s="108">
        <v>2007</v>
      </c>
      <c r="B1374" s="108">
        <v>11</v>
      </c>
      <c r="C1374" s="108" t="s">
        <v>30</v>
      </c>
      <c r="D1374" s="108">
        <v>2190.6751882067801</v>
      </c>
      <c r="E1374" s="108">
        <v>0</v>
      </c>
      <c r="F1374" s="108" t="s">
        <v>135</v>
      </c>
      <c r="G1374" s="108"/>
      <c r="H1374" s="108">
        <v>1</v>
      </c>
    </row>
    <row r="1375" spans="1:8" ht="14">
      <c r="A1375" s="108">
        <v>2007</v>
      </c>
      <c r="B1375" s="108">
        <v>11</v>
      </c>
      <c r="C1375" s="108" t="s">
        <v>30</v>
      </c>
      <c r="D1375" s="108">
        <v>5711.0788117932098</v>
      </c>
      <c r="E1375" s="108">
        <v>0</v>
      </c>
      <c r="F1375" s="108" t="s">
        <v>136</v>
      </c>
      <c r="G1375" s="108"/>
      <c r="H1375" s="108">
        <v>1</v>
      </c>
    </row>
    <row r="1376" spans="1:8" ht="14">
      <c r="A1376" s="108">
        <v>2007</v>
      </c>
      <c r="B1376" s="108">
        <v>11</v>
      </c>
      <c r="C1376" s="108" t="s">
        <v>138</v>
      </c>
      <c r="D1376" s="108">
        <v>854.31752382749596</v>
      </c>
      <c r="E1376" s="108">
        <v>0</v>
      </c>
      <c r="F1376" s="108" t="s">
        <v>135</v>
      </c>
      <c r="G1376" s="108"/>
      <c r="H1376" s="108">
        <v>1</v>
      </c>
    </row>
    <row r="1377" spans="1:8" ht="14">
      <c r="A1377" s="108">
        <v>2007</v>
      </c>
      <c r="B1377" s="108">
        <v>11</v>
      </c>
      <c r="C1377" s="108" t="s">
        <v>138</v>
      </c>
      <c r="D1377" s="108">
        <v>2065.2324761724999</v>
      </c>
      <c r="E1377" s="108">
        <v>0</v>
      </c>
      <c r="F1377" s="108" t="s">
        <v>136</v>
      </c>
      <c r="G1377" s="108"/>
      <c r="H1377" s="108">
        <v>1</v>
      </c>
    </row>
    <row r="1378" spans="1:8" ht="14">
      <c r="A1378" s="108">
        <v>2007</v>
      </c>
      <c r="B1378" s="108">
        <v>11</v>
      </c>
      <c r="C1378" s="108" t="s">
        <v>139</v>
      </c>
      <c r="D1378" s="108">
        <v>3645.8463356207099</v>
      </c>
      <c r="E1378" s="108">
        <v>0</v>
      </c>
      <c r="F1378" s="108" t="s">
        <v>136</v>
      </c>
      <c r="G1378" s="108"/>
      <c r="H1378" s="108">
        <v>1</v>
      </c>
    </row>
    <row r="1379" spans="1:8" ht="14">
      <c r="A1379" s="108">
        <v>2007</v>
      </c>
      <c r="B1379" s="108">
        <v>11</v>
      </c>
      <c r="C1379" s="108" t="s">
        <v>139</v>
      </c>
      <c r="D1379" s="108">
        <v>1336.3576643792901</v>
      </c>
      <c r="E1379" s="108">
        <v>0</v>
      </c>
      <c r="F1379" s="108" t="s">
        <v>135</v>
      </c>
      <c r="G1379" s="108"/>
      <c r="H1379" s="108">
        <v>1</v>
      </c>
    </row>
    <row r="1380" spans="1:8" ht="14">
      <c r="A1380" s="108">
        <v>2007</v>
      </c>
      <c r="B1380" s="108">
        <v>12</v>
      </c>
      <c r="C1380" s="108" t="s">
        <v>30</v>
      </c>
      <c r="D1380" s="108">
        <v>5.8550000000000004</v>
      </c>
      <c r="E1380" s="108">
        <v>0</v>
      </c>
      <c r="F1380" s="108" t="s">
        <v>137</v>
      </c>
      <c r="G1380" s="108"/>
      <c r="H1380" s="108">
        <v>1</v>
      </c>
    </row>
    <row r="1381" spans="1:8" ht="14">
      <c r="A1381" s="108">
        <v>2007</v>
      </c>
      <c r="B1381" s="108">
        <v>12</v>
      </c>
      <c r="C1381" s="108" t="s">
        <v>30</v>
      </c>
      <c r="D1381" s="108">
        <v>51559.473879133096</v>
      </c>
      <c r="E1381" s="108">
        <v>0</v>
      </c>
      <c r="F1381" s="108" t="s">
        <v>135</v>
      </c>
      <c r="G1381" s="108"/>
      <c r="H1381" s="108">
        <v>1</v>
      </c>
    </row>
    <row r="1382" spans="1:8" ht="14">
      <c r="A1382" s="108">
        <v>2007</v>
      </c>
      <c r="B1382" s="108">
        <v>12</v>
      </c>
      <c r="C1382" s="108" t="s">
        <v>30</v>
      </c>
      <c r="D1382" s="108">
        <v>88566.536120866804</v>
      </c>
      <c r="E1382" s="108">
        <v>0</v>
      </c>
      <c r="F1382" s="108" t="s">
        <v>136</v>
      </c>
      <c r="G1382" s="108"/>
      <c r="H1382" s="108">
        <v>1</v>
      </c>
    </row>
    <row r="1383" spans="1:8" ht="14">
      <c r="A1383" s="108">
        <v>2007</v>
      </c>
      <c r="B1383" s="108">
        <v>12</v>
      </c>
      <c r="C1383" s="108" t="s">
        <v>138</v>
      </c>
      <c r="D1383" s="108">
        <v>42943.202992902203</v>
      </c>
      <c r="E1383" s="108">
        <v>0</v>
      </c>
      <c r="F1383" s="108" t="s">
        <v>136</v>
      </c>
      <c r="G1383" s="108"/>
      <c r="H1383" s="108">
        <v>1</v>
      </c>
    </row>
    <row r="1384" spans="1:8" ht="14">
      <c r="A1384" s="108">
        <v>2007</v>
      </c>
      <c r="B1384" s="108">
        <v>12</v>
      </c>
      <c r="C1384" s="108" t="s">
        <v>138</v>
      </c>
      <c r="D1384" s="108">
        <v>31435.0000070977</v>
      </c>
      <c r="E1384" s="108">
        <v>0</v>
      </c>
      <c r="F1384" s="108" t="s">
        <v>135</v>
      </c>
      <c r="G1384" s="108"/>
      <c r="H1384" s="108">
        <v>1</v>
      </c>
    </row>
    <row r="1385" spans="1:8" ht="14">
      <c r="A1385" s="108">
        <v>2007</v>
      </c>
      <c r="B1385" s="108">
        <v>12</v>
      </c>
      <c r="C1385" s="108" t="s">
        <v>138</v>
      </c>
      <c r="D1385" s="108">
        <v>5.8550000000000004</v>
      </c>
      <c r="E1385" s="108">
        <v>0</v>
      </c>
      <c r="F1385" s="108" t="s">
        <v>137</v>
      </c>
      <c r="G1385" s="108"/>
      <c r="H1385" s="108">
        <v>1</v>
      </c>
    </row>
    <row r="1386" spans="1:8" ht="14">
      <c r="A1386" s="108">
        <v>2007</v>
      </c>
      <c r="B1386" s="108">
        <v>12</v>
      </c>
      <c r="C1386" s="108" t="s">
        <v>139</v>
      </c>
      <c r="D1386" s="108">
        <v>45623.333127964601</v>
      </c>
      <c r="E1386" s="108">
        <v>0</v>
      </c>
      <c r="F1386" s="108" t="s">
        <v>136</v>
      </c>
      <c r="G1386" s="108"/>
      <c r="H1386" s="108">
        <v>1</v>
      </c>
    </row>
    <row r="1387" spans="1:8" ht="14">
      <c r="A1387" s="108">
        <v>2007</v>
      </c>
      <c r="B1387" s="108">
        <v>12</v>
      </c>
      <c r="C1387" s="108" t="s">
        <v>139</v>
      </c>
      <c r="D1387" s="108">
        <v>20124.473872035302</v>
      </c>
      <c r="E1387" s="108">
        <v>0</v>
      </c>
      <c r="F1387" s="108" t="s">
        <v>135</v>
      </c>
      <c r="G1387" s="108"/>
      <c r="H1387" s="108">
        <v>1</v>
      </c>
    </row>
    <row r="1388" spans="1:8" ht="14">
      <c r="A1388" s="108">
        <v>2007</v>
      </c>
      <c r="B1388" s="108">
        <v>13</v>
      </c>
      <c r="C1388" s="108" t="s">
        <v>30</v>
      </c>
      <c r="D1388" s="108">
        <v>25159.124945211199</v>
      </c>
      <c r="E1388" s="108">
        <v>0</v>
      </c>
      <c r="F1388" s="108" t="s">
        <v>135</v>
      </c>
      <c r="G1388" s="108"/>
      <c r="H1388" s="108">
        <v>1</v>
      </c>
    </row>
    <row r="1389" spans="1:8" ht="14">
      <c r="A1389" s="108">
        <v>2007</v>
      </c>
      <c r="B1389" s="108">
        <v>13</v>
      </c>
      <c r="C1389" s="108" t="s">
        <v>30</v>
      </c>
      <c r="D1389" s="108">
        <v>60792.957074656901</v>
      </c>
      <c r="E1389" s="108">
        <v>0</v>
      </c>
      <c r="F1389" s="108" t="s">
        <v>136</v>
      </c>
      <c r="G1389" s="108"/>
      <c r="H1389" s="108">
        <v>1</v>
      </c>
    </row>
    <row r="1390" spans="1:8" ht="14">
      <c r="A1390" s="108">
        <v>2007</v>
      </c>
      <c r="B1390" s="108">
        <v>13</v>
      </c>
      <c r="C1390" s="108" t="s">
        <v>30</v>
      </c>
      <c r="D1390" s="108">
        <v>8.1899801318296799</v>
      </c>
      <c r="E1390" s="108">
        <v>0</v>
      </c>
      <c r="F1390" s="108" t="s">
        <v>137</v>
      </c>
      <c r="G1390" s="108"/>
      <c r="H1390" s="108">
        <v>1</v>
      </c>
    </row>
    <row r="1391" spans="1:8" ht="14">
      <c r="A1391" s="108">
        <v>2007</v>
      </c>
      <c r="B1391" s="108">
        <v>13</v>
      </c>
      <c r="C1391" s="108" t="s">
        <v>138</v>
      </c>
      <c r="D1391" s="108">
        <v>12948.72706126</v>
      </c>
      <c r="E1391" s="108">
        <v>0</v>
      </c>
      <c r="F1391" s="108" t="s">
        <v>135</v>
      </c>
      <c r="G1391" s="108"/>
      <c r="H1391" s="108">
        <v>1</v>
      </c>
    </row>
    <row r="1392" spans="1:8" ht="14">
      <c r="A1392" s="108">
        <v>2007</v>
      </c>
      <c r="B1392" s="108">
        <v>13</v>
      </c>
      <c r="C1392" s="108" t="s">
        <v>138</v>
      </c>
      <c r="D1392" s="108">
        <v>30053.432938739901</v>
      </c>
      <c r="E1392" s="108">
        <v>0</v>
      </c>
      <c r="F1392" s="108" t="s">
        <v>136</v>
      </c>
      <c r="G1392" s="108"/>
      <c r="H1392" s="108">
        <v>1</v>
      </c>
    </row>
    <row r="1393" spans="1:8" ht="14">
      <c r="A1393" s="108">
        <v>2007</v>
      </c>
      <c r="B1393" s="108">
        <v>13</v>
      </c>
      <c r="C1393" s="108" t="s">
        <v>139</v>
      </c>
      <c r="D1393" s="108">
        <v>30739.524135916901</v>
      </c>
      <c r="E1393" s="108">
        <v>0</v>
      </c>
      <c r="F1393" s="108" t="s">
        <v>136</v>
      </c>
      <c r="G1393" s="108"/>
      <c r="H1393" s="108">
        <v>1</v>
      </c>
    </row>
    <row r="1394" spans="1:8" ht="14">
      <c r="A1394" s="108">
        <v>2007</v>
      </c>
      <c r="B1394" s="108">
        <v>13</v>
      </c>
      <c r="C1394" s="108" t="s">
        <v>139</v>
      </c>
      <c r="D1394" s="108">
        <v>8.1899801318296799</v>
      </c>
      <c r="E1394" s="108">
        <v>0</v>
      </c>
      <c r="F1394" s="108" t="s">
        <v>137</v>
      </c>
      <c r="G1394" s="108"/>
      <c r="H1394" s="108">
        <v>1</v>
      </c>
    </row>
    <row r="1395" spans="1:8" ht="14">
      <c r="A1395" s="108">
        <v>2007</v>
      </c>
      <c r="B1395" s="108">
        <v>13</v>
      </c>
      <c r="C1395" s="108" t="s">
        <v>139</v>
      </c>
      <c r="D1395" s="108">
        <v>12210.3978839511</v>
      </c>
      <c r="E1395" s="108">
        <v>0</v>
      </c>
      <c r="F1395" s="108" t="s">
        <v>135</v>
      </c>
      <c r="G1395" s="108"/>
      <c r="H1395" s="108">
        <v>1</v>
      </c>
    </row>
    <row r="1396" spans="1:8" ht="14">
      <c r="A1396" s="108">
        <v>2007</v>
      </c>
      <c r="B1396" s="108">
        <v>19</v>
      </c>
      <c r="C1396" s="108" t="s">
        <v>30</v>
      </c>
      <c r="D1396" s="108">
        <v>3.6999999999999998E-2</v>
      </c>
      <c r="E1396" s="108">
        <v>0</v>
      </c>
      <c r="F1396" s="108" t="s">
        <v>137</v>
      </c>
      <c r="G1396" s="108"/>
      <c r="H1396" s="108">
        <v>1</v>
      </c>
    </row>
    <row r="1397" spans="1:8" ht="14">
      <c r="A1397" s="108">
        <v>2007</v>
      </c>
      <c r="B1397" s="108">
        <v>19</v>
      </c>
      <c r="C1397" s="108" t="s">
        <v>30</v>
      </c>
      <c r="D1397" s="108">
        <v>2604.7044800981098</v>
      </c>
      <c r="E1397" s="108">
        <v>0</v>
      </c>
      <c r="F1397" s="108" t="s">
        <v>135</v>
      </c>
      <c r="G1397" s="108"/>
      <c r="H1397" s="108">
        <v>1</v>
      </c>
    </row>
    <row r="1398" spans="1:8" ht="14">
      <c r="A1398" s="108">
        <v>2007</v>
      </c>
      <c r="B1398" s="108">
        <v>19</v>
      </c>
      <c r="C1398" s="108" t="s">
        <v>30</v>
      </c>
      <c r="D1398" s="108">
        <v>11993.791519901801</v>
      </c>
      <c r="E1398" s="108">
        <v>0</v>
      </c>
      <c r="F1398" s="108" t="s">
        <v>136</v>
      </c>
      <c r="G1398" s="108"/>
      <c r="H1398" s="108">
        <v>1</v>
      </c>
    </row>
    <row r="1399" spans="1:8" ht="14">
      <c r="A1399" s="108">
        <v>2007</v>
      </c>
      <c r="B1399" s="108">
        <v>19</v>
      </c>
      <c r="C1399" s="108" t="s">
        <v>138</v>
      </c>
      <c r="D1399" s="108">
        <v>1022.84932955674</v>
      </c>
      <c r="E1399" s="108">
        <v>0</v>
      </c>
      <c r="F1399" s="108" t="s">
        <v>135</v>
      </c>
      <c r="G1399" s="108"/>
      <c r="H1399" s="108">
        <v>1</v>
      </c>
    </row>
    <row r="1400" spans="1:8" ht="14">
      <c r="A1400" s="108">
        <v>2007</v>
      </c>
      <c r="B1400" s="108">
        <v>19</v>
      </c>
      <c r="C1400" s="108" t="s">
        <v>138</v>
      </c>
      <c r="D1400" s="108">
        <v>7767.6506704432504</v>
      </c>
      <c r="E1400" s="108">
        <v>0</v>
      </c>
      <c r="F1400" s="108" t="s">
        <v>136</v>
      </c>
      <c r="G1400" s="108"/>
      <c r="H1400" s="108">
        <v>1</v>
      </c>
    </row>
    <row r="1401" spans="1:8" ht="14">
      <c r="A1401" s="108">
        <v>2007</v>
      </c>
      <c r="B1401" s="108">
        <v>19</v>
      </c>
      <c r="C1401" s="108" t="s">
        <v>139</v>
      </c>
      <c r="D1401" s="108">
        <v>3.6999999999999998E-2</v>
      </c>
      <c r="E1401" s="108">
        <v>0</v>
      </c>
      <c r="F1401" s="108" t="s">
        <v>137</v>
      </c>
      <c r="G1401" s="108"/>
      <c r="H1401" s="108">
        <v>1</v>
      </c>
    </row>
    <row r="1402" spans="1:8" ht="14">
      <c r="A1402" s="108">
        <v>2007</v>
      </c>
      <c r="B1402" s="108">
        <v>19</v>
      </c>
      <c r="C1402" s="108" t="s">
        <v>139</v>
      </c>
      <c r="D1402" s="108">
        <v>1581.85515054136</v>
      </c>
      <c r="E1402" s="108">
        <v>0</v>
      </c>
      <c r="F1402" s="108" t="s">
        <v>135</v>
      </c>
      <c r="G1402" s="108"/>
      <c r="H1402" s="108">
        <v>1</v>
      </c>
    </row>
    <row r="1403" spans="1:8" ht="14">
      <c r="A1403" s="108">
        <v>2007</v>
      </c>
      <c r="B1403" s="108">
        <v>19</v>
      </c>
      <c r="C1403" s="108" t="s">
        <v>139</v>
      </c>
      <c r="D1403" s="108">
        <v>4226.1408494586303</v>
      </c>
      <c r="E1403" s="108">
        <v>0</v>
      </c>
      <c r="F1403" s="108" t="s">
        <v>136</v>
      </c>
      <c r="G1403" s="108"/>
      <c r="H1403" s="108">
        <v>1</v>
      </c>
    </row>
    <row r="1404" spans="1:8" ht="14">
      <c r="A1404" s="108">
        <v>2007</v>
      </c>
      <c r="B1404" s="108">
        <v>21</v>
      </c>
      <c r="C1404" s="108" t="s">
        <v>30</v>
      </c>
      <c r="D1404" s="108">
        <v>18976.332827662201</v>
      </c>
      <c r="E1404" s="108">
        <v>0</v>
      </c>
      <c r="F1404" s="108" t="s">
        <v>136</v>
      </c>
      <c r="G1404" s="108"/>
      <c r="H1404" s="108">
        <v>1</v>
      </c>
    </row>
    <row r="1405" spans="1:8" ht="14">
      <c r="A1405" s="108">
        <v>2007</v>
      </c>
      <c r="B1405" s="108">
        <v>21</v>
      </c>
      <c r="C1405" s="108" t="s">
        <v>30</v>
      </c>
      <c r="D1405" s="108">
        <v>138.725172337766</v>
      </c>
      <c r="E1405" s="108">
        <v>0</v>
      </c>
      <c r="F1405" s="108" t="s">
        <v>135</v>
      </c>
      <c r="G1405" s="108"/>
      <c r="H1405" s="108">
        <v>1</v>
      </c>
    </row>
    <row r="1406" spans="1:8" ht="14">
      <c r="A1406" s="108">
        <v>2007</v>
      </c>
      <c r="B1406" s="108">
        <v>21</v>
      </c>
      <c r="C1406" s="108" t="s">
        <v>30</v>
      </c>
      <c r="D1406" s="108">
        <v>29.222999999999999</v>
      </c>
      <c r="E1406" s="108">
        <v>0</v>
      </c>
      <c r="F1406" s="108" t="s">
        <v>137</v>
      </c>
      <c r="G1406" s="108"/>
      <c r="H1406" s="108">
        <v>1</v>
      </c>
    </row>
    <row r="1407" spans="1:8" ht="14">
      <c r="A1407" s="108">
        <v>2007</v>
      </c>
      <c r="B1407" s="108">
        <v>21</v>
      </c>
      <c r="C1407" s="108" t="s">
        <v>138</v>
      </c>
      <c r="D1407" s="108">
        <v>29.010999999999999</v>
      </c>
      <c r="E1407" s="108">
        <v>0</v>
      </c>
      <c r="F1407" s="108" t="s">
        <v>137</v>
      </c>
      <c r="G1407" s="108"/>
      <c r="H1407" s="108">
        <v>1</v>
      </c>
    </row>
    <row r="1408" spans="1:8" ht="14">
      <c r="A1408" s="108">
        <v>2007</v>
      </c>
      <c r="B1408" s="108">
        <v>21</v>
      </c>
      <c r="C1408" s="108" t="s">
        <v>138</v>
      </c>
      <c r="D1408" s="108">
        <v>137.73017233776599</v>
      </c>
      <c r="E1408" s="108">
        <v>0</v>
      </c>
      <c r="F1408" s="108" t="s">
        <v>135</v>
      </c>
      <c r="G1408" s="108"/>
      <c r="H1408" s="108">
        <v>1</v>
      </c>
    </row>
    <row r="1409" spans="1:8" ht="14">
      <c r="A1409" s="108">
        <v>2007</v>
      </c>
      <c r="B1409" s="108">
        <v>21</v>
      </c>
      <c r="C1409" s="108" t="s">
        <v>138</v>
      </c>
      <c r="D1409" s="108">
        <v>18275.0778276622</v>
      </c>
      <c r="E1409" s="108">
        <v>0</v>
      </c>
      <c r="F1409" s="108" t="s">
        <v>136</v>
      </c>
      <c r="G1409" s="108"/>
      <c r="H1409" s="108">
        <v>1</v>
      </c>
    </row>
    <row r="1410" spans="1:8" ht="14">
      <c r="A1410" s="108">
        <v>2007</v>
      </c>
      <c r="B1410" s="108">
        <v>21</v>
      </c>
      <c r="C1410" s="108" t="s">
        <v>139</v>
      </c>
      <c r="D1410" s="108">
        <v>0.21199999999999999</v>
      </c>
      <c r="E1410" s="108">
        <v>0</v>
      </c>
      <c r="F1410" s="108" t="s">
        <v>137</v>
      </c>
      <c r="G1410" s="108"/>
      <c r="H1410" s="108">
        <v>1</v>
      </c>
    </row>
    <row r="1411" spans="1:8" ht="14">
      <c r="A1411" s="108">
        <v>2007</v>
      </c>
      <c r="B1411" s="108">
        <v>21</v>
      </c>
      <c r="C1411" s="108" t="s">
        <v>139</v>
      </c>
      <c r="D1411" s="108">
        <v>0.995</v>
      </c>
      <c r="E1411" s="108">
        <v>0</v>
      </c>
      <c r="F1411" s="108" t="s">
        <v>135</v>
      </c>
      <c r="G1411" s="108"/>
      <c r="H1411" s="108">
        <v>1</v>
      </c>
    </row>
    <row r="1412" spans="1:8" ht="14">
      <c r="A1412" s="108">
        <v>2007</v>
      </c>
      <c r="B1412" s="108">
        <v>21</v>
      </c>
      <c r="C1412" s="108" t="s">
        <v>139</v>
      </c>
      <c r="D1412" s="108">
        <v>701.255</v>
      </c>
      <c r="E1412" s="108">
        <v>0</v>
      </c>
      <c r="F1412" s="108" t="s">
        <v>136</v>
      </c>
      <c r="G1412" s="108"/>
      <c r="H1412" s="108">
        <v>1</v>
      </c>
    </row>
    <row r="1413" spans="1:8" ht="14">
      <c r="A1413" s="108">
        <v>2007</v>
      </c>
      <c r="B1413" s="108">
        <v>22</v>
      </c>
      <c r="C1413" s="108" t="s">
        <v>30</v>
      </c>
      <c r="D1413" s="108">
        <v>44655.774112872197</v>
      </c>
      <c r="E1413" s="108">
        <v>0</v>
      </c>
      <c r="F1413" s="108" t="s">
        <v>136</v>
      </c>
      <c r="G1413" s="108"/>
      <c r="H1413" s="108">
        <v>1</v>
      </c>
    </row>
    <row r="1414" spans="1:8" ht="14">
      <c r="A1414" s="108">
        <v>2007</v>
      </c>
      <c r="B1414" s="108">
        <v>22</v>
      </c>
      <c r="C1414" s="108" t="s">
        <v>30</v>
      </c>
      <c r="D1414" s="108">
        <v>1.907</v>
      </c>
      <c r="E1414" s="108">
        <v>0</v>
      </c>
      <c r="F1414" s="108" t="s">
        <v>137</v>
      </c>
      <c r="G1414" s="108"/>
      <c r="H1414" s="108">
        <v>1</v>
      </c>
    </row>
    <row r="1415" spans="1:8" ht="14">
      <c r="A1415" s="108">
        <v>2007</v>
      </c>
      <c r="B1415" s="108">
        <v>22</v>
      </c>
      <c r="C1415" s="108" t="s">
        <v>30</v>
      </c>
      <c r="D1415" s="108">
        <v>2768.9658871277002</v>
      </c>
      <c r="E1415" s="108">
        <v>0</v>
      </c>
      <c r="F1415" s="108" t="s">
        <v>135</v>
      </c>
      <c r="G1415" s="108"/>
      <c r="H1415" s="108">
        <v>1</v>
      </c>
    </row>
    <row r="1416" spans="1:8" ht="14">
      <c r="A1416" s="108">
        <v>2007</v>
      </c>
      <c r="B1416" s="108">
        <v>22</v>
      </c>
      <c r="C1416" s="108" t="s">
        <v>138</v>
      </c>
      <c r="D1416" s="108">
        <v>1461.17123230071</v>
      </c>
      <c r="E1416" s="108">
        <v>0</v>
      </c>
      <c r="F1416" s="108" t="s">
        <v>135</v>
      </c>
      <c r="G1416" s="108"/>
      <c r="H1416" s="108">
        <v>1</v>
      </c>
    </row>
    <row r="1417" spans="1:8" ht="14">
      <c r="A1417" s="108">
        <v>2007</v>
      </c>
      <c r="B1417" s="108">
        <v>22</v>
      </c>
      <c r="C1417" s="108" t="s">
        <v>138</v>
      </c>
      <c r="D1417" s="108">
        <v>7.0999999999999994E-2</v>
      </c>
      <c r="E1417" s="108">
        <v>0</v>
      </c>
      <c r="F1417" s="108" t="s">
        <v>137</v>
      </c>
      <c r="G1417" s="108"/>
      <c r="H1417" s="108">
        <v>1</v>
      </c>
    </row>
    <row r="1418" spans="1:8" ht="14">
      <c r="A1418" s="108">
        <v>2007</v>
      </c>
      <c r="B1418" s="108">
        <v>22</v>
      </c>
      <c r="C1418" s="108" t="s">
        <v>138</v>
      </c>
      <c r="D1418" s="108">
        <v>43589.643767699199</v>
      </c>
      <c r="E1418" s="108">
        <v>0</v>
      </c>
      <c r="F1418" s="108" t="s">
        <v>136</v>
      </c>
      <c r="G1418" s="108"/>
      <c r="H1418" s="108">
        <v>1</v>
      </c>
    </row>
    <row r="1419" spans="1:8" ht="14">
      <c r="A1419" s="108">
        <v>2007</v>
      </c>
      <c r="B1419" s="108">
        <v>22</v>
      </c>
      <c r="C1419" s="108" t="s">
        <v>139</v>
      </c>
      <c r="D1419" s="108">
        <v>1307.7946548269799</v>
      </c>
      <c r="E1419" s="108">
        <v>0</v>
      </c>
      <c r="F1419" s="108" t="s">
        <v>135</v>
      </c>
      <c r="G1419" s="108"/>
      <c r="H1419" s="108">
        <v>1</v>
      </c>
    </row>
    <row r="1420" spans="1:8" ht="14">
      <c r="A1420" s="108">
        <v>2007</v>
      </c>
      <c r="B1420" s="108">
        <v>22</v>
      </c>
      <c r="C1420" s="108" t="s">
        <v>139</v>
      </c>
      <c r="D1420" s="108">
        <v>1066.13034517301</v>
      </c>
      <c r="E1420" s="108">
        <v>0</v>
      </c>
      <c r="F1420" s="108" t="s">
        <v>136</v>
      </c>
      <c r="G1420" s="108"/>
      <c r="H1420" s="108">
        <v>1</v>
      </c>
    </row>
    <row r="1421" spans="1:8" ht="14">
      <c r="A1421" s="108">
        <v>2007</v>
      </c>
      <c r="B1421" s="108">
        <v>22</v>
      </c>
      <c r="C1421" s="108" t="s">
        <v>139</v>
      </c>
      <c r="D1421" s="108">
        <v>1.8360000000000001</v>
      </c>
      <c r="E1421" s="108">
        <v>0</v>
      </c>
      <c r="F1421" s="108" t="s">
        <v>137</v>
      </c>
      <c r="G1421" s="108"/>
      <c r="H1421" s="108">
        <v>1</v>
      </c>
    </row>
    <row r="1422" spans="1:8" ht="14">
      <c r="A1422" s="108">
        <v>2007</v>
      </c>
      <c r="B1422" s="108">
        <v>23</v>
      </c>
      <c r="C1422" s="108" t="s">
        <v>30</v>
      </c>
      <c r="D1422" s="108">
        <v>3.4969999999999999</v>
      </c>
      <c r="E1422" s="108">
        <v>0</v>
      </c>
      <c r="F1422" s="108" t="s">
        <v>137</v>
      </c>
      <c r="G1422" s="108"/>
      <c r="H1422" s="108">
        <v>1</v>
      </c>
    </row>
    <row r="1423" spans="1:8" ht="14">
      <c r="A1423" s="108">
        <v>2007</v>
      </c>
      <c r="B1423" s="108">
        <v>23</v>
      </c>
      <c r="C1423" s="108" t="s">
        <v>30</v>
      </c>
      <c r="D1423" s="108">
        <v>11479.265635066</v>
      </c>
      <c r="E1423" s="108">
        <v>0</v>
      </c>
      <c r="F1423" s="108" t="s">
        <v>136</v>
      </c>
      <c r="G1423" s="108"/>
      <c r="H1423" s="108">
        <v>1</v>
      </c>
    </row>
    <row r="1424" spans="1:8" ht="14">
      <c r="A1424" s="108">
        <v>2007</v>
      </c>
      <c r="B1424" s="108">
        <v>23</v>
      </c>
      <c r="C1424" s="108" t="s">
        <v>30</v>
      </c>
      <c r="D1424" s="108">
        <v>1262.8533649339699</v>
      </c>
      <c r="E1424" s="108">
        <v>0</v>
      </c>
      <c r="F1424" s="108" t="s">
        <v>135</v>
      </c>
      <c r="G1424" s="108"/>
      <c r="H1424" s="108">
        <v>1</v>
      </c>
    </row>
    <row r="1425" spans="1:8" ht="14">
      <c r="A1425" s="108">
        <v>2007</v>
      </c>
      <c r="B1425" s="108">
        <v>23</v>
      </c>
      <c r="C1425" s="108" t="s">
        <v>138</v>
      </c>
      <c r="D1425" s="108">
        <v>8874.9005411322796</v>
      </c>
      <c r="E1425" s="108">
        <v>0</v>
      </c>
      <c r="F1425" s="108" t="s">
        <v>136</v>
      </c>
      <c r="G1425" s="108"/>
      <c r="H1425" s="108">
        <v>1</v>
      </c>
    </row>
    <row r="1426" spans="1:8" ht="14">
      <c r="A1426" s="108">
        <v>2007</v>
      </c>
      <c r="B1426" s="108">
        <v>23</v>
      </c>
      <c r="C1426" s="108" t="s">
        <v>138</v>
      </c>
      <c r="D1426" s="108">
        <v>735.73545886771103</v>
      </c>
      <c r="E1426" s="108">
        <v>0</v>
      </c>
      <c r="F1426" s="108" t="s">
        <v>135</v>
      </c>
      <c r="G1426" s="108"/>
      <c r="H1426" s="108">
        <v>1</v>
      </c>
    </row>
    <row r="1427" spans="1:8" ht="14">
      <c r="A1427" s="108">
        <v>2007</v>
      </c>
      <c r="B1427" s="108">
        <v>23</v>
      </c>
      <c r="C1427" s="108" t="s">
        <v>139</v>
      </c>
      <c r="D1427" s="108">
        <v>2604.3650939337299</v>
      </c>
      <c r="E1427" s="108">
        <v>0</v>
      </c>
      <c r="F1427" s="108" t="s">
        <v>136</v>
      </c>
      <c r="G1427" s="108"/>
      <c r="H1427" s="108">
        <v>1</v>
      </c>
    </row>
    <row r="1428" spans="1:8" ht="14">
      <c r="A1428" s="108">
        <v>2007</v>
      </c>
      <c r="B1428" s="108">
        <v>23</v>
      </c>
      <c r="C1428" s="108" t="s">
        <v>139</v>
      </c>
      <c r="D1428" s="108">
        <v>3.4969999999999999</v>
      </c>
      <c r="E1428" s="108">
        <v>0</v>
      </c>
      <c r="F1428" s="108" t="s">
        <v>137</v>
      </c>
      <c r="G1428" s="108"/>
      <c r="H1428" s="108">
        <v>1</v>
      </c>
    </row>
    <row r="1429" spans="1:8" ht="14">
      <c r="A1429" s="108">
        <v>2007</v>
      </c>
      <c r="B1429" s="108">
        <v>23</v>
      </c>
      <c r="C1429" s="108" t="s">
        <v>139</v>
      </c>
      <c r="D1429" s="108">
        <v>527.11790606626698</v>
      </c>
      <c r="E1429" s="108">
        <v>0</v>
      </c>
      <c r="F1429" s="108" t="s">
        <v>135</v>
      </c>
      <c r="G1429" s="108"/>
      <c r="H1429" s="108">
        <v>1</v>
      </c>
    </row>
    <row r="1430" spans="1:8" ht="14">
      <c r="A1430" s="108">
        <v>2007</v>
      </c>
      <c r="B1430" s="108">
        <v>29</v>
      </c>
      <c r="C1430" s="108" t="s">
        <v>30</v>
      </c>
      <c r="D1430" s="108">
        <v>8.1906888606651407</v>
      </c>
      <c r="E1430" s="108">
        <v>0</v>
      </c>
      <c r="F1430" s="108" t="s">
        <v>137</v>
      </c>
      <c r="G1430" s="108"/>
      <c r="H1430" s="108">
        <v>1</v>
      </c>
    </row>
    <row r="1431" spans="1:8" ht="14">
      <c r="A1431" s="108">
        <v>2007</v>
      </c>
      <c r="B1431" s="108">
        <v>29</v>
      </c>
      <c r="C1431" s="108" t="s">
        <v>30</v>
      </c>
      <c r="D1431" s="108">
        <v>22850.131459922999</v>
      </c>
      <c r="E1431" s="108">
        <v>0</v>
      </c>
      <c r="F1431" s="108" t="s">
        <v>135</v>
      </c>
      <c r="G1431" s="108"/>
      <c r="H1431" s="108">
        <v>1</v>
      </c>
    </row>
    <row r="1432" spans="1:8" ht="14">
      <c r="A1432" s="108">
        <v>2007</v>
      </c>
      <c r="B1432" s="108">
        <v>29</v>
      </c>
      <c r="C1432" s="108" t="s">
        <v>30</v>
      </c>
      <c r="D1432" s="108">
        <v>23208.235851216199</v>
      </c>
      <c r="E1432" s="108">
        <v>0</v>
      </c>
      <c r="F1432" s="108" t="s">
        <v>136</v>
      </c>
      <c r="G1432" s="108"/>
      <c r="H1432" s="108">
        <v>1</v>
      </c>
    </row>
    <row r="1433" spans="1:8" ht="14">
      <c r="A1433" s="108">
        <v>2007</v>
      </c>
      <c r="B1433" s="108">
        <v>29</v>
      </c>
      <c r="C1433" s="108" t="s">
        <v>138</v>
      </c>
      <c r="D1433" s="108">
        <v>18252.022584149701</v>
      </c>
      <c r="E1433" s="108">
        <v>0</v>
      </c>
      <c r="F1433" s="108" t="s">
        <v>135</v>
      </c>
      <c r="G1433" s="108"/>
      <c r="H1433" s="108">
        <v>1</v>
      </c>
    </row>
    <row r="1434" spans="1:8" ht="14">
      <c r="A1434" s="108">
        <v>2007</v>
      </c>
      <c r="B1434" s="108">
        <v>29</v>
      </c>
      <c r="C1434" s="108" t="s">
        <v>138</v>
      </c>
      <c r="D1434" s="108">
        <v>8.1906888606651407</v>
      </c>
      <c r="E1434" s="108">
        <v>0</v>
      </c>
      <c r="F1434" s="108" t="s">
        <v>137</v>
      </c>
      <c r="G1434" s="108"/>
      <c r="H1434" s="108">
        <v>1</v>
      </c>
    </row>
    <row r="1435" spans="1:8" ht="14">
      <c r="A1435" s="108">
        <v>2007</v>
      </c>
      <c r="B1435" s="108">
        <v>29</v>
      </c>
      <c r="C1435" s="108" t="s">
        <v>138</v>
      </c>
      <c r="D1435" s="108">
        <v>11850.462726989501</v>
      </c>
      <c r="E1435" s="108">
        <v>0</v>
      </c>
      <c r="F1435" s="108" t="s">
        <v>136</v>
      </c>
      <c r="G1435" s="108"/>
      <c r="H1435" s="108">
        <v>1</v>
      </c>
    </row>
    <row r="1436" spans="1:8" ht="14">
      <c r="A1436" s="108">
        <v>2007</v>
      </c>
      <c r="B1436" s="108">
        <v>29</v>
      </c>
      <c r="C1436" s="108" t="s">
        <v>139</v>
      </c>
      <c r="D1436" s="108">
        <v>4598.1088757732796</v>
      </c>
      <c r="E1436" s="108">
        <v>0</v>
      </c>
      <c r="F1436" s="108" t="s">
        <v>135</v>
      </c>
      <c r="G1436" s="108"/>
      <c r="H1436" s="108">
        <v>1</v>
      </c>
    </row>
    <row r="1437" spans="1:8" ht="14">
      <c r="A1437" s="108">
        <v>2007</v>
      </c>
      <c r="B1437" s="108">
        <v>29</v>
      </c>
      <c r="C1437" s="108" t="s">
        <v>139</v>
      </c>
      <c r="D1437" s="108">
        <v>11357.7731242267</v>
      </c>
      <c r="E1437" s="108">
        <v>0</v>
      </c>
      <c r="F1437" s="108" t="s">
        <v>136</v>
      </c>
      <c r="G1437" s="108"/>
      <c r="H1437" s="108">
        <v>1</v>
      </c>
    </row>
    <row r="1438" spans="1:8" ht="14">
      <c r="A1438" s="108">
        <v>2007</v>
      </c>
      <c r="B1438" s="108">
        <v>31</v>
      </c>
      <c r="C1438" s="108" t="s">
        <v>30</v>
      </c>
      <c r="D1438" s="108">
        <v>93.735905941364805</v>
      </c>
      <c r="E1438" s="108">
        <v>119.63378185524</v>
      </c>
      <c r="F1438" s="108" t="s">
        <v>137</v>
      </c>
      <c r="G1438" s="108">
        <v>119.633809325999</v>
      </c>
      <c r="H1438" s="108">
        <v>1</v>
      </c>
    </row>
    <row r="1439" spans="1:8" ht="14">
      <c r="A1439" s="108">
        <v>2007</v>
      </c>
      <c r="B1439" s="108">
        <v>31</v>
      </c>
      <c r="C1439" s="108" t="s">
        <v>30</v>
      </c>
      <c r="D1439" s="108">
        <v>17762.5558634888</v>
      </c>
      <c r="E1439" s="108">
        <v>1617.74539034347</v>
      </c>
      <c r="F1439" s="108" t="s">
        <v>136</v>
      </c>
      <c r="G1439" s="108">
        <v>1617.7454070670001</v>
      </c>
      <c r="H1439" s="108">
        <v>1</v>
      </c>
    </row>
    <row r="1440" spans="1:8" ht="14">
      <c r="A1440" s="108">
        <v>2007</v>
      </c>
      <c r="B1440" s="108">
        <v>31</v>
      </c>
      <c r="C1440" s="108" t="s">
        <v>30</v>
      </c>
      <c r="D1440" s="108">
        <v>1231.59923056974</v>
      </c>
      <c r="E1440" s="108">
        <v>154.67882780128201</v>
      </c>
      <c r="F1440" s="108" t="s">
        <v>135</v>
      </c>
      <c r="G1440" s="108">
        <v>154.67880654899901</v>
      </c>
      <c r="H1440" s="108">
        <v>1</v>
      </c>
    </row>
    <row r="1441" spans="1:8" ht="14">
      <c r="A1441" s="108">
        <v>2007</v>
      </c>
      <c r="B1441" s="108">
        <v>31</v>
      </c>
      <c r="C1441" s="108" t="s">
        <v>138</v>
      </c>
      <c r="D1441" s="108">
        <v>86.011749608613002</v>
      </c>
      <c r="E1441" s="108">
        <v>9.5396370838085307</v>
      </c>
      <c r="F1441" s="108" t="s">
        <v>137</v>
      </c>
      <c r="G1441" s="108">
        <v>9.5396356959999995</v>
      </c>
      <c r="H1441" s="108">
        <v>1</v>
      </c>
    </row>
    <row r="1442" spans="1:8" ht="14">
      <c r="A1442" s="108">
        <v>2007</v>
      </c>
      <c r="B1442" s="108">
        <v>31</v>
      </c>
      <c r="C1442" s="108" t="s">
        <v>138</v>
      </c>
      <c r="D1442" s="108">
        <v>485.221038569109</v>
      </c>
      <c r="E1442" s="108">
        <v>72.784727874612599</v>
      </c>
      <c r="F1442" s="108" t="s">
        <v>135</v>
      </c>
      <c r="G1442" s="108">
        <v>72.784720644000004</v>
      </c>
      <c r="H1442" s="108">
        <v>1</v>
      </c>
    </row>
    <row r="1443" spans="1:8" ht="14">
      <c r="A1443" s="108">
        <v>2007</v>
      </c>
      <c r="B1443" s="108">
        <v>31</v>
      </c>
      <c r="C1443" s="108" t="s">
        <v>138</v>
      </c>
      <c r="D1443" s="108">
        <v>11128.9002118222</v>
      </c>
      <c r="E1443" s="108">
        <v>897.23663504157696</v>
      </c>
      <c r="F1443" s="108" t="s">
        <v>136</v>
      </c>
      <c r="G1443" s="108">
        <v>897.23663274700095</v>
      </c>
      <c r="H1443" s="108">
        <v>1</v>
      </c>
    </row>
    <row r="1444" spans="1:8" ht="14">
      <c r="A1444" s="108">
        <v>2007</v>
      </c>
      <c r="B1444" s="108">
        <v>31</v>
      </c>
      <c r="C1444" s="108" t="s">
        <v>139</v>
      </c>
      <c r="D1444" s="108">
        <v>6633.6556516666096</v>
      </c>
      <c r="E1444" s="108">
        <v>720.50875530189705</v>
      </c>
      <c r="F1444" s="108" t="s">
        <v>136</v>
      </c>
      <c r="G1444" s="108">
        <v>720.50877432000095</v>
      </c>
      <c r="H1444" s="108">
        <v>1</v>
      </c>
    </row>
    <row r="1445" spans="1:8" ht="14">
      <c r="A1445" s="108">
        <v>2007</v>
      </c>
      <c r="B1445" s="108">
        <v>31</v>
      </c>
      <c r="C1445" s="108" t="s">
        <v>139</v>
      </c>
      <c r="D1445" s="108">
        <v>746.37819200063302</v>
      </c>
      <c r="E1445" s="108">
        <v>81.894099926669995</v>
      </c>
      <c r="F1445" s="108" t="s">
        <v>135</v>
      </c>
      <c r="G1445" s="108">
        <v>81.894085904999997</v>
      </c>
      <c r="H1445" s="108">
        <v>1</v>
      </c>
    </row>
    <row r="1446" spans="1:8" ht="14">
      <c r="A1446" s="108">
        <v>2007</v>
      </c>
      <c r="B1446" s="108">
        <v>31</v>
      </c>
      <c r="C1446" s="108" t="s">
        <v>139</v>
      </c>
      <c r="D1446" s="108">
        <v>7.7241563327518499</v>
      </c>
      <c r="E1446" s="108">
        <v>110.094144771432</v>
      </c>
      <c r="F1446" s="108" t="s">
        <v>137</v>
      </c>
      <c r="G1446" s="108">
        <v>110.09417363</v>
      </c>
      <c r="H1446" s="108">
        <v>1</v>
      </c>
    </row>
    <row r="1447" spans="1:8" ht="14">
      <c r="A1447" s="108">
        <v>2007</v>
      </c>
      <c r="B1447" s="108">
        <v>32</v>
      </c>
      <c r="C1447" s="108" t="s">
        <v>30</v>
      </c>
      <c r="D1447" s="108">
        <v>32429.232476960002</v>
      </c>
      <c r="E1447" s="108">
        <v>2774.58614407204</v>
      </c>
      <c r="F1447" s="108" t="s">
        <v>136</v>
      </c>
      <c r="G1447" s="108">
        <v>5549.1724137926003</v>
      </c>
      <c r="H1447" s="108">
        <v>1</v>
      </c>
    </row>
    <row r="1448" spans="1:8" ht="14">
      <c r="A1448" s="108">
        <v>2007</v>
      </c>
      <c r="B1448" s="108">
        <v>32</v>
      </c>
      <c r="C1448" s="108" t="s">
        <v>30</v>
      </c>
      <c r="D1448" s="108">
        <v>335.96037075257198</v>
      </c>
      <c r="E1448" s="108">
        <v>153.222443669163</v>
      </c>
      <c r="F1448" s="108" t="s">
        <v>137</v>
      </c>
      <c r="G1448" s="108">
        <v>306.44490046999903</v>
      </c>
      <c r="H1448" s="108">
        <v>1</v>
      </c>
    </row>
    <row r="1449" spans="1:8" ht="14">
      <c r="A1449" s="108">
        <v>2007</v>
      </c>
      <c r="B1449" s="108">
        <v>32</v>
      </c>
      <c r="C1449" s="108" t="s">
        <v>30</v>
      </c>
      <c r="D1449" s="108">
        <v>2027.7461522874401</v>
      </c>
      <c r="E1449" s="108">
        <v>163.82941225879199</v>
      </c>
      <c r="F1449" s="108" t="s">
        <v>135</v>
      </c>
      <c r="G1449" s="108">
        <v>327.65887393999998</v>
      </c>
      <c r="H1449" s="108">
        <v>1</v>
      </c>
    </row>
    <row r="1450" spans="1:8" ht="14">
      <c r="A1450" s="108">
        <v>2007</v>
      </c>
      <c r="B1450" s="108">
        <v>32</v>
      </c>
      <c r="C1450" s="108" t="s">
        <v>138</v>
      </c>
      <c r="D1450" s="108">
        <v>18963.737666474099</v>
      </c>
      <c r="E1450" s="108">
        <v>1452.99176505375</v>
      </c>
      <c r="F1450" s="108" t="s">
        <v>136</v>
      </c>
      <c r="G1450" s="108">
        <v>2905.9836859386</v>
      </c>
      <c r="H1450" s="108">
        <v>1</v>
      </c>
    </row>
    <row r="1451" spans="1:8" ht="14">
      <c r="A1451" s="108">
        <v>2007</v>
      </c>
      <c r="B1451" s="108">
        <v>32</v>
      </c>
      <c r="C1451" s="108" t="s">
        <v>138</v>
      </c>
      <c r="D1451" s="108">
        <v>302.20287426760598</v>
      </c>
      <c r="E1451" s="108">
        <v>29.757190946054301</v>
      </c>
      <c r="F1451" s="108" t="s">
        <v>137</v>
      </c>
      <c r="G1451" s="108">
        <v>59.514395530000002</v>
      </c>
      <c r="H1451" s="108">
        <v>1</v>
      </c>
    </row>
    <row r="1452" spans="1:8" ht="14">
      <c r="A1452" s="108">
        <v>2007</v>
      </c>
      <c r="B1452" s="108">
        <v>32</v>
      </c>
      <c r="C1452" s="108" t="s">
        <v>138</v>
      </c>
      <c r="D1452" s="108">
        <v>947.74145925822597</v>
      </c>
      <c r="E1452" s="108">
        <v>80.362044000190807</v>
      </c>
      <c r="F1452" s="108" t="s">
        <v>135</v>
      </c>
      <c r="G1452" s="108">
        <v>160.72409435</v>
      </c>
      <c r="H1452" s="108">
        <v>1</v>
      </c>
    </row>
    <row r="1453" spans="1:8" ht="14">
      <c r="A1453" s="108">
        <v>2007</v>
      </c>
      <c r="B1453" s="108">
        <v>32</v>
      </c>
      <c r="C1453" s="108" t="s">
        <v>139</v>
      </c>
      <c r="D1453" s="108">
        <v>13465.494810485799</v>
      </c>
      <c r="E1453" s="108">
        <v>1321.5943790182801</v>
      </c>
      <c r="F1453" s="108" t="s">
        <v>136</v>
      </c>
      <c r="G1453" s="108">
        <v>2643.1887278539898</v>
      </c>
      <c r="H1453" s="108">
        <v>1</v>
      </c>
    </row>
    <row r="1454" spans="1:8" ht="14">
      <c r="A1454" s="108">
        <v>2007</v>
      </c>
      <c r="B1454" s="108">
        <v>32</v>
      </c>
      <c r="C1454" s="108" t="s">
        <v>139</v>
      </c>
      <c r="D1454" s="108">
        <v>1080.0046930292201</v>
      </c>
      <c r="E1454" s="108">
        <v>83.467368258601198</v>
      </c>
      <c r="F1454" s="108" t="s">
        <v>135</v>
      </c>
      <c r="G1454" s="108">
        <v>166.93477959000001</v>
      </c>
      <c r="H1454" s="108">
        <v>1</v>
      </c>
    </row>
    <row r="1455" spans="1:8" ht="14">
      <c r="A1455" s="108">
        <v>2007</v>
      </c>
      <c r="B1455" s="108">
        <v>32</v>
      </c>
      <c r="C1455" s="108" t="s">
        <v>139</v>
      </c>
      <c r="D1455" s="108">
        <v>33.757496484966197</v>
      </c>
      <c r="E1455" s="108">
        <v>123.46525272310799</v>
      </c>
      <c r="F1455" s="108" t="s">
        <v>137</v>
      </c>
      <c r="G1455" s="108">
        <v>246.930504939999</v>
      </c>
      <c r="H1455" s="108">
        <v>1</v>
      </c>
    </row>
    <row r="1456" spans="1:8" ht="14">
      <c r="A1456" s="108">
        <v>2007</v>
      </c>
      <c r="B1456" s="108">
        <v>33</v>
      </c>
      <c r="C1456" s="108" t="s">
        <v>30</v>
      </c>
      <c r="D1456" s="108">
        <v>43.650737147282001</v>
      </c>
      <c r="E1456" s="108">
        <v>6.0425637343999004</v>
      </c>
      <c r="F1456" s="108" t="s">
        <v>135</v>
      </c>
      <c r="G1456" s="108">
        <v>9.0638455899999997</v>
      </c>
      <c r="H1456" s="108">
        <v>1</v>
      </c>
    </row>
    <row r="1457" spans="1:8" ht="14">
      <c r="A1457" s="108">
        <v>2007</v>
      </c>
      <c r="B1457" s="108">
        <v>33</v>
      </c>
      <c r="C1457" s="108" t="s">
        <v>30</v>
      </c>
      <c r="D1457" s="108">
        <v>0</v>
      </c>
      <c r="E1457" s="108">
        <v>0.61499999999999999</v>
      </c>
      <c r="F1457" s="108" t="s">
        <v>137</v>
      </c>
      <c r="G1457" s="108">
        <v>0.92249999999999999</v>
      </c>
      <c r="H1457" s="108">
        <v>1</v>
      </c>
    </row>
    <row r="1458" spans="1:8" ht="14">
      <c r="A1458" s="108">
        <v>2007</v>
      </c>
      <c r="B1458" s="108">
        <v>33</v>
      </c>
      <c r="C1458" s="108" t="s">
        <v>30</v>
      </c>
      <c r="D1458" s="108">
        <v>2227.6982628527098</v>
      </c>
      <c r="E1458" s="108">
        <v>33.840436265599998</v>
      </c>
      <c r="F1458" s="108" t="s">
        <v>136</v>
      </c>
      <c r="G1458" s="108">
        <v>50.760673079999997</v>
      </c>
      <c r="H1458" s="108">
        <v>1</v>
      </c>
    </row>
    <row r="1459" spans="1:8" ht="14">
      <c r="A1459" s="108">
        <v>2007</v>
      </c>
      <c r="B1459" s="108">
        <v>33</v>
      </c>
      <c r="C1459" s="108" t="s">
        <v>138</v>
      </c>
      <c r="D1459" s="108">
        <v>1747.41358938244</v>
      </c>
      <c r="E1459" s="108">
        <v>16.706178987681</v>
      </c>
      <c r="F1459" s="108" t="s">
        <v>136</v>
      </c>
      <c r="G1459" s="108">
        <v>25.059268540000001</v>
      </c>
      <c r="H1459" s="108">
        <v>1</v>
      </c>
    </row>
    <row r="1460" spans="1:8" ht="14">
      <c r="A1460" s="108">
        <v>2007</v>
      </c>
      <c r="B1460" s="108">
        <v>33</v>
      </c>
      <c r="C1460" s="108" t="s">
        <v>138</v>
      </c>
      <c r="D1460" s="108">
        <v>19.493410617551401</v>
      </c>
      <c r="E1460" s="108">
        <v>2.0608210123189199</v>
      </c>
      <c r="F1460" s="108" t="s">
        <v>135</v>
      </c>
      <c r="G1460" s="108">
        <v>3.0912313499999899</v>
      </c>
      <c r="H1460" s="108">
        <v>1</v>
      </c>
    </row>
    <row r="1461" spans="1:8" ht="14">
      <c r="A1461" s="108">
        <v>2007</v>
      </c>
      <c r="B1461" s="108">
        <v>33</v>
      </c>
      <c r="C1461" s="108" t="s">
        <v>138</v>
      </c>
      <c r="D1461" s="108">
        <v>0</v>
      </c>
      <c r="E1461" s="108">
        <v>0.61499999999999999</v>
      </c>
      <c r="F1461" s="108" t="s">
        <v>137</v>
      </c>
      <c r="G1461" s="108">
        <v>0.92249999999999999</v>
      </c>
      <c r="H1461" s="108">
        <v>1</v>
      </c>
    </row>
    <row r="1462" spans="1:8" ht="14">
      <c r="A1462" s="108">
        <v>2007</v>
      </c>
      <c r="B1462" s="108">
        <v>33</v>
      </c>
      <c r="C1462" s="108" t="s">
        <v>139</v>
      </c>
      <c r="D1462" s="108">
        <v>24.157326529730501</v>
      </c>
      <c r="E1462" s="108">
        <v>3.98174272208098</v>
      </c>
      <c r="F1462" s="108" t="s">
        <v>135</v>
      </c>
      <c r="G1462" s="108">
        <v>5.9726142399999897</v>
      </c>
      <c r="H1462" s="108">
        <v>1</v>
      </c>
    </row>
    <row r="1463" spans="1:8" ht="14">
      <c r="A1463" s="108">
        <v>2007</v>
      </c>
      <c r="B1463" s="108">
        <v>33</v>
      </c>
      <c r="C1463" s="108" t="s">
        <v>139</v>
      </c>
      <c r="D1463" s="108">
        <v>480.28467347026901</v>
      </c>
      <c r="E1463" s="108">
        <v>17.134257277919001</v>
      </c>
      <c r="F1463" s="108" t="s">
        <v>136</v>
      </c>
      <c r="G1463" s="108">
        <v>25.701404539999999</v>
      </c>
      <c r="H1463" s="108">
        <v>1</v>
      </c>
    </row>
    <row r="1464" spans="1:8" ht="14">
      <c r="A1464" s="108">
        <v>2007</v>
      </c>
      <c r="B1464" s="108">
        <v>34</v>
      </c>
      <c r="C1464" s="108" t="s">
        <v>30</v>
      </c>
      <c r="D1464" s="108">
        <v>84.018264486600103</v>
      </c>
      <c r="E1464" s="108">
        <v>8.2335815907595205</v>
      </c>
      <c r="F1464" s="108" t="s">
        <v>135</v>
      </c>
      <c r="G1464" s="108">
        <v>18.52556586</v>
      </c>
      <c r="H1464" s="108">
        <v>1</v>
      </c>
    </row>
    <row r="1465" spans="1:8" ht="14">
      <c r="A1465" s="108">
        <v>2007</v>
      </c>
      <c r="B1465" s="108">
        <v>34</v>
      </c>
      <c r="C1465" s="108" t="s">
        <v>30</v>
      </c>
      <c r="D1465" s="108">
        <v>4270.1878211943904</v>
      </c>
      <c r="E1465" s="108">
        <v>319.37008425619598</v>
      </c>
      <c r="F1465" s="108" t="s">
        <v>136</v>
      </c>
      <c r="G1465" s="108">
        <v>718.582757474</v>
      </c>
      <c r="H1465" s="108">
        <v>1</v>
      </c>
    </row>
    <row r="1466" spans="1:8" ht="14">
      <c r="A1466" s="108">
        <v>2007</v>
      </c>
      <c r="B1466" s="108">
        <v>34</v>
      </c>
      <c r="C1466" s="108" t="s">
        <v>30</v>
      </c>
      <c r="D1466" s="108">
        <v>3.25891431900956</v>
      </c>
      <c r="E1466" s="108">
        <v>0.47233415304436199</v>
      </c>
      <c r="F1466" s="108" t="s">
        <v>137</v>
      </c>
      <c r="G1466" s="108">
        <v>1.0627518</v>
      </c>
      <c r="H1466" s="108">
        <v>1</v>
      </c>
    </row>
    <row r="1467" spans="1:8" ht="14">
      <c r="A1467" s="108">
        <v>2007</v>
      </c>
      <c r="B1467" s="108">
        <v>34</v>
      </c>
      <c r="C1467" s="108" t="s">
        <v>138</v>
      </c>
      <c r="D1467" s="108">
        <v>3.25891431900956</v>
      </c>
      <c r="E1467" s="108">
        <v>0.36679289620751998</v>
      </c>
      <c r="F1467" s="108" t="s">
        <v>137</v>
      </c>
      <c r="G1467" s="108">
        <v>0.82528411999999995</v>
      </c>
      <c r="H1467" s="108">
        <v>1</v>
      </c>
    </row>
    <row r="1468" spans="1:8" ht="14">
      <c r="A1468" s="108">
        <v>2007</v>
      </c>
      <c r="B1468" s="108">
        <v>34</v>
      </c>
      <c r="C1468" s="108" t="s">
        <v>138</v>
      </c>
      <c r="D1468" s="108">
        <v>38.8412528224098</v>
      </c>
      <c r="E1468" s="108">
        <v>4.2295875951279802</v>
      </c>
      <c r="F1468" s="108" t="s">
        <v>135</v>
      </c>
      <c r="G1468" s="108">
        <v>9.5165810299999993</v>
      </c>
      <c r="H1468" s="108">
        <v>1</v>
      </c>
    </row>
    <row r="1469" spans="1:8" ht="14">
      <c r="A1469" s="108">
        <v>2007</v>
      </c>
      <c r="B1469" s="108">
        <v>34</v>
      </c>
      <c r="C1469" s="108" t="s">
        <v>138</v>
      </c>
      <c r="D1469" s="108">
        <v>2800.69483285858</v>
      </c>
      <c r="E1469" s="108">
        <v>163.90061950866399</v>
      </c>
      <c r="F1469" s="108" t="s">
        <v>136</v>
      </c>
      <c r="G1469" s="108">
        <v>368.776431194</v>
      </c>
      <c r="H1469" s="108">
        <v>1</v>
      </c>
    </row>
    <row r="1470" spans="1:8" ht="14">
      <c r="A1470" s="108">
        <v>2007</v>
      </c>
      <c r="B1470" s="108">
        <v>34</v>
      </c>
      <c r="C1470" s="108" t="s">
        <v>139</v>
      </c>
      <c r="D1470" s="108">
        <v>0</v>
      </c>
      <c r="E1470" s="108">
        <v>0.105541256836842</v>
      </c>
      <c r="F1470" s="108" t="s">
        <v>137</v>
      </c>
      <c r="G1470" s="108">
        <v>0.23746767999999999</v>
      </c>
      <c r="H1470" s="108">
        <v>1</v>
      </c>
    </row>
    <row r="1471" spans="1:8" ht="14">
      <c r="A1471" s="108">
        <v>2007</v>
      </c>
      <c r="B1471" s="108">
        <v>34</v>
      </c>
      <c r="C1471" s="108" t="s">
        <v>139</v>
      </c>
      <c r="D1471" s="108">
        <v>45.177011664190204</v>
      </c>
      <c r="E1471" s="108">
        <v>4.0039939956315402</v>
      </c>
      <c r="F1471" s="108" t="s">
        <v>135</v>
      </c>
      <c r="G1471" s="108">
        <v>9.0089848299999993</v>
      </c>
      <c r="H1471" s="108">
        <v>1</v>
      </c>
    </row>
    <row r="1472" spans="1:8" ht="14">
      <c r="A1472" s="108">
        <v>2007</v>
      </c>
      <c r="B1472" s="108">
        <v>34</v>
      </c>
      <c r="C1472" s="108" t="s">
        <v>139</v>
      </c>
      <c r="D1472" s="108">
        <v>1469.49298833581</v>
      </c>
      <c r="E1472" s="108">
        <v>155.46946474753099</v>
      </c>
      <c r="F1472" s="108" t="s">
        <v>136</v>
      </c>
      <c r="G1472" s="108">
        <v>349.80632628000001</v>
      </c>
      <c r="H1472" s="108">
        <v>1</v>
      </c>
    </row>
    <row r="1473" spans="1:8" ht="14">
      <c r="A1473" s="108">
        <v>2007</v>
      </c>
      <c r="B1473" s="108">
        <v>51</v>
      </c>
      <c r="C1473" s="108" t="s">
        <v>30</v>
      </c>
      <c r="D1473" s="108">
        <v>38951.323826002597</v>
      </c>
      <c r="E1473" s="108">
        <v>3544.6274555863101</v>
      </c>
      <c r="F1473" s="108" t="s">
        <v>136</v>
      </c>
      <c r="G1473" s="108"/>
      <c r="H1473" s="108">
        <v>1</v>
      </c>
    </row>
    <row r="1474" spans="1:8" ht="14">
      <c r="A1474" s="108">
        <v>2007</v>
      </c>
      <c r="B1474" s="108">
        <v>51</v>
      </c>
      <c r="C1474" s="108" t="s">
        <v>30</v>
      </c>
      <c r="D1474" s="108">
        <v>9059.1291739973894</v>
      </c>
      <c r="E1474" s="108">
        <v>732.05854441368001</v>
      </c>
      <c r="F1474" s="108" t="s">
        <v>135</v>
      </c>
      <c r="G1474" s="108"/>
      <c r="H1474" s="108">
        <v>1</v>
      </c>
    </row>
    <row r="1475" spans="1:8" ht="14">
      <c r="A1475" s="108">
        <v>2007</v>
      </c>
      <c r="B1475" s="108">
        <v>51</v>
      </c>
      <c r="C1475" s="108" t="s">
        <v>138</v>
      </c>
      <c r="D1475" s="108">
        <v>4562.2671520755403</v>
      </c>
      <c r="E1475" s="108">
        <v>360.60266396178798</v>
      </c>
      <c r="F1475" s="108" t="s">
        <v>135</v>
      </c>
      <c r="G1475" s="108"/>
      <c r="H1475" s="108">
        <v>1</v>
      </c>
    </row>
    <row r="1476" spans="1:8" ht="14">
      <c r="A1476" s="108">
        <v>2007</v>
      </c>
      <c r="B1476" s="108">
        <v>51</v>
      </c>
      <c r="C1476" s="108" t="s">
        <v>138</v>
      </c>
      <c r="D1476" s="108">
        <v>22754.7938479244</v>
      </c>
      <c r="E1476" s="108">
        <v>1743.6393360382101</v>
      </c>
      <c r="F1476" s="108" t="s">
        <v>136</v>
      </c>
      <c r="G1476" s="108"/>
      <c r="H1476" s="108">
        <v>1</v>
      </c>
    </row>
    <row r="1477" spans="1:8" ht="14">
      <c r="A1477" s="108">
        <v>2007</v>
      </c>
      <c r="B1477" s="108">
        <v>51</v>
      </c>
      <c r="C1477" s="108" t="s">
        <v>139</v>
      </c>
      <c r="D1477" s="108">
        <v>4496.8620219218501</v>
      </c>
      <c r="E1477" s="108">
        <v>371.45588045189203</v>
      </c>
      <c r="F1477" s="108" t="s">
        <v>135</v>
      </c>
      <c r="G1477" s="108"/>
      <c r="H1477" s="108">
        <v>1</v>
      </c>
    </row>
    <row r="1478" spans="1:8" ht="14">
      <c r="A1478" s="108">
        <v>2007</v>
      </c>
      <c r="B1478" s="108">
        <v>51</v>
      </c>
      <c r="C1478" s="108" t="s">
        <v>139</v>
      </c>
      <c r="D1478" s="108">
        <v>16196.529978078101</v>
      </c>
      <c r="E1478" s="108">
        <v>1800.9881195481</v>
      </c>
      <c r="F1478" s="108" t="s">
        <v>136</v>
      </c>
      <c r="G1478" s="108"/>
      <c r="H1478" s="108">
        <v>1</v>
      </c>
    </row>
    <row r="1479" spans="1:8" ht="14">
      <c r="A1479" s="108">
        <v>2007</v>
      </c>
      <c r="B1479" s="108">
        <v>52</v>
      </c>
      <c r="C1479" s="108" t="s">
        <v>30</v>
      </c>
      <c r="D1479" s="108">
        <v>0</v>
      </c>
      <c r="E1479" s="108">
        <v>5068.67915196586</v>
      </c>
      <c r="F1479" s="108" t="s">
        <v>136</v>
      </c>
      <c r="G1479" s="108"/>
      <c r="H1479" s="108">
        <v>1</v>
      </c>
    </row>
    <row r="1480" spans="1:8" ht="14">
      <c r="A1480" s="108">
        <v>2007</v>
      </c>
      <c r="B1480" s="108">
        <v>52</v>
      </c>
      <c r="C1480" s="108" t="s">
        <v>30</v>
      </c>
      <c r="D1480" s="108">
        <v>0</v>
      </c>
      <c r="E1480" s="108">
        <v>1370.22384803413</v>
      </c>
      <c r="F1480" s="108" t="s">
        <v>135</v>
      </c>
      <c r="G1480" s="108"/>
      <c r="H1480" s="108">
        <v>1</v>
      </c>
    </row>
    <row r="1481" spans="1:8" ht="14">
      <c r="A1481" s="108">
        <v>2007</v>
      </c>
      <c r="B1481" s="108">
        <v>52</v>
      </c>
      <c r="C1481" s="108" t="s">
        <v>138</v>
      </c>
      <c r="D1481" s="108">
        <v>0</v>
      </c>
      <c r="E1481" s="108">
        <v>2483.1234186556098</v>
      </c>
      <c r="F1481" s="108" t="s">
        <v>136</v>
      </c>
      <c r="G1481" s="108"/>
      <c r="H1481" s="108">
        <v>1</v>
      </c>
    </row>
    <row r="1482" spans="1:8" ht="14">
      <c r="A1482" s="108">
        <v>2007</v>
      </c>
      <c r="B1482" s="108">
        <v>52</v>
      </c>
      <c r="C1482" s="108" t="s">
        <v>138</v>
      </c>
      <c r="D1482" s="108">
        <v>0</v>
      </c>
      <c r="E1482" s="108">
        <v>684.66758134438805</v>
      </c>
      <c r="F1482" s="108" t="s">
        <v>135</v>
      </c>
      <c r="G1482" s="108"/>
      <c r="H1482" s="108">
        <v>1</v>
      </c>
    </row>
    <row r="1483" spans="1:8" ht="14">
      <c r="A1483" s="108">
        <v>2007</v>
      </c>
      <c r="B1483" s="108">
        <v>52</v>
      </c>
      <c r="C1483" s="108" t="s">
        <v>139</v>
      </c>
      <c r="D1483" s="108">
        <v>0</v>
      </c>
      <c r="E1483" s="108">
        <v>685.55626668974696</v>
      </c>
      <c r="F1483" s="108" t="s">
        <v>135</v>
      </c>
      <c r="G1483" s="108"/>
      <c r="H1483" s="108">
        <v>1</v>
      </c>
    </row>
    <row r="1484" spans="1:8" ht="14">
      <c r="A1484" s="108">
        <v>2007</v>
      </c>
      <c r="B1484" s="108">
        <v>52</v>
      </c>
      <c r="C1484" s="108" t="s">
        <v>139</v>
      </c>
      <c r="D1484" s="108">
        <v>0</v>
      </c>
      <c r="E1484" s="108">
        <v>2585.5557333102502</v>
      </c>
      <c r="F1484" s="108" t="s">
        <v>136</v>
      </c>
      <c r="G1484" s="108"/>
      <c r="H1484" s="108">
        <v>1</v>
      </c>
    </row>
    <row r="1485" spans="1:8" ht="14">
      <c r="A1485" s="108">
        <v>2007</v>
      </c>
      <c r="B1485" s="108">
        <v>53</v>
      </c>
      <c r="C1485" s="108" t="s">
        <v>30</v>
      </c>
      <c r="D1485" s="108">
        <v>0</v>
      </c>
      <c r="E1485" s="108">
        <v>15.061999999999999</v>
      </c>
      <c r="F1485" s="108" t="s">
        <v>135</v>
      </c>
      <c r="G1485" s="108"/>
      <c r="H1485" s="108">
        <v>1</v>
      </c>
    </row>
    <row r="1486" spans="1:8" ht="14">
      <c r="A1486" s="108">
        <v>2007</v>
      </c>
      <c r="B1486" s="108">
        <v>53</v>
      </c>
      <c r="C1486" s="108" t="s">
        <v>30</v>
      </c>
      <c r="D1486" s="108">
        <v>0</v>
      </c>
      <c r="E1486" s="108">
        <v>136.99100000000001</v>
      </c>
      <c r="F1486" s="108" t="s">
        <v>136</v>
      </c>
      <c r="G1486" s="108"/>
      <c r="H1486" s="108">
        <v>1</v>
      </c>
    </row>
    <row r="1487" spans="1:8" ht="14">
      <c r="A1487" s="108">
        <v>2007</v>
      </c>
      <c r="B1487" s="108">
        <v>53</v>
      </c>
      <c r="C1487" s="108" t="s">
        <v>138</v>
      </c>
      <c r="D1487" s="108">
        <v>0</v>
      </c>
      <c r="E1487" s="108">
        <v>7.5869999999999997</v>
      </c>
      <c r="F1487" s="108" t="s">
        <v>135</v>
      </c>
      <c r="G1487" s="108"/>
      <c r="H1487" s="108">
        <v>1</v>
      </c>
    </row>
    <row r="1488" spans="1:8" ht="14">
      <c r="A1488" s="108">
        <v>2007</v>
      </c>
      <c r="B1488" s="108">
        <v>53</v>
      </c>
      <c r="C1488" s="108" t="s">
        <v>138</v>
      </c>
      <c r="D1488" s="108">
        <v>0</v>
      </c>
      <c r="E1488" s="108">
        <v>69.069000000000003</v>
      </c>
      <c r="F1488" s="108" t="s">
        <v>136</v>
      </c>
      <c r="G1488" s="108"/>
      <c r="H1488" s="108">
        <v>1</v>
      </c>
    </row>
    <row r="1489" spans="1:8" ht="14">
      <c r="A1489" s="108">
        <v>2007</v>
      </c>
      <c r="B1489" s="108">
        <v>53</v>
      </c>
      <c r="C1489" s="108" t="s">
        <v>139</v>
      </c>
      <c r="D1489" s="108">
        <v>0</v>
      </c>
      <c r="E1489" s="108">
        <v>7.4749999999999996</v>
      </c>
      <c r="F1489" s="108" t="s">
        <v>135</v>
      </c>
      <c r="G1489" s="108"/>
      <c r="H1489" s="108">
        <v>1</v>
      </c>
    </row>
    <row r="1490" spans="1:8" ht="14">
      <c r="A1490" s="108">
        <v>2007</v>
      </c>
      <c r="B1490" s="108">
        <v>53</v>
      </c>
      <c r="C1490" s="108" t="s">
        <v>139</v>
      </c>
      <c r="D1490" s="108">
        <v>0</v>
      </c>
      <c r="E1490" s="108">
        <v>67.921999999999997</v>
      </c>
      <c r="F1490" s="108" t="s">
        <v>136</v>
      </c>
      <c r="G1490" s="108"/>
      <c r="H1490" s="108">
        <v>1</v>
      </c>
    </row>
    <row r="1491" spans="1:8" ht="14">
      <c r="A1491" s="108">
        <v>2007</v>
      </c>
      <c r="B1491" s="108">
        <v>54</v>
      </c>
      <c r="C1491" s="108" t="s">
        <v>30</v>
      </c>
      <c r="D1491" s="108">
        <v>5768.0860710554798</v>
      </c>
      <c r="E1491" s="108">
        <v>3892.8884831304699</v>
      </c>
      <c r="F1491" s="108" t="s">
        <v>136</v>
      </c>
      <c r="G1491" s="108"/>
      <c r="H1491" s="108">
        <v>1</v>
      </c>
    </row>
    <row r="1492" spans="1:8" ht="14">
      <c r="A1492" s="108">
        <v>2007</v>
      </c>
      <c r="B1492" s="108">
        <v>54</v>
      </c>
      <c r="C1492" s="108" t="s">
        <v>30</v>
      </c>
      <c r="D1492" s="108">
        <v>163.47992894451599</v>
      </c>
      <c r="E1492" s="108">
        <v>128.82051686952801</v>
      </c>
      <c r="F1492" s="108" t="s">
        <v>135</v>
      </c>
      <c r="G1492" s="108"/>
      <c r="H1492" s="108">
        <v>1</v>
      </c>
    </row>
    <row r="1493" spans="1:8" ht="14">
      <c r="A1493" s="108">
        <v>2007</v>
      </c>
      <c r="B1493" s="108">
        <v>54</v>
      </c>
      <c r="C1493" s="108" t="s">
        <v>138</v>
      </c>
      <c r="D1493" s="108">
        <v>106.813584465311</v>
      </c>
      <c r="E1493" s="108">
        <v>84.765983047860303</v>
      </c>
      <c r="F1493" s="108" t="s">
        <v>135</v>
      </c>
      <c r="G1493" s="108"/>
      <c r="H1493" s="108">
        <v>1</v>
      </c>
    </row>
    <row r="1494" spans="1:8" ht="14">
      <c r="A1494" s="108">
        <v>2007</v>
      </c>
      <c r="B1494" s="108">
        <v>54</v>
      </c>
      <c r="C1494" s="108" t="s">
        <v>138</v>
      </c>
      <c r="D1494" s="108">
        <v>3270.4524155346799</v>
      </c>
      <c r="E1494" s="108">
        <v>2427.7380169521398</v>
      </c>
      <c r="F1494" s="108" t="s">
        <v>136</v>
      </c>
      <c r="G1494" s="108"/>
      <c r="H1494" s="108">
        <v>1</v>
      </c>
    </row>
    <row r="1495" spans="1:8" ht="14">
      <c r="A1495" s="108">
        <v>2007</v>
      </c>
      <c r="B1495" s="108">
        <v>54</v>
      </c>
      <c r="C1495" s="108" t="s">
        <v>139</v>
      </c>
      <c r="D1495" s="108">
        <v>2497.6336555207899</v>
      </c>
      <c r="E1495" s="108">
        <v>1465.1504661783299</v>
      </c>
      <c r="F1495" s="108" t="s">
        <v>136</v>
      </c>
      <c r="G1495" s="108"/>
      <c r="H1495" s="108">
        <v>1</v>
      </c>
    </row>
    <row r="1496" spans="1:8" ht="14">
      <c r="A1496" s="108">
        <v>2007</v>
      </c>
      <c r="B1496" s="108">
        <v>54</v>
      </c>
      <c r="C1496" s="108" t="s">
        <v>139</v>
      </c>
      <c r="D1496" s="108">
        <v>56.666344479204803</v>
      </c>
      <c r="E1496" s="108">
        <v>44.054533821668301</v>
      </c>
      <c r="F1496" s="108" t="s">
        <v>135</v>
      </c>
      <c r="G1496" s="108"/>
      <c r="H1496" s="108">
        <v>1</v>
      </c>
    </row>
    <row r="1497" spans="1:8" ht="14">
      <c r="A1497" s="108">
        <v>2007</v>
      </c>
      <c r="B1497" s="108">
        <v>56</v>
      </c>
      <c r="C1497" s="108" t="s">
        <v>30</v>
      </c>
      <c r="D1497" s="108">
        <v>3</v>
      </c>
      <c r="E1497" s="108">
        <v>48.6</v>
      </c>
      <c r="F1497" s="108" t="s">
        <v>135</v>
      </c>
      <c r="G1497" s="108"/>
      <c r="H1497" s="108">
        <v>1</v>
      </c>
    </row>
    <row r="1498" spans="1:8" ht="14">
      <c r="A1498" s="108">
        <v>2007</v>
      </c>
      <c r="B1498" s="108">
        <v>56</v>
      </c>
      <c r="C1498" s="108" t="s">
        <v>138</v>
      </c>
      <c r="D1498" s="108">
        <v>3</v>
      </c>
      <c r="E1498" s="108">
        <v>48.6</v>
      </c>
      <c r="F1498" s="108" t="s">
        <v>135</v>
      </c>
      <c r="G1498" s="108"/>
      <c r="H1498" s="108">
        <v>1</v>
      </c>
    </row>
    <row r="1499" spans="1:8" ht="14">
      <c r="A1499" s="108">
        <v>2007</v>
      </c>
      <c r="B1499" s="108">
        <v>59</v>
      </c>
      <c r="C1499" s="108" t="s">
        <v>30</v>
      </c>
      <c r="D1499" s="108">
        <v>35.92</v>
      </c>
      <c r="E1499" s="108">
        <v>32.139000000000003</v>
      </c>
      <c r="F1499" s="108" t="s">
        <v>135</v>
      </c>
      <c r="G1499" s="108"/>
      <c r="H1499" s="108">
        <v>1</v>
      </c>
    </row>
    <row r="1500" spans="1:8" ht="14">
      <c r="A1500" s="108">
        <v>2007</v>
      </c>
      <c r="B1500" s="108">
        <v>59</v>
      </c>
      <c r="C1500" s="108" t="s">
        <v>30</v>
      </c>
      <c r="D1500" s="108">
        <v>158.64399999999901</v>
      </c>
      <c r="E1500" s="108">
        <v>10.901999999999999</v>
      </c>
      <c r="F1500" s="108" t="s">
        <v>136</v>
      </c>
      <c r="G1500" s="108"/>
      <c r="H1500" s="108">
        <v>1</v>
      </c>
    </row>
    <row r="1501" spans="1:8" ht="14">
      <c r="A1501" s="108">
        <v>2007</v>
      </c>
      <c r="B1501" s="108">
        <v>59</v>
      </c>
      <c r="C1501" s="108" t="s">
        <v>30</v>
      </c>
      <c r="D1501" s="108">
        <v>0.995</v>
      </c>
      <c r="E1501" s="108">
        <v>0.19900000000000001</v>
      </c>
      <c r="F1501" s="108" t="s">
        <v>137</v>
      </c>
      <c r="G1501" s="108"/>
      <c r="H1501" s="108">
        <v>1</v>
      </c>
    </row>
    <row r="1502" spans="1:8" ht="14">
      <c r="A1502" s="108">
        <v>2007</v>
      </c>
      <c r="B1502" s="108">
        <v>59</v>
      </c>
      <c r="C1502" s="108" t="s">
        <v>138</v>
      </c>
      <c r="D1502" s="108">
        <v>37.792999999999999</v>
      </c>
      <c r="E1502" s="108">
        <v>2.7519999999999998</v>
      </c>
      <c r="F1502" s="108" t="s">
        <v>136</v>
      </c>
      <c r="G1502" s="108"/>
      <c r="H1502" s="108">
        <v>1</v>
      </c>
    </row>
    <row r="1503" spans="1:8" ht="14">
      <c r="A1503" s="108">
        <v>2007</v>
      </c>
      <c r="B1503" s="108">
        <v>59</v>
      </c>
      <c r="C1503" s="108" t="s">
        <v>138</v>
      </c>
      <c r="D1503" s="108">
        <v>12.057</v>
      </c>
      <c r="E1503" s="108">
        <v>7.8629999999999898</v>
      </c>
      <c r="F1503" s="108" t="s">
        <v>135</v>
      </c>
      <c r="G1503" s="108"/>
      <c r="H1503" s="108">
        <v>1</v>
      </c>
    </row>
    <row r="1504" spans="1:8" ht="14">
      <c r="A1504" s="108">
        <v>2007</v>
      </c>
      <c r="B1504" s="108">
        <v>59</v>
      </c>
      <c r="C1504" s="108" t="s">
        <v>139</v>
      </c>
      <c r="D1504" s="108">
        <v>0.995</v>
      </c>
      <c r="E1504" s="108">
        <v>0.19900000000000001</v>
      </c>
      <c r="F1504" s="108" t="s">
        <v>137</v>
      </c>
      <c r="G1504" s="108"/>
      <c r="H1504" s="108">
        <v>1</v>
      </c>
    </row>
    <row r="1505" spans="1:8" ht="14">
      <c r="A1505" s="108">
        <v>2007</v>
      </c>
      <c r="B1505" s="108">
        <v>59</v>
      </c>
      <c r="C1505" s="108" t="s">
        <v>139</v>
      </c>
      <c r="D1505" s="108">
        <v>120.851</v>
      </c>
      <c r="E1505" s="108">
        <v>8.1499999999999897</v>
      </c>
      <c r="F1505" s="108" t="s">
        <v>136</v>
      </c>
      <c r="G1505" s="108"/>
      <c r="H1505" s="108">
        <v>1</v>
      </c>
    </row>
    <row r="1506" spans="1:8" ht="14">
      <c r="A1506" s="108">
        <v>2007</v>
      </c>
      <c r="B1506" s="108">
        <v>59</v>
      </c>
      <c r="C1506" s="108" t="s">
        <v>139</v>
      </c>
      <c r="D1506" s="108">
        <v>23.863</v>
      </c>
      <c r="E1506" s="108">
        <v>24.2759999999999</v>
      </c>
      <c r="F1506" s="108" t="s">
        <v>135</v>
      </c>
      <c r="G1506" s="108"/>
      <c r="H1506" s="108">
        <v>1</v>
      </c>
    </row>
    <row r="1507" spans="1:8" ht="14">
      <c r="A1507" s="108">
        <v>2007</v>
      </c>
      <c r="B1507" s="108">
        <v>61</v>
      </c>
      <c r="C1507" s="108" t="s">
        <v>30</v>
      </c>
      <c r="D1507" s="108">
        <v>13312.7811207834</v>
      </c>
      <c r="E1507" s="108">
        <v>1082.9878098019799</v>
      </c>
      <c r="F1507" s="108" t="s">
        <v>135</v>
      </c>
      <c r="G1507" s="108"/>
      <c r="H1507" s="108">
        <v>1</v>
      </c>
    </row>
    <row r="1508" spans="1:8" ht="14">
      <c r="A1508" s="108">
        <v>2007</v>
      </c>
      <c r="B1508" s="108">
        <v>61</v>
      </c>
      <c r="C1508" s="108" t="s">
        <v>30</v>
      </c>
      <c r="D1508" s="108">
        <v>24699.091879216499</v>
      </c>
      <c r="E1508" s="108">
        <v>1869.5221901980101</v>
      </c>
      <c r="F1508" s="108" t="s">
        <v>136</v>
      </c>
      <c r="G1508" s="108"/>
      <c r="H1508" s="108">
        <v>1</v>
      </c>
    </row>
    <row r="1509" spans="1:8" ht="14">
      <c r="A1509" s="108">
        <v>2007</v>
      </c>
      <c r="B1509" s="108">
        <v>61</v>
      </c>
      <c r="C1509" s="108" t="s">
        <v>138</v>
      </c>
      <c r="D1509" s="108">
        <v>6602.8354356648297</v>
      </c>
      <c r="E1509" s="108">
        <v>526.53650278703299</v>
      </c>
      <c r="F1509" s="108" t="s">
        <v>135</v>
      </c>
      <c r="G1509" s="108"/>
      <c r="H1509" s="108">
        <v>1</v>
      </c>
    </row>
    <row r="1510" spans="1:8" ht="14">
      <c r="A1510" s="108">
        <v>2007</v>
      </c>
      <c r="B1510" s="108">
        <v>61</v>
      </c>
      <c r="C1510" s="108" t="s">
        <v>138</v>
      </c>
      <c r="D1510" s="108">
        <v>14585.6645643351</v>
      </c>
      <c r="E1510" s="108">
        <v>954.71149721296695</v>
      </c>
      <c r="F1510" s="108" t="s">
        <v>136</v>
      </c>
      <c r="G1510" s="108"/>
      <c r="H1510" s="108">
        <v>1</v>
      </c>
    </row>
    <row r="1511" spans="1:8" ht="14">
      <c r="A1511" s="108">
        <v>2007</v>
      </c>
      <c r="B1511" s="108">
        <v>61</v>
      </c>
      <c r="C1511" s="108" t="s">
        <v>139</v>
      </c>
      <c r="D1511" s="108">
        <v>10113.427314881401</v>
      </c>
      <c r="E1511" s="108">
        <v>914.81069298505201</v>
      </c>
      <c r="F1511" s="108" t="s">
        <v>136</v>
      </c>
      <c r="G1511" s="108"/>
      <c r="H1511" s="108">
        <v>1</v>
      </c>
    </row>
    <row r="1512" spans="1:8" ht="14">
      <c r="A1512" s="108">
        <v>2007</v>
      </c>
      <c r="B1512" s="108">
        <v>61</v>
      </c>
      <c r="C1512" s="108" t="s">
        <v>139</v>
      </c>
      <c r="D1512" s="108">
        <v>6709.9456851185696</v>
      </c>
      <c r="E1512" s="108">
        <v>556.45130701494702</v>
      </c>
      <c r="F1512" s="108" t="s">
        <v>135</v>
      </c>
      <c r="G1512" s="108"/>
      <c r="H1512" s="108">
        <v>1</v>
      </c>
    </row>
    <row r="1513" spans="1:8" ht="14">
      <c r="A1513" s="108">
        <v>2007</v>
      </c>
      <c r="B1513" s="108">
        <v>62</v>
      </c>
      <c r="C1513" s="108" t="s">
        <v>30</v>
      </c>
      <c r="D1513" s="108">
        <v>39.472000000000001</v>
      </c>
      <c r="E1513" s="108">
        <v>30.317999999999898</v>
      </c>
      <c r="F1513" s="108" t="s">
        <v>135</v>
      </c>
      <c r="G1513" s="108"/>
      <c r="H1513" s="108">
        <v>1</v>
      </c>
    </row>
    <row r="1514" spans="1:8" ht="14">
      <c r="A1514" s="108">
        <v>2007</v>
      </c>
      <c r="B1514" s="108">
        <v>62</v>
      </c>
      <c r="C1514" s="108" t="s">
        <v>30</v>
      </c>
      <c r="D1514" s="108">
        <v>984.54</v>
      </c>
      <c r="E1514" s="108">
        <v>91.703999999999894</v>
      </c>
      <c r="F1514" s="108" t="s">
        <v>136</v>
      </c>
      <c r="G1514" s="108"/>
      <c r="H1514" s="108">
        <v>1</v>
      </c>
    </row>
    <row r="1515" spans="1:8" ht="14">
      <c r="A1515" s="108">
        <v>2007</v>
      </c>
      <c r="B1515" s="108">
        <v>62</v>
      </c>
      <c r="C1515" s="108" t="s">
        <v>138</v>
      </c>
      <c r="D1515" s="108">
        <v>781.34400000000005</v>
      </c>
      <c r="E1515" s="108">
        <v>62.851999999999897</v>
      </c>
      <c r="F1515" s="108" t="s">
        <v>136</v>
      </c>
      <c r="G1515" s="108"/>
      <c r="H1515" s="108">
        <v>1</v>
      </c>
    </row>
    <row r="1516" spans="1:8" ht="14">
      <c r="A1516" s="108">
        <v>2007</v>
      </c>
      <c r="B1516" s="108">
        <v>62</v>
      </c>
      <c r="C1516" s="108" t="s">
        <v>138</v>
      </c>
      <c r="D1516" s="108">
        <v>18.479999999999901</v>
      </c>
      <c r="E1516" s="108">
        <v>12.007999999999999</v>
      </c>
      <c r="F1516" s="108" t="s">
        <v>135</v>
      </c>
      <c r="G1516" s="108"/>
      <c r="H1516" s="108">
        <v>1</v>
      </c>
    </row>
    <row r="1517" spans="1:8" ht="14">
      <c r="A1517" s="108">
        <v>2007</v>
      </c>
      <c r="B1517" s="108">
        <v>62</v>
      </c>
      <c r="C1517" s="108" t="s">
        <v>139</v>
      </c>
      <c r="D1517" s="108">
        <v>203.196</v>
      </c>
      <c r="E1517" s="108">
        <v>28.852</v>
      </c>
      <c r="F1517" s="108" t="s">
        <v>136</v>
      </c>
      <c r="G1517" s="108"/>
      <c r="H1517" s="108">
        <v>1</v>
      </c>
    </row>
    <row r="1518" spans="1:8" ht="14">
      <c r="A1518" s="108">
        <v>2007</v>
      </c>
      <c r="B1518" s="108">
        <v>62</v>
      </c>
      <c r="C1518" s="108" t="s">
        <v>139</v>
      </c>
      <c r="D1518" s="108">
        <v>20.992000000000001</v>
      </c>
      <c r="E1518" s="108">
        <v>18.309999999999999</v>
      </c>
      <c r="F1518" s="108" t="s">
        <v>135</v>
      </c>
      <c r="G1518" s="108"/>
      <c r="H1518" s="108">
        <v>1</v>
      </c>
    </row>
    <row r="1519" spans="1:8" ht="14">
      <c r="A1519" s="108">
        <v>2007</v>
      </c>
      <c r="B1519" s="108">
        <v>63</v>
      </c>
      <c r="C1519" s="108" t="s">
        <v>30</v>
      </c>
      <c r="D1519" s="108">
        <v>6.8</v>
      </c>
      <c r="E1519" s="108">
        <v>3.69999999999999</v>
      </c>
      <c r="F1519" s="108" t="s">
        <v>135</v>
      </c>
      <c r="G1519" s="108"/>
      <c r="H1519" s="108">
        <v>1</v>
      </c>
    </row>
    <row r="1520" spans="1:8" ht="14">
      <c r="A1520" s="108">
        <v>2007</v>
      </c>
      <c r="B1520" s="108">
        <v>63</v>
      </c>
      <c r="C1520" s="108" t="s">
        <v>30</v>
      </c>
      <c r="D1520" s="108">
        <v>11092.166999999999</v>
      </c>
      <c r="E1520" s="108">
        <v>740.01900000000001</v>
      </c>
      <c r="F1520" s="108" t="s">
        <v>136</v>
      </c>
      <c r="G1520" s="108"/>
      <c r="H1520" s="108">
        <v>1</v>
      </c>
    </row>
    <row r="1521" spans="1:8" ht="14">
      <c r="A1521" s="108">
        <v>2007</v>
      </c>
      <c r="B1521" s="108">
        <v>63</v>
      </c>
      <c r="C1521" s="108" t="s">
        <v>138</v>
      </c>
      <c r="D1521" s="108">
        <v>6.7</v>
      </c>
      <c r="E1521" s="108">
        <v>2</v>
      </c>
      <c r="F1521" s="108" t="s">
        <v>135</v>
      </c>
      <c r="G1521" s="108"/>
      <c r="H1521" s="108">
        <v>1</v>
      </c>
    </row>
    <row r="1522" spans="1:8" ht="14">
      <c r="A1522" s="108">
        <v>2007</v>
      </c>
      <c r="B1522" s="108">
        <v>63</v>
      </c>
      <c r="C1522" s="108" t="s">
        <v>138</v>
      </c>
      <c r="D1522" s="108">
        <v>7940.5259999999898</v>
      </c>
      <c r="E1522" s="108">
        <v>386.93400000000003</v>
      </c>
      <c r="F1522" s="108" t="s">
        <v>136</v>
      </c>
      <c r="G1522" s="108"/>
      <c r="H1522" s="108">
        <v>1</v>
      </c>
    </row>
    <row r="1523" spans="1:8" ht="14">
      <c r="A1523" s="108">
        <v>2007</v>
      </c>
      <c r="B1523" s="108">
        <v>63</v>
      </c>
      <c r="C1523" s="108" t="s">
        <v>139</v>
      </c>
      <c r="D1523" s="108">
        <v>3151.6410000000001</v>
      </c>
      <c r="E1523" s="108">
        <v>353.08499999999901</v>
      </c>
      <c r="F1523" s="108" t="s">
        <v>136</v>
      </c>
      <c r="G1523" s="108"/>
      <c r="H1523" s="108">
        <v>1</v>
      </c>
    </row>
    <row r="1524" spans="1:8" ht="14">
      <c r="A1524" s="108">
        <v>2007</v>
      </c>
      <c r="B1524" s="108">
        <v>63</v>
      </c>
      <c r="C1524" s="108" t="s">
        <v>139</v>
      </c>
      <c r="D1524" s="108">
        <v>9.9999999999999895E-2</v>
      </c>
      <c r="E1524" s="108">
        <v>1.7</v>
      </c>
      <c r="F1524" s="108" t="s">
        <v>135</v>
      </c>
      <c r="G1524" s="108"/>
      <c r="H1524" s="108">
        <v>1</v>
      </c>
    </row>
    <row r="1525" spans="1:8" ht="14">
      <c r="A1525" s="108">
        <v>2007</v>
      </c>
      <c r="B1525" s="108">
        <v>69</v>
      </c>
      <c r="C1525" s="108" t="s">
        <v>30</v>
      </c>
      <c r="D1525" s="108">
        <v>377.45299999999997</v>
      </c>
      <c r="E1525" s="108">
        <v>26.018999999999899</v>
      </c>
      <c r="F1525" s="108" t="s">
        <v>135</v>
      </c>
      <c r="G1525" s="108"/>
      <c r="H1525" s="108">
        <v>1</v>
      </c>
    </row>
    <row r="1526" spans="1:8" ht="14">
      <c r="A1526" s="108">
        <v>2007</v>
      </c>
      <c r="B1526" s="108">
        <v>69</v>
      </c>
      <c r="C1526" s="108" t="s">
        <v>30</v>
      </c>
      <c r="D1526" s="108">
        <v>40.936</v>
      </c>
      <c r="E1526" s="108">
        <v>4.1890000000000001</v>
      </c>
      <c r="F1526" s="108" t="s">
        <v>136</v>
      </c>
      <c r="G1526" s="108"/>
      <c r="H1526" s="108">
        <v>1</v>
      </c>
    </row>
    <row r="1527" spans="1:8" ht="14">
      <c r="A1527" s="108">
        <v>2007</v>
      </c>
      <c r="B1527" s="108">
        <v>69</v>
      </c>
      <c r="C1527" s="108" t="s">
        <v>138</v>
      </c>
      <c r="D1527" s="108">
        <v>12.8819999999999</v>
      </c>
      <c r="E1527" s="108">
        <v>1.2170000000000001</v>
      </c>
      <c r="F1527" s="108" t="s">
        <v>136</v>
      </c>
      <c r="G1527" s="108"/>
      <c r="H1527" s="108">
        <v>1</v>
      </c>
    </row>
    <row r="1528" spans="1:8" ht="14">
      <c r="A1528" s="108">
        <v>2007</v>
      </c>
      <c r="B1528" s="108">
        <v>69</v>
      </c>
      <c r="C1528" s="108" t="s">
        <v>138</v>
      </c>
      <c r="D1528" s="108">
        <v>189.80399999999901</v>
      </c>
      <c r="E1528" s="108">
        <v>13.3959999999999</v>
      </c>
      <c r="F1528" s="108" t="s">
        <v>135</v>
      </c>
      <c r="G1528" s="108"/>
      <c r="H1528" s="108">
        <v>1</v>
      </c>
    </row>
    <row r="1529" spans="1:8" ht="14">
      <c r="A1529" s="108">
        <v>2007</v>
      </c>
      <c r="B1529" s="108">
        <v>69</v>
      </c>
      <c r="C1529" s="108" t="s">
        <v>139</v>
      </c>
      <c r="D1529" s="108">
        <v>28.053999999999998</v>
      </c>
      <c r="E1529" s="108">
        <v>2.9719999999999902</v>
      </c>
      <c r="F1529" s="108" t="s">
        <v>136</v>
      </c>
      <c r="G1529" s="108"/>
      <c r="H1529" s="108">
        <v>1</v>
      </c>
    </row>
    <row r="1530" spans="1:8" ht="14">
      <c r="A1530" s="108">
        <v>2007</v>
      </c>
      <c r="B1530" s="108">
        <v>69</v>
      </c>
      <c r="C1530" s="108" t="s">
        <v>139</v>
      </c>
      <c r="D1530" s="108">
        <v>187.64899999999901</v>
      </c>
      <c r="E1530" s="108">
        <v>12.622999999999999</v>
      </c>
      <c r="F1530" s="108" t="s">
        <v>135</v>
      </c>
      <c r="G1530" s="108"/>
      <c r="H1530" s="108">
        <v>1</v>
      </c>
    </row>
    <row r="1531" spans="1:8" ht="14">
      <c r="A1531" s="108">
        <v>2007</v>
      </c>
      <c r="B1531" s="108">
        <v>91</v>
      </c>
      <c r="C1531" s="108" t="s">
        <v>30</v>
      </c>
      <c r="D1531" s="108">
        <v>8766.5670013265408</v>
      </c>
      <c r="E1531" s="108">
        <v>0</v>
      </c>
      <c r="F1531" s="108" t="s">
        <v>136</v>
      </c>
      <c r="G1531" s="108"/>
      <c r="H1531" s="108">
        <v>1</v>
      </c>
    </row>
    <row r="1532" spans="1:8" ht="14">
      <c r="A1532" s="108">
        <v>2007</v>
      </c>
      <c r="B1532" s="108">
        <v>91</v>
      </c>
      <c r="C1532" s="108" t="s">
        <v>30</v>
      </c>
      <c r="D1532" s="108">
        <v>178.68999867345099</v>
      </c>
      <c r="E1532" s="108">
        <v>0</v>
      </c>
      <c r="F1532" s="108" t="s">
        <v>135</v>
      </c>
      <c r="G1532" s="108"/>
      <c r="H1532" s="108">
        <v>1</v>
      </c>
    </row>
    <row r="1533" spans="1:8" ht="14">
      <c r="A1533" s="108">
        <v>2007</v>
      </c>
      <c r="B1533" s="108">
        <v>91</v>
      </c>
      <c r="C1533" s="108" t="s">
        <v>30</v>
      </c>
      <c r="D1533" s="108">
        <v>41.658000000000001</v>
      </c>
      <c r="E1533" s="108">
        <v>0</v>
      </c>
      <c r="F1533" s="108" t="s">
        <v>137</v>
      </c>
      <c r="G1533" s="108"/>
      <c r="H1533" s="108">
        <v>1</v>
      </c>
    </row>
    <row r="1534" spans="1:8" ht="14">
      <c r="A1534" s="108">
        <v>2007</v>
      </c>
      <c r="B1534" s="108">
        <v>91</v>
      </c>
      <c r="C1534" s="108" t="s">
        <v>138</v>
      </c>
      <c r="D1534" s="108">
        <v>8281.8542397709298</v>
      </c>
      <c r="E1534" s="108">
        <v>0</v>
      </c>
      <c r="F1534" s="108" t="s">
        <v>136</v>
      </c>
      <c r="G1534" s="108"/>
      <c r="H1534" s="108">
        <v>1</v>
      </c>
    </row>
    <row r="1535" spans="1:8" ht="14">
      <c r="A1535" s="108">
        <v>2007</v>
      </c>
      <c r="B1535" s="108">
        <v>91</v>
      </c>
      <c r="C1535" s="108" t="s">
        <v>138</v>
      </c>
      <c r="D1535" s="108">
        <v>148.246760229068</v>
      </c>
      <c r="E1535" s="108">
        <v>0</v>
      </c>
      <c r="F1535" s="108" t="s">
        <v>135</v>
      </c>
      <c r="G1535" s="108"/>
      <c r="H1535" s="108">
        <v>1</v>
      </c>
    </row>
    <row r="1536" spans="1:8" ht="14">
      <c r="A1536" s="108">
        <v>2007</v>
      </c>
      <c r="B1536" s="108">
        <v>91</v>
      </c>
      <c r="C1536" s="108" t="s">
        <v>138</v>
      </c>
      <c r="D1536" s="108">
        <v>3.7</v>
      </c>
      <c r="E1536" s="108">
        <v>0</v>
      </c>
      <c r="F1536" s="108" t="s">
        <v>137</v>
      </c>
      <c r="G1536" s="108"/>
      <c r="H1536" s="108">
        <v>1</v>
      </c>
    </row>
    <row r="1537" spans="1:8" ht="14">
      <c r="A1537" s="108">
        <v>2007</v>
      </c>
      <c r="B1537" s="108">
        <v>91</v>
      </c>
      <c r="C1537" s="108" t="s">
        <v>139</v>
      </c>
      <c r="D1537" s="108">
        <v>37.957999999999998</v>
      </c>
      <c r="E1537" s="108">
        <v>0</v>
      </c>
      <c r="F1537" s="108" t="s">
        <v>137</v>
      </c>
      <c r="G1537" s="108"/>
      <c r="H1537" s="108">
        <v>1</v>
      </c>
    </row>
    <row r="1538" spans="1:8" ht="14">
      <c r="A1538" s="108">
        <v>2007</v>
      </c>
      <c r="B1538" s="108">
        <v>91</v>
      </c>
      <c r="C1538" s="108" t="s">
        <v>139</v>
      </c>
      <c r="D1538" s="108">
        <v>30.443238444383201</v>
      </c>
      <c r="E1538" s="108">
        <v>0</v>
      </c>
      <c r="F1538" s="108" t="s">
        <v>135</v>
      </c>
      <c r="G1538" s="108"/>
      <c r="H1538" s="108">
        <v>1</v>
      </c>
    </row>
    <row r="1539" spans="1:8" ht="14">
      <c r="A1539" s="108">
        <v>2007</v>
      </c>
      <c r="B1539" s="108">
        <v>91</v>
      </c>
      <c r="C1539" s="108" t="s">
        <v>139</v>
      </c>
      <c r="D1539" s="108">
        <v>484.712761555616</v>
      </c>
      <c r="E1539" s="108">
        <v>0</v>
      </c>
      <c r="F1539" s="108" t="s">
        <v>136</v>
      </c>
      <c r="G1539" s="108"/>
      <c r="H1539" s="108">
        <v>1</v>
      </c>
    </row>
    <row r="1540" spans="1:8" ht="14">
      <c r="A1540" s="108">
        <v>2007</v>
      </c>
      <c r="B1540" s="108">
        <v>92</v>
      </c>
      <c r="C1540" s="108" t="s">
        <v>30</v>
      </c>
      <c r="D1540" s="108">
        <v>287.98890225341302</v>
      </c>
      <c r="E1540" s="108">
        <v>0</v>
      </c>
      <c r="F1540" s="108" t="s">
        <v>135</v>
      </c>
      <c r="G1540" s="108"/>
      <c r="H1540" s="108">
        <v>1</v>
      </c>
    </row>
    <row r="1541" spans="1:8" ht="14">
      <c r="A1541" s="108">
        <v>2007</v>
      </c>
      <c r="B1541" s="108">
        <v>92</v>
      </c>
      <c r="C1541" s="108" t="s">
        <v>30</v>
      </c>
      <c r="D1541" s="108">
        <v>11935.922097746499</v>
      </c>
      <c r="E1541" s="108">
        <v>0</v>
      </c>
      <c r="F1541" s="108" t="s">
        <v>136</v>
      </c>
      <c r="G1541" s="108"/>
      <c r="H1541" s="108">
        <v>1</v>
      </c>
    </row>
    <row r="1542" spans="1:8" ht="14">
      <c r="A1542" s="108">
        <v>2007</v>
      </c>
      <c r="B1542" s="108">
        <v>92</v>
      </c>
      <c r="C1542" s="108" t="s">
        <v>30</v>
      </c>
      <c r="D1542" s="108">
        <v>12.548</v>
      </c>
      <c r="E1542" s="108">
        <v>0</v>
      </c>
      <c r="F1542" s="108" t="s">
        <v>137</v>
      </c>
      <c r="G1542" s="108"/>
      <c r="H1542" s="108">
        <v>1</v>
      </c>
    </row>
    <row r="1543" spans="1:8" ht="14">
      <c r="A1543" s="108">
        <v>2007</v>
      </c>
      <c r="B1543" s="108">
        <v>92</v>
      </c>
      <c r="C1543" s="108" t="s">
        <v>138</v>
      </c>
      <c r="D1543" s="108">
        <v>12.298</v>
      </c>
      <c r="E1543" s="108">
        <v>0</v>
      </c>
      <c r="F1543" s="108" t="s">
        <v>137</v>
      </c>
      <c r="G1543" s="108"/>
      <c r="H1543" s="108">
        <v>1</v>
      </c>
    </row>
    <row r="1544" spans="1:8" ht="14">
      <c r="A1544" s="108">
        <v>2007</v>
      </c>
      <c r="B1544" s="108">
        <v>92</v>
      </c>
      <c r="C1544" s="108" t="s">
        <v>138</v>
      </c>
      <c r="D1544" s="108">
        <v>6509.8345374087603</v>
      </c>
      <c r="E1544" s="108">
        <v>0</v>
      </c>
      <c r="F1544" s="108" t="s">
        <v>136</v>
      </c>
      <c r="G1544" s="108"/>
      <c r="H1544" s="108">
        <v>1</v>
      </c>
    </row>
    <row r="1545" spans="1:8" ht="14">
      <c r="A1545" s="108">
        <v>2007</v>
      </c>
      <c r="B1545" s="108">
        <v>92</v>
      </c>
      <c r="C1545" s="108" t="s">
        <v>138</v>
      </c>
      <c r="D1545" s="108">
        <v>164.61146259123399</v>
      </c>
      <c r="E1545" s="108">
        <v>0</v>
      </c>
      <c r="F1545" s="108" t="s">
        <v>135</v>
      </c>
      <c r="G1545" s="108"/>
      <c r="H1545" s="108">
        <v>1</v>
      </c>
    </row>
    <row r="1546" spans="1:8" ht="14">
      <c r="A1546" s="108">
        <v>2007</v>
      </c>
      <c r="B1546" s="108">
        <v>92</v>
      </c>
      <c r="C1546" s="108" t="s">
        <v>139</v>
      </c>
      <c r="D1546" s="108">
        <v>5426.0875603378199</v>
      </c>
      <c r="E1546" s="108">
        <v>0</v>
      </c>
      <c r="F1546" s="108" t="s">
        <v>136</v>
      </c>
      <c r="G1546" s="108"/>
      <c r="H1546" s="108">
        <v>1</v>
      </c>
    </row>
    <row r="1547" spans="1:8" ht="14">
      <c r="A1547" s="108">
        <v>2007</v>
      </c>
      <c r="B1547" s="108">
        <v>92</v>
      </c>
      <c r="C1547" s="108" t="s">
        <v>139</v>
      </c>
      <c r="D1547" s="108">
        <v>0.25</v>
      </c>
      <c r="E1547" s="108">
        <v>0</v>
      </c>
      <c r="F1547" s="108" t="s">
        <v>137</v>
      </c>
      <c r="G1547" s="108"/>
      <c r="H1547" s="108">
        <v>1</v>
      </c>
    </row>
    <row r="1548" spans="1:8" ht="14">
      <c r="A1548" s="108">
        <v>2007</v>
      </c>
      <c r="B1548" s="108">
        <v>92</v>
      </c>
      <c r="C1548" s="108" t="s">
        <v>139</v>
      </c>
      <c r="D1548" s="108">
        <v>123.377439662179</v>
      </c>
      <c r="E1548" s="108">
        <v>0</v>
      </c>
      <c r="F1548" s="108" t="s">
        <v>135</v>
      </c>
      <c r="G1548" s="108"/>
      <c r="H1548" s="108">
        <v>1</v>
      </c>
    </row>
    <row r="1549" spans="1:8" ht="14">
      <c r="A1549" s="108">
        <v>2007</v>
      </c>
      <c r="B1549" s="108">
        <v>99</v>
      </c>
      <c r="C1549" s="108" t="s">
        <v>30</v>
      </c>
      <c r="D1549" s="108">
        <v>2594.0072105200402</v>
      </c>
      <c r="E1549" s="108">
        <v>0</v>
      </c>
      <c r="F1549" s="108" t="s">
        <v>135</v>
      </c>
      <c r="G1549" s="108"/>
      <c r="H1549" s="108">
        <v>1</v>
      </c>
    </row>
    <row r="1550" spans="1:8" ht="14">
      <c r="A1550" s="108">
        <v>2007</v>
      </c>
      <c r="B1550" s="108">
        <v>99</v>
      </c>
      <c r="C1550" s="108" t="s">
        <v>30</v>
      </c>
      <c r="D1550" s="108">
        <v>15.595911647373001</v>
      </c>
      <c r="E1550" s="108">
        <v>0</v>
      </c>
      <c r="F1550" s="108" t="s">
        <v>137</v>
      </c>
      <c r="G1550" s="108"/>
      <c r="H1550" s="108">
        <v>1</v>
      </c>
    </row>
    <row r="1551" spans="1:8" ht="14">
      <c r="A1551" s="108">
        <v>2007</v>
      </c>
      <c r="B1551" s="108">
        <v>99</v>
      </c>
      <c r="C1551" s="108" t="s">
        <v>30</v>
      </c>
      <c r="D1551" s="108">
        <v>3605.4238778325698</v>
      </c>
      <c r="E1551" s="108">
        <v>0</v>
      </c>
      <c r="F1551" s="108" t="s">
        <v>136</v>
      </c>
      <c r="G1551" s="108"/>
      <c r="H1551" s="108">
        <v>1</v>
      </c>
    </row>
    <row r="1552" spans="1:8" ht="14">
      <c r="A1552" s="108">
        <v>2007</v>
      </c>
      <c r="B1552" s="108">
        <v>99</v>
      </c>
      <c r="C1552" s="108" t="s">
        <v>138</v>
      </c>
      <c r="D1552" s="108">
        <v>1042.83726383047</v>
      </c>
      <c r="E1552" s="108">
        <v>0</v>
      </c>
      <c r="F1552" s="108" t="s">
        <v>135</v>
      </c>
      <c r="G1552" s="108"/>
      <c r="H1552" s="108">
        <v>1</v>
      </c>
    </row>
    <row r="1553" spans="1:8" ht="14">
      <c r="A1553" s="108">
        <v>2007</v>
      </c>
      <c r="B1553" s="108">
        <v>99</v>
      </c>
      <c r="C1553" s="108" t="s">
        <v>138</v>
      </c>
      <c r="D1553" s="108">
        <v>14.8865444265113</v>
      </c>
      <c r="E1553" s="108">
        <v>0</v>
      </c>
      <c r="F1553" s="108" t="s">
        <v>137</v>
      </c>
      <c r="G1553" s="108"/>
      <c r="H1553" s="108">
        <v>1</v>
      </c>
    </row>
    <row r="1554" spans="1:8" ht="14">
      <c r="A1554" s="108">
        <v>2007</v>
      </c>
      <c r="B1554" s="108">
        <v>99</v>
      </c>
      <c r="C1554" s="108" t="s">
        <v>138</v>
      </c>
      <c r="D1554" s="108">
        <v>2339.5081917430098</v>
      </c>
      <c r="E1554" s="108">
        <v>0</v>
      </c>
      <c r="F1554" s="108" t="s">
        <v>136</v>
      </c>
      <c r="G1554" s="108"/>
      <c r="H1554" s="108">
        <v>1</v>
      </c>
    </row>
    <row r="1555" spans="1:8" ht="14">
      <c r="A1555" s="108">
        <v>2007</v>
      </c>
      <c r="B1555" s="108">
        <v>99</v>
      </c>
      <c r="C1555" s="108" t="s">
        <v>139</v>
      </c>
      <c r="D1555" s="108">
        <v>1265.91568608956</v>
      </c>
      <c r="E1555" s="108">
        <v>0</v>
      </c>
      <c r="F1555" s="108" t="s">
        <v>136</v>
      </c>
      <c r="G1555" s="108"/>
      <c r="H1555" s="108">
        <v>1</v>
      </c>
    </row>
    <row r="1556" spans="1:8" ht="14">
      <c r="A1556" s="108">
        <v>2007</v>
      </c>
      <c r="B1556" s="108">
        <v>99</v>
      </c>
      <c r="C1556" s="108" t="s">
        <v>139</v>
      </c>
      <c r="D1556" s="108">
        <v>0.70936722086162995</v>
      </c>
      <c r="E1556" s="108">
        <v>0</v>
      </c>
      <c r="F1556" s="108" t="s">
        <v>137</v>
      </c>
      <c r="G1556" s="108"/>
      <c r="H1556" s="108">
        <v>1</v>
      </c>
    </row>
    <row r="1557" spans="1:8" ht="14">
      <c r="A1557" s="108">
        <v>2007</v>
      </c>
      <c r="B1557" s="108">
        <v>99</v>
      </c>
      <c r="C1557" s="108" t="s">
        <v>139</v>
      </c>
      <c r="D1557" s="108">
        <v>1551.16994668957</v>
      </c>
      <c r="E1557" s="108">
        <v>0</v>
      </c>
      <c r="F1557" s="108" t="s">
        <v>135</v>
      </c>
      <c r="G1557" s="108"/>
      <c r="H1557" s="108">
        <v>1</v>
      </c>
    </row>
    <row r="1558" spans="1:8" ht="14">
      <c r="A1558" s="108">
        <v>2008</v>
      </c>
      <c r="B1558" s="108">
        <v>11</v>
      </c>
      <c r="C1558" s="108" t="s">
        <v>30</v>
      </c>
      <c r="D1558" s="108">
        <v>1679.8771978879699</v>
      </c>
      <c r="E1558" s="108">
        <v>0</v>
      </c>
      <c r="F1558" s="108" t="s">
        <v>135</v>
      </c>
      <c r="G1558" s="108"/>
      <c r="H1558" s="108">
        <v>1</v>
      </c>
    </row>
    <row r="1559" spans="1:8" ht="14">
      <c r="A1559" s="108">
        <v>2008</v>
      </c>
      <c r="B1559" s="108">
        <v>11</v>
      </c>
      <c r="C1559" s="108" t="s">
        <v>30</v>
      </c>
      <c r="D1559" s="108">
        <v>5763.4004242703304</v>
      </c>
      <c r="E1559" s="108">
        <v>0</v>
      </c>
      <c r="F1559" s="108" t="s">
        <v>136</v>
      </c>
      <c r="G1559" s="108"/>
      <c r="H1559" s="108">
        <v>1</v>
      </c>
    </row>
    <row r="1560" spans="1:8" ht="14">
      <c r="A1560" s="108">
        <v>2008</v>
      </c>
      <c r="B1560" s="108">
        <v>11</v>
      </c>
      <c r="C1560" s="108" t="s">
        <v>30</v>
      </c>
      <c r="D1560" s="108">
        <v>0.51137784169478395</v>
      </c>
      <c r="E1560" s="108">
        <v>0</v>
      </c>
      <c r="F1560" s="108" t="s">
        <v>137</v>
      </c>
      <c r="G1560" s="108"/>
      <c r="H1560" s="108">
        <v>1</v>
      </c>
    </row>
    <row r="1561" spans="1:8" ht="14">
      <c r="A1561" s="108">
        <v>2008</v>
      </c>
      <c r="B1561" s="108">
        <v>11</v>
      </c>
      <c r="C1561" s="108" t="s">
        <v>138</v>
      </c>
      <c r="D1561" s="108">
        <v>1602.4138642783601</v>
      </c>
      <c r="E1561" s="108">
        <v>0</v>
      </c>
      <c r="F1561" s="108" t="s">
        <v>136</v>
      </c>
      <c r="G1561" s="108"/>
      <c r="H1561" s="108">
        <v>1</v>
      </c>
    </row>
    <row r="1562" spans="1:8" ht="14">
      <c r="A1562" s="108">
        <v>2008</v>
      </c>
      <c r="B1562" s="108">
        <v>11</v>
      </c>
      <c r="C1562" s="108" t="s">
        <v>138</v>
      </c>
      <c r="D1562" s="108">
        <v>689.73313572163897</v>
      </c>
      <c r="E1562" s="108">
        <v>0</v>
      </c>
      <c r="F1562" s="108" t="s">
        <v>135</v>
      </c>
      <c r="G1562" s="108"/>
      <c r="H1562" s="108">
        <v>1</v>
      </c>
    </row>
    <row r="1563" spans="1:8" ht="14">
      <c r="A1563" s="108">
        <v>2008</v>
      </c>
      <c r="B1563" s="108">
        <v>11</v>
      </c>
      <c r="C1563" s="108" t="s">
        <v>139</v>
      </c>
      <c r="D1563" s="108">
        <v>4160.9865599919704</v>
      </c>
      <c r="E1563" s="108">
        <v>0</v>
      </c>
      <c r="F1563" s="108" t="s">
        <v>136</v>
      </c>
      <c r="G1563" s="108"/>
      <c r="H1563" s="108">
        <v>1</v>
      </c>
    </row>
    <row r="1564" spans="1:8" ht="14">
      <c r="A1564" s="108">
        <v>2008</v>
      </c>
      <c r="B1564" s="108">
        <v>11</v>
      </c>
      <c r="C1564" s="108" t="s">
        <v>139</v>
      </c>
      <c r="D1564" s="108">
        <v>0.51137784169478395</v>
      </c>
      <c r="E1564" s="108">
        <v>0</v>
      </c>
      <c r="F1564" s="108" t="s">
        <v>137</v>
      </c>
      <c r="G1564" s="108"/>
      <c r="H1564" s="108">
        <v>1</v>
      </c>
    </row>
    <row r="1565" spans="1:8" ht="14">
      <c r="A1565" s="108">
        <v>2008</v>
      </c>
      <c r="B1565" s="108">
        <v>11</v>
      </c>
      <c r="C1565" s="108" t="s">
        <v>139</v>
      </c>
      <c r="D1565" s="108">
        <v>990.14406216633097</v>
      </c>
      <c r="E1565" s="108">
        <v>0</v>
      </c>
      <c r="F1565" s="108" t="s">
        <v>135</v>
      </c>
      <c r="G1565" s="108"/>
      <c r="H1565" s="108">
        <v>1</v>
      </c>
    </row>
    <row r="1566" spans="1:8" ht="14">
      <c r="A1566" s="108">
        <v>2008</v>
      </c>
      <c r="B1566" s="108">
        <v>12</v>
      </c>
      <c r="C1566" s="108" t="s">
        <v>30</v>
      </c>
      <c r="D1566" s="108">
        <v>53874.044271814499</v>
      </c>
      <c r="E1566" s="108">
        <v>0</v>
      </c>
      <c r="F1566" s="108" t="s">
        <v>135</v>
      </c>
      <c r="G1566" s="108"/>
      <c r="H1566" s="108">
        <v>1</v>
      </c>
    </row>
    <row r="1567" spans="1:8" ht="14">
      <c r="A1567" s="108">
        <v>2008</v>
      </c>
      <c r="B1567" s="108">
        <v>12</v>
      </c>
      <c r="C1567" s="108" t="s">
        <v>30</v>
      </c>
      <c r="D1567" s="108">
        <v>78271.559728185399</v>
      </c>
      <c r="E1567" s="108">
        <v>0</v>
      </c>
      <c r="F1567" s="108" t="s">
        <v>136</v>
      </c>
      <c r="G1567" s="108"/>
      <c r="H1567" s="108">
        <v>1</v>
      </c>
    </row>
    <row r="1568" spans="1:8" ht="14">
      <c r="A1568" s="108">
        <v>2008</v>
      </c>
      <c r="B1568" s="108">
        <v>12</v>
      </c>
      <c r="C1568" s="108" t="s">
        <v>138</v>
      </c>
      <c r="D1568" s="108">
        <v>31111.790260455102</v>
      </c>
      <c r="E1568" s="108">
        <v>0</v>
      </c>
      <c r="F1568" s="108" t="s">
        <v>135</v>
      </c>
      <c r="G1568" s="108"/>
      <c r="H1568" s="108">
        <v>1</v>
      </c>
    </row>
    <row r="1569" spans="1:8" ht="14">
      <c r="A1569" s="108">
        <v>2008</v>
      </c>
      <c r="B1569" s="108">
        <v>12</v>
      </c>
      <c r="C1569" s="108" t="s">
        <v>138</v>
      </c>
      <c r="D1569" s="108">
        <v>40719.268739544801</v>
      </c>
      <c r="E1569" s="108">
        <v>0</v>
      </c>
      <c r="F1569" s="108" t="s">
        <v>136</v>
      </c>
      <c r="G1569" s="108"/>
      <c r="H1569" s="108">
        <v>1</v>
      </c>
    </row>
    <row r="1570" spans="1:8" ht="14">
      <c r="A1570" s="108">
        <v>2008</v>
      </c>
      <c r="B1570" s="108">
        <v>12</v>
      </c>
      <c r="C1570" s="108" t="s">
        <v>139</v>
      </c>
      <c r="D1570" s="108">
        <v>37552.290988640598</v>
      </c>
      <c r="E1570" s="108">
        <v>0</v>
      </c>
      <c r="F1570" s="108" t="s">
        <v>136</v>
      </c>
      <c r="G1570" s="108"/>
      <c r="H1570" s="108">
        <v>1</v>
      </c>
    </row>
    <row r="1571" spans="1:8" ht="14">
      <c r="A1571" s="108">
        <v>2008</v>
      </c>
      <c r="B1571" s="108">
        <v>12</v>
      </c>
      <c r="C1571" s="108" t="s">
        <v>139</v>
      </c>
      <c r="D1571" s="108">
        <v>22762.254011359299</v>
      </c>
      <c r="E1571" s="108">
        <v>0</v>
      </c>
      <c r="F1571" s="108" t="s">
        <v>135</v>
      </c>
      <c r="G1571" s="108"/>
      <c r="H1571" s="108">
        <v>1</v>
      </c>
    </row>
    <row r="1572" spans="1:8" ht="14">
      <c r="A1572" s="108">
        <v>2008</v>
      </c>
      <c r="B1572" s="108">
        <v>13</v>
      </c>
      <c r="C1572" s="108" t="s">
        <v>30</v>
      </c>
      <c r="D1572" s="108">
        <v>63438.7305783825</v>
      </c>
      <c r="E1572" s="108">
        <v>0</v>
      </c>
      <c r="F1572" s="108" t="s">
        <v>136</v>
      </c>
      <c r="G1572" s="108"/>
      <c r="H1572" s="108">
        <v>1</v>
      </c>
    </row>
    <row r="1573" spans="1:8" ht="14">
      <c r="A1573" s="108">
        <v>2008</v>
      </c>
      <c r="B1573" s="108">
        <v>13</v>
      </c>
      <c r="C1573" s="108" t="s">
        <v>30</v>
      </c>
      <c r="D1573" s="108">
        <v>23370.964421617398</v>
      </c>
      <c r="E1573" s="108">
        <v>0</v>
      </c>
      <c r="F1573" s="108" t="s">
        <v>135</v>
      </c>
      <c r="G1573" s="108"/>
      <c r="H1573" s="108">
        <v>1</v>
      </c>
    </row>
    <row r="1574" spans="1:8" ht="14">
      <c r="A1574" s="108">
        <v>2008</v>
      </c>
      <c r="B1574" s="108">
        <v>13</v>
      </c>
      <c r="C1574" s="108" t="s">
        <v>30</v>
      </c>
      <c r="D1574" s="108">
        <v>4.5780000000000003</v>
      </c>
      <c r="E1574" s="108">
        <v>0</v>
      </c>
      <c r="F1574" s="108" t="s">
        <v>137</v>
      </c>
      <c r="G1574" s="108"/>
      <c r="H1574" s="108">
        <v>1</v>
      </c>
    </row>
    <row r="1575" spans="1:8" ht="14">
      <c r="A1575" s="108">
        <v>2008</v>
      </c>
      <c r="B1575" s="108">
        <v>13</v>
      </c>
      <c r="C1575" s="108" t="s">
        <v>138</v>
      </c>
      <c r="D1575" s="108">
        <v>32872.592595010297</v>
      </c>
      <c r="E1575" s="108">
        <v>0</v>
      </c>
      <c r="F1575" s="108" t="s">
        <v>136</v>
      </c>
      <c r="G1575" s="108"/>
      <c r="H1575" s="108">
        <v>1</v>
      </c>
    </row>
    <row r="1576" spans="1:8" ht="14">
      <c r="A1576" s="108">
        <v>2008</v>
      </c>
      <c r="B1576" s="108">
        <v>13</v>
      </c>
      <c r="C1576" s="108" t="s">
        <v>138</v>
      </c>
      <c r="D1576" s="108">
        <v>11358.121404989601</v>
      </c>
      <c r="E1576" s="108">
        <v>0</v>
      </c>
      <c r="F1576" s="108" t="s">
        <v>135</v>
      </c>
      <c r="G1576" s="108"/>
      <c r="H1576" s="108">
        <v>1</v>
      </c>
    </row>
    <row r="1577" spans="1:8" ht="14">
      <c r="A1577" s="108">
        <v>2008</v>
      </c>
      <c r="B1577" s="108">
        <v>13</v>
      </c>
      <c r="C1577" s="108" t="s">
        <v>138</v>
      </c>
      <c r="D1577" s="108">
        <v>3.5779999999999998</v>
      </c>
      <c r="E1577" s="108">
        <v>0</v>
      </c>
      <c r="F1577" s="108" t="s">
        <v>137</v>
      </c>
      <c r="G1577" s="108"/>
      <c r="H1577" s="108">
        <v>1</v>
      </c>
    </row>
    <row r="1578" spans="1:8" ht="14">
      <c r="A1578" s="108">
        <v>2008</v>
      </c>
      <c r="B1578" s="108">
        <v>13</v>
      </c>
      <c r="C1578" s="108" t="s">
        <v>139</v>
      </c>
      <c r="D1578" s="108">
        <v>12012.843016627699</v>
      </c>
      <c r="E1578" s="108">
        <v>0</v>
      </c>
      <c r="F1578" s="108" t="s">
        <v>135</v>
      </c>
      <c r="G1578" s="108"/>
      <c r="H1578" s="108">
        <v>1</v>
      </c>
    </row>
    <row r="1579" spans="1:8" ht="14">
      <c r="A1579" s="108">
        <v>2008</v>
      </c>
      <c r="B1579" s="108">
        <v>13</v>
      </c>
      <c r="C1579" s="108" t="s">
        <v>139</v>
      </c>
      <c r="D1579" s="108">
        <v>30566.137983372199</v>
      </c>
      <c r="E1579" s="108">
        <v>0</v>
      </c>
      <c r="F1579" s="108" t="s">
        <v>136</v>
      </c>
      <c r="G1579" s="108"/>
      <c r="H1579" s="108">
        <v>1</v>
      </c>
    </row>
    <row r="1580" spans="1:8" ht="14">
      <c r="A1580" s="108">
        <v>2008</v>
      </c>
      <c r="B1580" s="108">
        <v>13</v>
      </c>
      <c r="C1580" s="108" t="s">
        <v>139</v>
      </c>
      <c r="D1580" s="108">
        <v>1</v>
      </c>
      <c r="E1580" s="108">
        <v>0</v>
      </c>
      <c r="F1580" s="108" t="s">
        <v>137</v>
      </c>
      <c r="G1580" s="108"/>
      <c r="H1580" s="108">
        <v>1</v>
      </c>
    </row>
    <row r="1581" spans="1:8" ht="14">
      <c r="A1581" s="108">
        <v>2008</v>
      </c>
      <c r="B1581" s="108">
        <v>19</v>
      </c>
      <c r="C1581" s="108" t="s">
        <v>30</v>
      </c>
      <c r="D1581" s="108">
        <v>1.4999999999999999E-2</v>
      </c>
      <c r="E1581" s="108">
        <v>0</v>
      </c>
      <c r="F1581" s="108" t="s">
        <v>137</v>
      </c>
      <c r="G1581" s="108"/>
      <c r="H1581" s="108">
        <v>1</v>
      </c>
    </row>
    <row r="1582" spans="1:8" ht="14">
      <c r="A1582" s="108">
        <v>2008</v>
      </c>
      <c r="B1582" s="108">
        <v>19</v>
      </c>
      <c r="C1582" s="108" t="s">
        <v>30</v>
      </c>
      <c r="D1582" s="108">
        <v>2456.4609428511799</v>
      </c>
      <c r="E1582" s="108">
        <v>0</v>
      </c>
      <c r="F1582" s="108" t="s">
        <v>135</v>
      </c>
      <c r="G1582" s="108"/>
      <c r="H1582" s="108">
        <v>1</v>
      </c>
    </row>
    <row r="1583" spans="1:8" ht="14">
      <c r="A1583" s="108">
        <v>2008</v>
      </c>
      <c r="B1583" s="108">
        <v>19</v>
      </c>
      <c r="C1583" s="108" t="s">
        <v>30</v>
      </c>
      <c r="D1583" s="108">
        <v>10313.756057148799</v>
      </c>
      <c r="E1583" s="108">
        <v>0</v>
      </c>
      <c r="F1583" s="108" t="s">
        <v>136</v>
      </c>
      <c r="G1583" s="108"/>
      <c r="H1583" s="108">
        <v>1</v>
      </c>
    </row>
    <row r="1584" spans="1:8" ht="14">
      <c r="A1584" s="108">
        <v>2008</v>
      </c>
      <c r="B1584" s="108">
        <v>19</v>
      </c>
      <c r="C1584" s="108" t="s">
        <v>138</v>
      </c>
      <c r="D1584" s="108">
        <v>6364.2989263318104</v>
      </c>
      <c r="E1584" s="108">
        <v>0</v>
      </c>
      <c r="F1584" s="108" t="s">
        <v>136</v>
      </c>
      <c r="G1584" s="108"/>
      <c r="H1584" s="108">
        <v>1</v>
      </c>
    </row>
    <row r="1585" spans="1:8" ht="14">
      <c r="A1585" s="108">
        <v>2008</v>
      </c>
      <c r="B1585" s="108">
        <v>19</v>
      </c>
      <c r="C1585" s="108" t="s">
        <v>138</v>
      </c>
      <c r="D1585" s="108">
        <v>1092.6860736681799</v>
      </c>
      <c r="E1585" s="108">
        <v>0</v>
      </c>
      <c r="F1585" s="108" t="s">
        <v>135</v>
      </c>
      <c r="G1585" s="108"/>
      <c r="H1585" s="108">
        <v>1</v>
      </c>
    </row>
    <row r="1586" spans="1:8" ht="14">
      <c r="A1586" s="108">
        <v>2008</v>
      </c>
      <c r="B1586" s="108">
        <v>19</v>
      </c>
      <c r="C1586" s="108" t="s">
        <v>139</v>
      </c>
      <c r="D1586" s="108">
        <v>1363.774869183</v>
      </c>
      <c r="E1586" s="108">
        <v>0</v>
      </c>
      <c r="F1586" s="108" t="s">
        <v>135</v>
      </c>
      <c r="G1586" s="108"/>
      <c r="H1586" s="108">
        <v>1</v>
      </c>
    </row>
    <row r="1587" spans="1:8" ht="14">
      <c r="A1587" s="108">
        <v>2008</v>
      </c>
      <c r="B1587" s="108">
        <v>19</v>
      </c>
      <c r="C1587" s="108" t="s">
        <v>139</v>
      </c>
      <c r="D1587" s="108">
        <v>1.4999999999999999E-2</v>
      </c>
      <c r="E1587" s="108">
        <v>0</v>
      </c>
      <c r="F1587" s="108" t="s">
        <v>137</v>
      </c>
      <c r="G1587" s="108"/>
      <c r="H1587" s="108">
        <v>1</v>
      </c>
    </row>
    <row r="1588" spans="1:8" ht="14">
      <c r="A1588" s="108">
        <v>2008</v>
      </c>
      <c r="B1588" s="108">
        <v>19</v>
      </c>
      <c r="C1588" s="108" t="s">
        <v>139</v>
      </c>
      <c r="D1588" s="108">
        <v>3949.4571308169898</v>
      </c>
      <c r="E1588" s="108">
        <v>0</v>
      </c>
      <c r="F1588" s="108" t="s">
        <v>136</v>
      </c>
      <c r="G1588" s="108"/>
      <c r="H1588" s="108">
        <v>1</v>
      </c>
    </row>
    <row r="1589" spans="1:8" ht="14">
      <c r="A1589" s="108">
        <v>2008</v>
      </c>
      <c r="B1589" s="108">
        <v>21</v>
      </c>
      <c r="C1589" s="108" t="s">
        <v>30</v>
      </c>
      <c r="D1589" s="108">
        <v>49.594999999999999</v>
      </c>
      <c r="E1589" s="108">
        <v>0</v>
      </c>
      <c r="F1589" s="108" t="s">
        <v>137</v>
      </c>
      <c r="G1589" s="108"/>
      <c r="H1589" s="108">
        <v>1</v>
      </c>
    </row>
    <row r="1590" spans="1:8" ht="14">
      <c r="A1590" s="108">
        <v>2008</v>
      </c>
      <c r="B1590" s="108">
        <v>21</v>
      </c>
      <c r="C1590" s="108" t="s">
        <v>30</v>
      </c>
      <c r="D1590" s="108">
        <v>17887.636607838998</v>
      </c>
      <c r="E1590" s="108">
        <v>0</v>
      </c>
      <c r="F1590" s="108" t="s">
        <v>136</v>
      </c>
      <c r="G1590" s="108"/>
      <c r="H1590" s="108">
        <v>1</v>
      </c>
    </row>
    <row r="1591" spans="1:8" ht="14">
      <c r="A1591" s="108">
        <v>2008</v>
      </c>
      <c r="B1591" s="108">
        <v>21</v>
      </c>
      <c r="C1591" s="108" t="s">
        <v>30</v>
      </c>
      <c r="D1591" s="108">
        <v>153.900392160911</v>
      </c>
      <c r="E1591" s="108">
        <v>0</v>
      </c>
      <c r="F1591" s="108" t="s">
        <v>135</v>
      </c>
      <c r="G1591" s="108"/>
      <c r="H1591" s="108">
        <v>1</v>
      </c>
    </row>
    <row r="1592" spans="1:8" ht="14">
      <c r="A1592" s="108">
        <v>2008</v>
      </c>
      <c r="B1592" s="108">
        <v>21</v>
      </c>
      <c r="C1592" s="108" t="s">
        <v>138</v>
      </c>
      <c r="D1592" s="108">
        <v>127.794853431535</v>
      </c>
      <c r="E1592" s="108">
        <v>0</v>
      </c>
      <c r="F1592" s="108" t="s">
        <v>135</v>
      </c>
      <c r="G1592" s="108"/>
      <c r="H1592" s="108">
        <v>1</v>
      </c>
    </row>
    <row r="1593" spans="1:8" ht="14">
      <c r="A1593" s="108">
        <v>2008</v>
      </c>
      <c r="B1593" s="108">
        <v>21</v>
      </c>
      <c r="C1593" s="108" t="s">
        <v>138</v>
      </c>
      <c r="D1593" s="108">
        <v>16883.368146568399</v>
      </c>
      <c r="E1593" s="108">
        <v>0</v>
      </c>
      <c r="F1593" s="108" t="s">
        <v>136</v>
      </c>
      <c r="G1593" s="108"/>
      <c r="H1593" s="108">
        <v>1</v>
      </c>
    </row>
    <row r="1594" spans="1:8" ht="14">
      <c r="A1594" s="108">
        <v>2008</v>
      </c>
      <c r="B1594" s="108">
        <v>21</v>
      </c>
      <c r="C1594" s="108" t="s">
        <v>138</v>
      </c>
      <c r="D1594" s="108">
        <v>49.594999999999999</v>
      </c>
      <c r="E1594" s="108">
        <v>0</v>
      </c>
      <c r="F1594" s="108" t="s">
        <v>137</v>
      </c>
      <c r="G1594" s="108"/>
      <c r="H1594" s="108">
        <v>1</v>
      </c>
    </row>
    <row r="1595" spans="1:8" ht="14">
      <c r="A1595" s="108">
        <v>2008</v>
      </c>
      <c r="B1595" s="108">
        <v>21</v>
      </c>
      <c r="C1595" s="108" t="s">
        <v>139</v>
      </c>
      <c r="D1595" s="108">
        <v>1004.26846127062</v>
      </c>
      <c r="E1595" s="108">
        <v>0</v>
      </c>
      <c r="F1595" s="108" t="s">
        <v>136</v>
      </c>
      <c r="G1595" s="108"/>
      <c r="H1595" s="108">
        <v>1</v>
      </c>
    </row>
    <row r="1596" spans="1:8" ht="14">
      <c r="A1596" s="108">
        <v>2008</v>
      </c>
      <c r="B1596" s="108">
        <v>21</v>
      </c>
      <c r="C1596" s="108" t="s">
        <v>139</v>
      </c>
      <c r="D1596" s="108">
        <v>26.105538729375599</v>
      </c>
      <c r="E1596" s="108">
        <v>0</v>
      </c>
      <c r="F1596" s="108" t="s">
        <v>135</v>
      </c>
      <c r="G1596" s="108"/>
      <c r="H1596" s="108">
        <v>1</v>
      </c>
    </row>
    <row r="1597" spans="1:8" ht="14">
      <c r="A1597" s="108">
        <v>2008</v>
      </c>
      <c r="B1597" s="108">
        <v>22</v>
      </c>
      <c r="C1597" s="108" t="s">
        <v>30</v>
      </c>
      <c r="D1597" s="108">
        <v>3184.1755770738</v>
      </c>
      <c r="E1597" s="108">
        <v>0</v>
      </c>
      <c r="F1597" s="108" t="s">
        <v>135</v>
      </c>
      <c r="G1597" s="108"/>
      <c r="H1597" s="108">
        <v>1</v>
      </c>
    </row>
    <row r="1598" spans="1:8" ht="14">
      <c r="A1598" s="108">
        <v>2008</v>
      </c>
      <c r="B1598" s="108">
        <v>22</v>
      </c>
      <c r="C1598" s="108" t="s">
        <v>30</v>
      </c>
      <c r="D1598" s="108">
        <v>47320.789422926202</v>
      </c>
      <c r="E1598" s="108">
        <v>0</v>
      </c>
      <c r="F1598" s="108" t="s">
        <v>136</v>
      </c>
      <c r="G1598" s="108"/>
      <c r="H1598" s="108">
        <v>1</v>
      </c>
    </row>
    <row r="1599" spans="1:8" ht="14">
      <c r="A1599" s="108">
        <v>2008</v>
      </c>
      <c r="B1599" s="108">
        <v>22</v>
      </c>
      <c r="C1599" s="108" t="s">
        <v>30</v>
      </c>
      <c r="D1599" s="108">
        <v>9.6920000000000002</v>
      </c>
      <c r="E1599" s="108">
        <v>0</v>
      </c>
      <c r="F1599" s="108" t="s">
        <v>137</v>
      </c>
      <c r="G1599" s="108"/>
      <c r="H1599" s="108">
        <v>1</v>
      </c>
    </row>
    <row r="1600" spans="1:8" ht="14">
      <c r="A1600" s="108">
        <v>2008</v>
      </c>
      <c r="B1600" s="108">
        <v>22</v>
      </c>
      <c r="C1600" s="108" t="s">
        <v>138</v>
      </c>
      <c r="D1600" s="108">
        <v>46161.549878930498</v>
      </c>
      <c r="E1600" s="108">
        <v>0</v>
      </c>
      <c r="F1600" s="108" t="s">
        <v>136</v>
      </c>
      <c r="G1600" s="108"/>
      <c r="H1600" s="108">
        <v>1</v>
      </c>
    </row>
    <row r="1601" spans="1:8" ht="14">
      <c r="A1601" s="108">
        <v>2008</v>
      </c>
      <c r="B1601" s="108">
        <v>22</v>
      </c>
      <c r="C1601" s="108" t="s">
        <v>138</v>
      </c>
      <c r="D1601" s="108">
        <v>1585.05812106949</v>
      </c>
      <c r="E1601" s="108">
        <v>0</v>
      </c>
      <c r="F1601" s="108" t="s">
        <v>135</v>
      </c>
      <c r="G1601" s="108"/>
      <c r="H1601" s="108">
        <v>1</v>
      </c>
    </row>
    <row r="1602" spans="1:8" ht="14">
      <c r="A1602" s="108">
        <v>2008</v>
      </c>
      <c r="B1602" s="108">
        <v>22</v>
      </c>
      <c r="C1602" s="108" t="s">
        <v>139</v>
      </c>
      <c r="D1602" s="108">
        <v>9.6920000000000002</v>
      </c>
      <c r="E1602" s="108">
        <v>0</v>
      </c>
      <c r="F1602" s="108" t="s">
        <v>137</v>
      </c>
      <c r="G1602" s="108"/>
      <c r="H1602" s="108">
        <v>1</v>
      </c>
    </row>
    <row r="1603" spans="1:8" ht="14">
      <c r="A1603" s="108">
        <v>2008</v>
      </c>
      <c r="B1603" s="108">
        <v>22</v>
      </c>
      <c r="C1603" s="108" t="s">
        <v>139</v>
      </c>
      <c r="D1603" s="108">
        <v>1599.1174560043</v>
      </c>
      <c r="E1603" s="108">
        <v>0</v>
      </c>
      <c r="F1603" s="108" t="s">
        <v>135</v>
      </c>
      <c r="G1603" s="108"/>
      <c r="H1603" s="108">
        <v>1</v>
      </c>
    </row>
    <row r="1604" spans="1:8" ht="14">
      <c r="A1604" s="108">
        <v>2008</v>
      </c>
      <c r="B1604" s="108">
        <v>22</v>
      </c>
      <c r="C1604" s="108" t="s">
        <v>139</v>
      </c>
      <c r="D1604" s="108">
        <v>1159.2395439956899</v>
      </c>
      <c r="E1604" s="108">
        <v>0</v>
      </c>
      <c r="F1604" s="108" t="s">
        <v>136</v>
      </c>
      <c r="G1604" s="108"/>
      <c r="H1604" s="108">
        <v>1</v>
      </c>
    </row>
    <row r="1605" spans="1:8" ht="14">
      <c r="A1605" s="108">
        <v>2008</v>
      </c>
      <c r="B1605" s="108">
        <v>23</v>
      </c>
      <c r="C1605" s="108" t="s">
        <v>30</v>
      </c>
      <c r="D1605" s="108">
        <v>1352.7462460535601</v>
      </c>
      <c r="E1605" s="108">
        <v>0</v>
      </c>
      <c r="F1605" s="108" t="s">
        <v>135</v>
      </c>
      <c r="G1605" s="108"/>
      <c r="H1605" s="108">
        <v>1</v>
      </c>
    </row>
    <row r="1606" spans="1:8" ht="14">
      <c r="A1606" s="108">
        <v>2008</v>
      </c>
      <c r="B1606" s="108">
        <v>23</v>
      </c>
      <c r="C1606" s="108" t="s">
        <v>30</v>
      </c>
      <c r="D1606" s="108">
        <v>12624.1747539464</v>
      </c>
      <c r="E1606" s="108">
        <v>0</v>
      </c>
      <c r="F1606" s="108" t="s">
        <v>136</v>
      </c>
      <c r="G1606" s="108"/>
      <c r="H1606" s="108">
        <v>1</v>
      </c>
    </row>
    <row r="1607" spans="1:8" ht="14">
      <c r="A1607" s="108">
        <v>2008</v>
      </c>
      <c r="B1607" s="108">
        <v>23</v>
      </c>
      <c r="C1607" s="108" t="s">
        <v>30</v>
      </c>
      <c r="D1607" s="108">
        <v>0.79900000000000004</v>
      </c>
      <c r="E1607" s="108">
        <v>0</v>
      </c>
      <c r="F1607" s="108" t="s">
        <v>137</v>
      </c>
      <c r="G1607" s="108"/>
      <c r="H1607" s="108">
        <v>1</v>
      </c>
    </row>
    <row r="1608" spans="1:8" ht="14">
      <c r="A1608" s="108">
        <v>2008</v>
      </c>
      <c r="B1608" s="108">
        <v>23</v>
      </c>
      <c r="C1608" s="108" t="s">
        <v>138</v>
      </c>
      <c r="D1608" s="108">
        <v>9277.4348739168599</v>
      </c>
      <c r="E1608" s="108">
        <v>0</v>
      </c>
      <c r="F1608" s="108" t="s">
        <v>136</v>
      </c>
      <c r="G1608" s="108"/>
      <c r="H1608" s="108">
        <v>1</v>
      </c>
    </row>
    <row r="1609" spans="1:8" ht="14">
      <c r="A1609" s="108">
        <v>2008</v>
      </c>
      <c r="B1609" s="108">
        <v>23</v>
      </c>
      <c r="C1609" s="108" t="s">
        <v>138</v>
      </c>
      <c r="D1609" s="108">
        <v>749.98612608313897</v>
      </c>
      <c r="E1609" s="108">
        <v>0</v>
      </c>
      <c r="F1609" s="108" t="s">
        <v>135</v>
      </c>
      <c r="G1609" s="108"/>
      <c r="H1609" s="108">
        <v>1</v>
      </c>
    </row>
    <row r="1610" spans="1:8" ht="14">
      <c r="A1610" s="108">
        <v>2008</v>
      </c>
      <c r="B1610" s="108">
        <v>23</v>
      </c>
      <c r="C1610" s="108" t="s">
        <v>139</v>
      </c>
      <c r="D1610" s="108">
        <v>3346.73988002957</v>
      </c>
      <c r="E1610" s="108">
        <v>0</v>
      </c>
      <c r="F1610" s="108" t="s">
        <v>136</v>
      </c>
      <c r="G1610" s="108"/>
      <c r="H1610" s="108">
        <v>1</v>
      </c>
    </row>
    <row r="1611" spans="1:8" ht="14">
      <c r="A1611" s="108">
        <v>2008</v>
      </c>
      <c r="B1611" s="108">
        <v>23</v>
      </c>
      <c r="C1611" s="108" t="s">
        <v>139</v>
      </c>
      <c r="D1611" s="108">
        <v>602.76011997042099</v>
      </c>
      <c r="E1611" s="108">
        <v>0</v>
      </c>
      <c r="F1611" s="108" t="s">
        <v>135</v>
      </c>
      <c r="G1611" s="108"/>
      <c r="H1611" s="108">
        <v>1</v>
      </c>
    </row>
    <row r="1612" spans="1:8" ht="14">
      <c r="A1612" s="108">
        <v>2008</v>
      </c>
      <c r="B1612" s="108">
        <v>23</v>
      </c>
      <c r="C1612" s="108" t="s">
        <v>139</v>
      </c>
      <c r="D1612" s="108">
        <v>0.79900000000000004</v>
      </c>
      <c r="E1612" s="108">
        <v>0</v>
      </c>
      <c r="F1612" s="108" t="s">
        <v>137</v>
      </c>
      <c r="G1612" s="108"/>
      <c r="H1612" s="108">
        <v>1</v>
      </c>
    </row>
    <row r="1613" spans="1:8" ht="14">
      <c r="A1613" s="108">
        <v>2008</v>
      </c>
      <c r="B1613" s="108">
        <v>29</v>
      </c>
      <c r="C1613" s="108" t="s">
        <v>30</v>
      </c>
      <c r="D1613" s="108">
        <v>21247.608972432801</v>
      </c>
      <c r="E1613" s="108">
        <v>0</v>
      </c>
      <c r="F1613" s="108" t="s">
        <v>136</v>
      </c>
      <c r="G1613" s="108"/>
      <c r="H1613" s="108">
        <v>1</v>
      </c>
    </row>
    <row r="1614" spans="1:8" ht="14">
      <c r="A1614" s="108">
        <v>2008</v>
      </c>
      <c r="B1614" s="108">
        <v>29</v>
      </c>
      <c r="C1614" s="108" t="s">
        <v>30</v>
      </c>
      <c r="D1614" s="108">
        <v>21024.849027567099</v>
      </c>
      <c r="E1614" s="108">
        <v>0</v>
      </c>
      <c r="F1614" s="108" t="s">
        <v>135</v>
      </c>
      <c r="G1614" s="108"/>
      <c r="H1614" s="108">
        <v>1</v>
      </c>
    </row>
    <row r="1615" spans="1:8" ht="14">
      <c r="A1615" s="108">
        <v>2008</v>
      </c>
      <c r="B1615" s="108">
        <v>29</v>
      </c>
      <c r="C1615" s="108" t="s">
        <v>138</v>
      </c>
      <c r="D1615" s="108">
        <v>10628.893522845799</v>
      </c>
      <c r="E1615" s="108">
        <v>0</v>
      </c>
      <c r="F1615" s="108" t="s">
        <v>136</v>
      </c>
      <c r="G1615" s="108"/>
      <c r="H1615" s="108">
        <v>1</v>
      </c>
    </row>
    <row r="1616" spans="1:8" ht="14">
      <c r="A1616" s="108">
        <v>2008</v>
      </c>
      <c r="B1616" s="108">
        <v>29</v>
      </c>
      <c r="C1616" s="108" t="s">
        <v>138</v>
      </c>
      <c r="D1616" s="108">
        <v>17018.247477154098</v>
      </c>
      <c r="E1616" s="108">
        <v>0</v>
      </c>
      <c r="F1616" s="108" t="s">
        <v>135</v>
      </c>
      <c r="G1616" s="108"/>
      <c r="H1616" s="108">
        <v>1</v>
      </c>
    </row>
    <row r="1617" spans="1:8" ht="14">
      <c r="A1617" s="108">
        <v>2008</v>
      </c>
      <c r="B1617" s="108">
        <v>29</v>
      </c>
      <c r="C1617" s="108" t="s">
        <v>139</v>
      </c>
      <c r="D1617" s="108">
        <v>4006.60155041295</v>
      </c>
      <c r="E1617" s="108">
        <v>0</v>
      </c>
      <c r="F1617" s="108" t="s">
        <v>135</v>
      </c>
      <c r="G1617" s="108"/>
      <c r="H1617" s="108">
        <v>1</v>
      </c>
    </row>
    <row r="1618" spans="1:8" ht="14">
      <c r="A1618" s="108">
        <v>2008</v>
      </c>
      <c r="B1618" s="108">
        <v>29</v>
      </c>
      <c r="C1618" s="108" t="s">
        <v>139</v>
      </c>
      <c r="D1618" s="108">
        <v>10618.715449587</v>
      </c>
      <c r="E1618" s="108">
        <v>0</v>
      </c>
      <c r="F1618" s="108" t="s">
        <v>136</v>
      </c>
      <c r="G1618" s="108"/>
      <c r="H1618" s="108">
        <v>1</v>
      </c>
    </row>
    <row r="1619" spans="1:8" ht="14">
      <c r="A1619" s="108">
        <v>2008</v>
      </c>
      <c r="B1619" s="108">
        <v>31</v>
      </c>
      <c r="C1619" s="108" t="s">
        <v>30</v>
      </c>
      <c r="D1619" s="108">
        <v>1102.81436973167</v>
      </c>
      <c r="E1619" s="108">
        <v>138.805616961488</v>
      </c>
      <c r="F1619" s="108" t="s">
        <v>135</v>
      </c>
      <c r="G1619" s="108">
        <v>138.80561396100001</v>
      </c>
      <c r="H1619" s="108">
        <v>1</v>
      </c>
    </row>
    <row r="1620" spans="1:8" ht="14">
      <c r="A1620" s="108">
        <v>2008</v>
      </c>
      <c r="B1620" s="108">
        <v>31</v>
      </c>
      <c r="C1620" s="108" t="s">
        <v>30</v>
      </c>
      <c r="D1620" s="108">
        <v>94.680035047983097</v>
      </c>
      <c r="E1620" s="108">
        <v>106.82636642097501</v>
      </c>
      <c r="F1620" s="108" t="s">
        <v>137</v>
      </c>
      <c r="G1620" s="108">
        <v>106.826385251</v>
      </c>
      <c r="H1620" s="108">
        <v>1</v>
      </c>
    </row>
    <row r="1621" spans="1:8" ht="14">
      <c r="A1621" s="108">
        <v>2008</v>
      </c>
      <c r="B1621" s="108">
        <v>31</v>
      </c>
      <c r="C1621" s="108" t="s">
        <v>30</v>
      </c>
      <c r="D1621" s="108">
        <v>19329.960595220298</v>
      </c>
      <c r="E1621" s="108">
        <v>1572.73401661753</v>
      </c>
      <c r="F1621" s="108" t="s">
        <v>136</v>
      </c>
      <c r="G1621" s="108">
        <v>1572.7339304719901</v>
      </c>
      <c r="H1621" s="108">
        <v>1</v>
      </c>
    </row>
    <row r="1622" spans="1:8" ht="14">
      <c r="A1622" s="108">
        <v>2008</v>
      </c>
      <c r="B1622" s="108">
        <v>31</v>
      </c>
      <c r="C1622" s="108" t="s">
        <v>138</v>
      </c>
      <c r="D1622" s="108">
        <v>504.21101311252301</v>
      </c>
      <c r="E1622" s="108">
        <v>67.678811300851606</v>
      </c>
      <c r="F1622" s="108" t="s">
        <v>135</v>
      </c>
      <c r="G1622" s="108">
        <v>67.678817553999906</v>
      </c>
      <c r="H1622" s="108">
        <v>1</v>
      </c>
    </row>
    <row r="1623" spans="1:8" ht="14">
      <c r="A1623" s="108">
        <v>2008</v>
      </c>
      <c r="B1623" s="108">
        <v>31</v>
      </c>
      <c r="C1623" s="108" t="s">
        <v>138</v>
      </c>
      <c r="D1623" s="108">
        <v>11682.068487108299</v>
      </c>
      <c r="E1623" s="108">
        <v>865.37079957722801</v>
      </c>
      <c r="F1623" s="108" t="s">
        <v>136</v>
      </c>
      <c r="G1623" s="108">
        <v>865.370711392001</v>
      </c>
      <c r="H1623" s="108">
        <v>1</v>
      </c>
    </row>
    <row r="1624" spans="1:8" ht="14">
      <c r="A1624" s="108">
        <v>2008</v>
      </c>
      <c r="B1624" s="108">
        <v>31</v>
      </c>
      <c r="C1624" s="108" t="s">
        <v>138</v>
      </c>
      <c r="D1624" s="108">
        <v>70.014499779137395</v>
      </c>
      <c r="E1624" s="108">
        <v>6.6243891219219497</v>
      </c>
      <c r="F1624" s="108" t="s">
        <v>137</v>
      </c>
      <c r="G1624" s="108">
        <v>6.6243894699999997</v>
      </c>
      <c r="H1624" s="108">
        <v>1</v>
      </c>
    </row>
    <row r="1625" spans="1:8" ht="14">
      <c r="A1625" s="108">
        <v>2008</v>
      </c>
      <c r="B1625" s="108">
        <v>31</v>
      </c>
      <c r="C1625" s="108" t="s">
        <v>139</v>
      </c>
      <c r="D1625" s="108">
        <v>598.60335661915303</v>
      </c>
      <c r="E1625" s="108">
        <v>71.126805660636904</v>
      </c>
      <c r="F1625" s="108" t="s">
        <v>135</v>
      </c>
      <c r="G1625" s="108">
        <v>71.126796406999901</v>
      </c>
      <c r="H1625" s="108">
        <v>1</v>
      </c>
    </row>
    <row r="1626" spans="1:8" ht="14">
      <c r="A1626" s="108">
        <v>2008</v>
      </c>
      <c r="B1626" s="108">
        <v>31</v>
      </c>
      <c r="C1626" s="108" t="s">
        <v>139</v>
      </c>
      <c r="D1626" s="108">
        <v>7647.8921081119997</v>
      </c>
      <c r="E1626" s="108">
        <v>707.36321704030797</v>
      </c>
      <c r="F1626" s="108" t="s">
        <v>136</v>
      </c>
      <c r="G1626" s="108">
        <v>707.36321908000002</v>
      </c>
      <c r="H1626" s="108">
        <v>1</v>
      </c>
    </row>
    <row r="1627" spans="1:8" ht="14">
      <c r="A1627" s="108">
        <v>2008</v>
      </c>
      <c r="B1627" s="108">
        <v>31</v>
      </c>
      <c r="C1627" s="108" t="s">
        <v>139</v>
      </c>
      <c r="D1627" s="108">
        <v>24.665535268845701</v>
      </c>
      <c r="E1627" s="108">
        <v>100.201977299053</v>
      </c>
      <c r="F1627" s="108" t="s">
        <v>137</v>
      </c>
      <c r="G1627" s="108">
        <v>100.201995780999</v>
      </c>
      <c r="H1627" s="108">
        <v>1</v>
      </c>
    </row>
    <row r="1628" spans="1:8" ht="14">
      <c r="A1628" s="108">
        <v>2008</v>
      </c>
      <c r="B1628" s="108">
        <v>32</v>
      </c>
      <c r="C1628" s="108" t="s">
        <v>30</v>
      </c>
      <c r="D1628" s="108">
        <v>1846.2985811955</v>
      </c>
      <c r="E1628" s="108">
        <v>175.097284941113</v>
      </c>
      <c r="F1628" s="108" t="s">
        <v>135</v>
      </c>
      <c r="G1628" s="108">
        <v>350.19456184000001</v>
      </c>
      <c r="H1628" s="108">
        <v>1</v>
      </c>
    </row>
    <row r="1629" spans="1:8" ht="14">
      <c r="A1629" s="108">
        <v>2008</v>
      </c>
      <c r="B1629" s="108">
        <v>32</v>
      </c>
      <c r="C1629" s="108" t="s">
        <v>30</v>
      </c>
      <c r="D1629" s="108">
        <v>444.98139986619901</v>
      </c>
      <c r="E1629" s="108">
        <v>176.36642513565101</v>
      </c>
      <c r="F1629" s="108" t="s">
        <v>137</v>
      </c>
      <c r="G1629" s="108">
        <v>352.7328053</v>
      </c>
      <c r="H1629" s="108">
        <v>1</v>
      </c>
    </row>
    <row r="1630" spans="1:8" ht="14">
      <c r="A1630" s="108">
        <v>2008</v>
      </c>
      <c r="B1630" s="108">
        <v>32</v>
      </c>
      <c r="C1630" s="108" t="s">
        <v>30</v>
      </c>
      <c r="D1630" s="108">
        <v>32001.817018938302</v>
      </c>
      <c r="E1630" s="108">
        <v>2743.0412899232201</v>
      </c>
      <c r="F1630" s="108" t="s">
        <v>136</v>
      </c>
      <c r="G1630" s="108">
        <v>5486.0828224346997</v>
      </c>
      <c r="H1630" s="108">
        <v>1</v>
      </c>
    </row>
    <row r="1631" spans="1:8" ht="14">
      <c r="A1631" s="108">
        <v>2008</v>
      </c>
      <c r="B1631" s="108">
        <v>32</v>
      </c>
      <c r="C1631" s="108" t="s">
        <v>138</v>
      </c>
      <c r="D1631" s="108">
        <v>941.83819493440706</v>
      </c>
      <c r="E1631" s="108">
        <v>89.542334696524406</v>
      </c>
      <c r="F1631" s="108" t="s">
        <v>135</v>
      </c>
      <c r="G1631" s="108">
        <v>179.08468117999999</v>
      </c>
      <c r="H1631" s="108">
        <v>1</v>
      </c>
    </row>
    <row r="1632" spans="1:8" ht="14">
      <c r="A1632" s="108">
        <v>2008</v>
      </c>
      <c r="B1632" s="108">
        <v>32</v>
      </c>
      <c r="C1632" s="108" t="s">
        <v>138</v>
      </c>
      <c r="D1632" s="108">
        <v>304.727078681352</v>
      </c>
      <c r="E1632" s="108">
        <v>22.061656968774599</v>
      </c>
      <c r="F1632" s="108" t="s">
        <v>137</v>
      </c>
      <c r="G1632" s="108">
        <v>44.1233176799999</v>
      </c>
      <c r="H1632" s="108">
        <v>1</v>
      </c>
    </row>
    <row r="1633" spans="1:8" ht="14">
      <c r="A1633" s="108">
        <v>2008</v>
      </c>
      <c r="B1633" s="108">
        <v>32</v>
      </c>
      <c r="C1633" s="108" t="s">
        <v>138</v>
      </c>
      <c r="D1633" s="108">
        <v>18553.390726384201</v>
      </c>
      <c r="E1633" s="108">
        <v>1421.55400833469</v>
      </c>
      <c r="F1633" s="108" t="s">
        <v>136</v>
      </c>
      <c r="G1633" s="108">
        <v>2843.1082841646999</v>
      </c>
      <c r="H1633" s="108">
        <v>1</v>
      </c>
    </row>
    <row r="1634" spans="1:8" ht="14">
      <c r="A1634" s="108">
        <v>2008</v>
      </c>
      <c r="B1634" s="108">
        <v>32</v>
      </c>
      <c r="C1634" s="108" t="s">
        <v>139</v>
      </c>
      <c r="D1634" s="108">
        <v>904.46038626109805</v>
      </c>
      <c r="E1634" s="108">
        <v>85.554950244588795</v>
      </c>
      <c r="F1634" s="108" t="s">
        <v>135</v>
      </c>
      <c r="G1634" s="108">
        <v>171.10988065999899</v>
      </c>
      <c r="H1634" s="108">
        <v>1</v>
      </c>
    </row>
    <row r="1635" spans="1:8" ht="14">
      <c r="A1635" s="108">
        <v>2008</v>
      </c>
      <c r="B1635" s="108">
        <v>32</v>
      </c>
      <c r="C1635" s="108" t="s">
        <v>139</v>
      </c>
      <c r="D1635" s="108">
        <v>140.25432118484599</v>
      </c>
      <c r="E1635" s="108">
        <v>154.30476816687599</v>
      </c>
      <c r="F1635" s="108" t="s">
        <v>137</v>
      </c>
      <c r="G1635" s="108">
        <v>308.60948761999998</v>
      </c>
      <c r="H1635" s="108">
        <v>1</v>
      </c>
    </row>
    <row r="1636" spans="1:8" ht="14">
      <c r="A1636" s="108">
        <v>2008</v>
      </c>
      <c r="B1636" s="108">
        <v>32</v>
      </c>
      <c r="C1636" s="108" t="s">
        <v>139</v>
      </c>
      <c r="D1636" s="108">
        <v>13448.426292554001</v>
      </c>
      <c r="E1636" s="108">
        <v>1321.4872815885301</v>
      </c>
      <c r="F1636" s="108" t="s">
        <v>136</v>
      </c>
      <c r="G1636" s="108">
        <v>2642.9745382699898</v>
      </c>
      <c r="H1636" s="108">
        <v>1</v>
      </c>
    </row>
    <row r="1637" spans="1:8" ht="14">
      <c r="A1637" s="108">
        <v>2008</v>
      </c>
      <c r="B1637" s="108">
        <v>33</v>
      </c>
      <c r="C1637" s="108" t="s">
        <v>30</v>
      </c>
      <c r="D1637" s="108">
        <v>0.48676286264559299</v>
      </c>
      <c r="E1637" s="108">
        <v>2.55415086388537E-2</v>
      </c>
      <c r="F1637" s="108" t="s">
        <v>137</v>
      </c>
      <c r="G1637" s="108">
        <v>3.8312300000000001E-2</v>
      </c>
      <c r="H1637" s="108">
        <v>1</v>
      </c>
    </row>
    <row r="1638" spans="1:8" ht="14">
      <c r="A1638" s="108">
        <v>2008</v>
      </c>
      <c r="B1638" s="108">
        <v>33</v>
      </c>
      <c r="C1638" s="108" t="s">
        <v>30</v>
      </c>
      <c r="D1638" s="108">
        <v>438.33007682608599</v>
      </c>
      <c r="E1638" s="108">
        <v>28.294843256071001</v>
      </c>
      <c r="F1638" s="108" t="s">
        <v>136</v>
      </c>
      <c r="G1638" s="108">
        <v>42.442266936999999</v>
      </c>
      <c r="H1638" s="108">
        <v>1</v>
      </c>
    </row>
    <row r="1639" spans="1:8" ht="14">
      <c r="A1639" s="108">
        <v>2008</v>
      </c>
      <c r="B1639" s="108">
        <v>33</v>
      </c>
      <c r="C1639" s="108" t="s">
        <v>30</v>
      </c>
      <c r="D1639" s="108">
        <v>12.533160311268199</v>
      </c>
      <c r="E1639" s="108">
        <v>2.24161523529007</v>
      </c>
      <c r="F1639" s="108" t="s">
        <v>135</v>
      </c>
      <c r="G1639" s="108">
        <v>3.3624228469999999</v>
      </c>
      <c r="H1639" s="108">
        <v>1</v>
      </c>
    </row>
    <row r="1640" spans="1:8" ht="14">
      <c r="A1640" s="108">
        <v>2008</v>
      </c>
      <c r="B1640" s="108">
        <v>33</v>
      </c>
      <c r="C1640" s="108" t="s">
        <v>138</v>
      </c>
      <c r="D1640" s="108">
        <v>9.9315789720299001</v>
      </c>
      <c r="E1640" s="108">
        <v>1.16411591119216</v>
      </c>
      <c r="F1640" s="108" t="s">
        <v>135</v>
      </c>
      <c r="G1640" s="108">
        <v>1.7461738600000001</v>
      </c>
      <c r="H1640" s="108">
        <v>1</v>
      </c>
    </row>
    <row r="1641" spans="1:8" ht="14">
      <c r="A1641" s="108">
        <v>2008</v>
      </c>
      <c r="B1641" s="108">
        <v>33</v>
      </c>
      <c r="C1641" s="108" t="s">
        <v>138</v>
      </c>
      <c r="D1641" s="108">
        <v>279.55742102797001</v>
      </c>
      <c r="E1641" s="108">
        <v>13.796884088807801</v>
      </c>
      <c r="F1641" s="108" t="s">
        <v>136</v>
      </c>
      <c r="G1641" s="108">
        <v>20.69533092</v>
      </c>
      <c r="H1641" s="108">
        <v>1</v>
      </c>
    </row>
    <row r="1642" spans="1:8" ht="14">
      <c r="A1642" s="108">
        <v>2008</v>
      </c>
      <c r="B1642" s="108">
        <v>33</v>
      </c>
      <c r="C1642" s="108" t="s">
        <v>139</v>
      </c>
      <c r="D1642" s="108">
        <v>158.77265579811601</v>
      </c>
      <c r="E1642" s="108">
        <v>14.4979591672632</v>
      </c>
      <c r="F1642" s="108" t="s">
        <v>136</v>
      </c>
      <c r="G1642" s="108">
        <v>21.746936016999999</v>
      </c>
      <c r="H1642" s="108">
        <v>1</v>
      </c>
    </row>
    <row r="1643" spans="1:8" ht="14">
      <c r="A1643" s="108">
        <v>2008</v>
      </c>
      <c r="B1643" s="108">
        <v>33</v>
      </c>
      <c r="C1643" s="108" t="s">
        <v>139</v>
      </c>
      <c r="D1643" s="108">
        <v>0.48676286264559299</v>
      </c>
      <c r="E1643" s="108">
        <v>2.55415086388537E-2</v>
      </c>
      <c r="F1643" s="108" t="s">
        <v>137</v>
      </c>
      <c r="G1643" s="108">
        <v>3.8312300000000001E-2</v>
      </c>
      <c r="H1643" s="108">
        <v>1</v>
      </c>
    </row>
    <row r="1644" spans="1:8" ht="14">
      <c r="A1644" s="108">
        <v>2008</v>
      </c>
      <c r="B1644" s="108">
        <v>33</v>
      </c>
      <c r="C1644" s="108" t="s">
        <v>139</v>
      </c>
      <c r="D1644" s="108">
        <v>2.6015813392383298</v>
      </c>
      <c r="E1644" s="108">
        <v>1.0774993240979001</v>
      </c>
      <c r="F1644" s="108" t="s">
        <v>135</v>
      </c>
      <c r="G1644" s="108">
        <v>1.6162489869999901</v>
      </c>
      <c r="H1644" s="108">
        <v>1</v>
      </c>
    </row>
    <row r="1645" spans="1:8" ht="14">
      <c r="A1645" s="108">
        <v>2008</v>
      </c>
      <c r="B1645" s="108">
        <v>34</v>
      </c>
      <c r="C1645" s="108" t="s">
        <v>30</v>
      </c>
      <c r="D1645" s="108">
        <v>0.18681756214915701</v>
      </c>
      <c r="E1645" s="108">
        <v>2.84174545872669E-2</v>
      </c>
      <c r="F1645" s="108" t="s">
        <v>137</v>
      </c>
      <c r="G1645" s="108">
        <v>6.3939259999999998E-2</v>
      </c>
      <c r="H1645" s="108">
        <v>1</v>
      </c>
    </row>
    <row r="1646" spans="1:8" ht="14">
      <c r="A1646" s="108">
        <v>2008</v>
      </c>
      <c r="B1646" s="108">
        <v>34</v>
      </c>
      <c r="C1646" s="108" t="s">
        <v>30</v>
      </c>
      <c r="D1646" s="108">
        <v>55.527377337973597</v>
      </c>
      <c r="E1646" s="108">
        <v>6.0944284896978198</v>
      </c>
      <c r="F1646" s="108" t="s">
        <v>135</v>
      </c>
      <c r="G1646" s="108">
        <v>13.712464165199901</v>
      </c>
      <c r="H1646" s="108">
        <v>1</v>
      </c>
    </row>
    <row r="1647" spans="1:8" ht="14">
      <c r="A1647" s="108">
        <v>2008</v>
      </c>
      <c r="B1647" s="108">
        <v>34</v>
      </c>
      <c r="C1647" s="108" t="s">
        <v>30</v>
      </c>
      <c r="D1647" s="108">
        <v>4222.4378050998703</v>
      </c>
      <c r="E1647" s="108">
        <v>287.55915405571398</v>
      </c>
      <c r="F1647" s="108" t="s">
        <v>136</v>
      </c>
      <c r="G1647" s="108">
        <v>647.00813037360001</v>
      </c>
      <c r="H1647" s="108">
        <v>1</v>
      </c>
    </row>
    <row r="1648" spans="1:8" ht="14">
      <c r="A1648" s="108">
        <v>2008</v>
      </c>
      <c r="B1648" s="108">
        <v>34</v>
      </c>
      <c r="C1648" s="108" t="s">
        <v>138</v>
      </c>
      <c r="D1648" s="108">
        <v>3197.0736506309299</v>
      </c>
      <c r="E1648" s="108">
        <v>149.936123282355</v>
      </c>
      <c r="F1648" s="108" t="s">
        <v>136</v>
      </c>
      <c r="G1648" s="108">
        <v>337.35634732999898</v>
      </c>
      <c r="H1648" s="108">
        <v>1</v>
      </c>
    </row>
    <row r="1649" spans="1:8" ht="14">
      <c r="A1649" s="108">
        <v>2008</v>
      </c>
      <c r="B1649" s="108">
        <v>34</v>
      </c>
      <c r="C1649" s="108" t="s">
        <v>138</v>
      </c>
      <c r="D1649" s="108">
        <v>38.837531806918101</v>
      </c>
      <c r="E1649" s="108">
        <v>2.3974592630574101</v>
      </c>
      <c r="F1649" s="108" t="s">
        <v>135</v>
      </c>
      <c r="G1649" s="108">
        <v>5.3942830800000001</v>
      </c>
      <c r="H1649" s="108">
        <v>1</v>
      </c>
    </row>
    <row r="1650" spans="1:8" ht="14">
      <c r="A1650" s="108">
        <v>2008</v>
      </c>
      <c r="B1650" s="108">
        <v>34</v>
      </c>
      <c r="C1650" s="108" t="s">
        <v>138</v>
      </c>
      <c r="D1650" s="108">
        <v>0.18681756214915701</v>
      </c>
      <c r="E1650" s="108">
        <v>2.84174545872669E-2</v>
      </c>
      <c r="F1650" s="108" t="s">
        <v>137</v>
      </c>
      <c r="G1650" s="108">
        <v>6.3939259999999998E-2</v>
      </c>
      <c r="H1650" s="108">
        <v>1</v>
      </c>
    </row>
    <row r="1651" spans="1:8" ht="14">
      <c r="A1651" s="108">
        <v>2008</v>
      </c>
      <c r="B1651" s="108">
        <v>34</v>
      </c>
      <c r="C1651" s="108" t="s">
        <v>139</v>
      </c>
      <c r="D1651" s="108">
        <v>16.689845531055401</v>
      </c>
      <c r="E1651" s="108">
        <v>3.6969692266404102</v>
      </c>
      <c r="F1651" s="108" t="s">
        <v>135</v>
      </c>
      <c r="G1651" s="108">
        <v>8.3181810852000009</v>
      </c>
      <c r="H1651" s="108">
        <v>1</v>
      </c>
    </row>
    <row r="1652" spans="1:8" ht="14">
      <c r="A1652" s="108">
        <v>2008</v>
      </c>
      <c r="B1652" s="108">
        <v>34</v>
      </c>
      <c r="C1652" s="108" t="s">
        <v>139</v>
      </c>
      <c r="D1652" s="108">
        <v>1025.3641544689399</v>
      </c>
      <c r="E1652" s="108">
        <v>137.62303077335901</v>
      </c>
      <c r="F1652" s="108" t="s">
        <v>136</v>
      </c>
      <c r="G1652" s="108">
        <v>309.65178304359898</v>
      </c>
      <c r="H1652" s="108">
        <v>1</v>
      </c>
    </row>
    <row r="1653" spans="1:8" ht="14">
      <c r="A1653" s="108">
        <v>2008</v>
      </c>
      <c r="B1653" s="108">
        <v>34</v>
      </c>
      <c r="C1653" s="108" t="s">
        <v>139</v>
      </c>
      <c r="D1653" s="108">
        <v>0</v>
      </c>
      <c r="E1653" s="108">
        <v>0</v>
      </c>
      <c r="F1653" s="108" t="s">
        <v>137</v>
      </c>
      <c r="G1653" s="108">
        <v>0</v>
      </c>
      <c r="H1653" s="108">
        <v>1</v>
      </c>
    </row>
    <row r="1654" spans="1:8" ht="14">
      <c r="A1654" s="108">
        <v>2008</v>
      </c>
      <c r="B1654" s="108">
        <v>51</v>
      </c>
      <c r="C1654" s="108" t="s">
        <v>30</v>
      </c>
      <c r="D1654" s="108">
        <v>8267.0487803708602</v>
      </c>
      <c r="E1654" s="108">
        <v>685.08919815301101</v>
      </c>
      <c r="F1654" s="108" t="s">
        <v>135</v>
      </c>
      <c r="G1654" s="108"/>
      <c r="H1654" s="108">
        <v>1</v>
      </c>
    </row>
    <row r="1655" spans="1:8" ht="14">
      <c r="A1655" s="108">
        <v>2008</v>
      </c>
      <c r="B1655" s="108">
        <v>51</v>
      </c>
      <c r="C1655" s="108" t="s">
        <v>30</v>
      </c>
      <c r="D1655" s="108">
        <v>40205.296219629097</v>
      </c>
      <c r="E1655" s="108">
        <v>3597.10680184698</v>
      </c>
      <c r="F1655" s="108" t="s">
        <v>136</v>
      </c>
      <c r="G1655" s="108"/>
      <c r="H1655" s="108">
        <v>1</v>
      </c>
    </row>
    <row r="1656" spans="1:8" ht="14">
      <c r="A1656" s="108">
        <v>2008</v>
      </c>
      <c r="B1656" s="108">
        <v>51</v>
      </c>
      <c r="C1656" s="108" t="s">
        <v>138</v>
      </c>
      <c r="D1656" s="108">
        <v>23262.884055431699</v>
      </c>
      <c r="E1656" s="108">
        <v>1778.70187567723</v>
      </c>
      <c r="F1656" s="108" t="s">
        <v>136</v>
      </c>
      <c r="G1656" s="108"/>
      <c r="H1656" s="108">
        <v>1</v>
      </c>
    </row>
    <row r="1657" spans="1:8" ht="14">
      <c r="A1657" s="108">
        <v>2008</v>
      </c>
      <c r="B1657" s="108">
        <v>51</v>
      </c>
      <c r="C1657" s="108" t="s">
        <v>138</v>
      </c>
      <c r="D1657" s="108">
        <v>4073.1249445682602</v>
      </c>
      <c r="E1657" s="108">
        <v>337.95112432277</v>
      </c>
      <c r="F1657" s="108" t="s">
        <v>135</v>
      </c>
      <c r="G1657" s="108"/>
      <c r="H1657" s="108">
        <v>1</v>
      </c>
    </row>
    <row r="1658" spans="1:8" ht="14">
      <c r="A1658" s="108">
        <v>2008</v>
      </c>
      <c r="B1658" s="108">
        <v>51</v>
      </c>
      <c r="C1658" s="108" t="s">
        <v>139</v>
      </c>
      <c r="D1658" s="108">
        <v>16942.412164197402</v>
      </c>
      <c r="E1658" s="108">
        <v>1818.4049261697501</v>
      </c>
      <c r="F1658" s="108" t="s">
        <v>136</v>
      </c>
      <c r="G1658" s="108"/>
      <c r="H1658" s="108">
        <v>1</v>
      </c>
    </row>
    <row r="1659" spans="1:8" ht="14">
      <c r="A1659" s="108">
        <v>2008</v>
      </c>
      <c r="B1659" s="108">
        <v>51</v>
      </c>
      <c r="C1659" s="108" t="s">
        <v>139</v>
      </c>
      <c r="D1659" s="108">
        <v>4193.9238358025896</v>
      </c>
      <c r="E1659" s="108">
        <v>347.13807383024101</v>
      </c>
      <c r="F1659" s="108" t="s">
        <v>135</v>
      </c>
      <c r="G1659" s="108"/>
      <c r="H1659" s="108">
        <v>1</v>
      </c>
    </row>
    <row r="1660" spans="1:8" ht="14">
      <c r="A1660" s="108">
        <v>2008</v>
      </c>
      <c r="B1660" s="108">
        <v>52</v>
      </c>
      <c r="C1660" s="108" t="s">
        <v>30</v>
      </c>
      <c r="D1660" s="108">
        <v>0</v>
      </c>
      <c r="E1660" s="108">
        <v>2E-3</v>
      </c>
      <c r="F1660" s="108" t="s">
        <v>137</v>
      </c>
      <c r="G1660" s="108"/>
      <c r="H1660" s="108">
        <v>1</v>
      </c>
    </row>
    <row r="1661" spans="1:8" ht="14">
      <c r="A1661" s="108">
        <v>2008</v>
      </c>
      <c r="B1661" s="108">
        <v>52</v>
      </c>
      <c r="C1661" s="108" t="s">
        <v>30</v>
      </c>
      <c r="D1661" s="108">
        <v>0</v>
      </c>
      <c r="E1661" s="108">
        <v>1273.2577162994901</v>
      </c>
      <c r="F1661" s="108" t="s">
        <v>135</v>
      </c>
      <c r="G1661" s="108"/>
      <c r="H1661" s="108">
        <v>1</v>
      </c>
    </row>
    <row r="1662" spans="1:8" ht="14">
      <c r="A1662" s="108">
        <v>2008</v>
      </c>
      <c r="B1662" s="108">
        <v>52</v>
      </c>
      <c r="C1662" s="108" t="s">
        <v>30</v>
      </c>
      <c r="D1662" s="108">
        <v>0</v>
      </c>
      <c r="E1662" s="108">
        <v>4968.9222837005</v>
      </c>
      <c r="F1662" s="108" t="s">
        <v>136</v>
      </c>
      <c r="G1662" s="108"/>
      <c r="H1662" s="108">
        <v>1</v>
      </c>
    </row>
    <row r="1663" spans="1:8" ht="14">
      <c r="A1663" s="108">
        <v>2008</v>
      </c>
      <c r="B1663" s="108">
        <v>52</v>
      </c>
      <c r="C1663" s="108" t="s">
        <v>138</v>
      </c>
      <c r="D1663" s="108">
        <v>0</v>
      </c>
      <c r="E1663" s="108">
        <v>2E-3</v>
      </c>
      <c r="F1663" s="108" t="s">
        <v>137</v>
      </c>
      <c r="G1663" s="108"/>
      <c r="H1663" s="108">
        <v>1</v>
      </c>
    </row>
    <row r="1664" spans="1:8" ht="14">
      <c r="A1664" s="108">
        <v>2008</v>
      </c>
      <c r="B1664" s="108">
        <v>52</v>
      </c>
      <c r="C1664" s="108" t="s">
        <v>138</v>
      </c>
      <c r="D1664" s="108">
        <v>0</v>
      </c>
      <c r="E1664" s="108">
        <v>635.25212582856398</v>
      </c>
      <c r="F1664" s="108" t="s">
        <v>135</v>
      </c>
      <c r="G1664" s="108"/>
      <c r="H1664" s="108">
        <v>1</v>
      </c>
    </row>
    <row r="1665" spans="1:8" ht="14">
      <c r="A1665" s="108">
        <v>2008</v>
      </c>
      <c r="B1665" s="108">
        <v>52</v>
      </c>
      <c r="C1665" s="108" t="s">
        <v>138</v>
      </c>
      <c r="D1665" s="108">
        <v>0</v>
      </c>
      <c r="E1665" s="108">
        <v>2407.7518741714298</v>
      </c>
      <c r="F1665" s="108" t="s">
        <v>136</v>
      </c>
      <c r="G1665" s="108"/>
      <c r="H1665" s="108">
        <v>1</v>
      </c>
    </row>
    <row r="1666" spans="1:8" ht="14">
      <c r="A1666" s="108">
        <v>2008</v>
      </c>
      <c r="B1666" s="108">
        <v>52</v>
      </c>
      <c r="C1666" s="108" t="s">
        <v>139</v>
      </c>
      <c r="D1666" s="108">
        <v>0</v>
      </c>
      <c r="E1666" s="108">
        <v>638.00559047093395</v>
      </c>
      <c r="F1666" s="108" t="s">
        <v>135</v>
      </c>
      <c r="G1666" s="108"/>
      <c r="H1666" s="108">
        <v>1</v>
      </c>
    </row>
    <row r="1667" spans="1:8" ht="14">
      <c r="A1667" s="108">
        <v>2008</v>
      </c>
      <c r="B1667" s="108">
        <v>52</v>
      </c>
      <c r="C1667" s="108" t="s">
        <v>139</v>
      </c>
      <c r="D1667" s="108">
        <v>0</v>
      </c>
      <c r="E1667" s="108">
        <v>2561.1704095290602</v>
      </c>
      <c r="F1667" s="108" t="s">
        <v>136</v>
      </c>
      <c r="G1667" s="108"/>
      <c r="H1667" s="108">
        <v>1</v>
      </c>
    </row>
    <row r="1668" spans="1:8" ht="14">
      <c r="A1668" s="108">
        <v>2008</v>
      </c>
      <c r="B1668" s="108">
        <v>53</v>
      </c>
      <c r="C1668" s="108" t="s">
        <v>30</v>
      </c>
      <c r="D1668" s="108">
        <v>0</v>
      </c>
      <c r="E1668" s="108">
        <v>10.7</v>
      </c>
      <c r="F1668" s="108" t="s">
        <v>135</v>
      </c>
      <c r="G1668" s="108"/>
      <c r="H1668" s="108">
        <v>1</v>
      </c>
    </row>
    <row r="1669" spans="1:8" ht="14">
      <c r="A1669" s="108">
        <v>2008</v>
      </c>
      <c r="B1669" s="108">
        <v>53</v>
      </c>
      <c r="C1669" s="108" t="s">
        <v>30</v>
      </c>
      <c r="D1669" s="108">
        <v>0</v>
      </c>
      <c r="E1669" s="108">
        <v>130.50399999999999</v>
      </c>
      <c r="F1669" s="108" t="s">
        <v>136</v>
      </c>
      <c r="G1669" s="108"/>
      <c r="H1669" s="108">
        <v>1</v>
      </c>
    </row>
    <row r="1670" spans="1:8" ht="14">
      <c r="A1670" s="108">
        <v>2008</v>
      </c>
      <c r="B1670" s="108">
        <v>53</v>
      </c>
      <c r="C1670" s="108" t="s">
        <v>138</v>
      </c>
      <c r="D1670" s="108">
        <v>0</v>
      </c>
      <c r="E1670" s="108">
        <v>5.5069999999999997</v>
      </c>
      <c r="F1670" s="108" t="s">
        <v>135</v>
      </c>
      <c r="G1670" s="108"/>
      <c r="H1670" s="108">
        <v>1</v>
      </c>
    </row>
    <row r="1671" spans="1:8" ht="14">
      <c r="A1671" s="108">
        <v>2008</v>
      </c>
      <c r="B1671" s="108">
        <v>53</v>
      </c>
      <c r="C1671" s="108" t="s">
        <v>138</v>
      </c>
      <c r="D1671" s="108">
        <v>0</v>
      </c>
      <c r="E1671" s="108">
        <v>65.510999999999896</v>
      </c>
      <c r="F1671" s="108" t="s">
        <v>136</v>
      </c>
      <c r="G1671" s="108"/>
      <c r="H1671" s="108">
        <v>1</v>
      </c>
    </row>
    <row r="1672" spans="1:8" ht="14">
      <c r="A1672" s="108">
        <v>2008</v>
      </c>
      <c r="B1672" s="108">
        <v>53</v>
      </c>
      <c r="C1672" s="108" t="s">
        <v>139</v>
      </c>
      <c r="D1672" s="108">
        <v>0</v>
      </c>
      <c r="E1672" s="108">
        <v>64.992999999999995</v>
      </c>
      <c r="F1672" s="108" t="s">
        <v>136</v>
      </c>
      <c r="G1672" s="108"/>
      <c r="H1672" s="108">
        <v>1</v>
      </c>
    </row>
    <row r="1673" spans="1:8" ht="14">
      <c r="A1673" s="108">
        <v>2008</v>
      </c>
      <c r="B1673" s="108">
        <v>53</v>
      </c>
      <c r="C1673" s="108" t="s">
        <v>139</v>
      </c>
      <c r="D1673" s="108">
        <v>0</v>
      </c>
      <c r="E1673" s="108">
        <v>5.1929999999999996</v>
      </c>
      <c r="F1673" s="108" t="s">
        <v>135</v>
      </c>
      <c r="G1673" s="108"/>
      <c r="H1673" s="108">
        <v>1</v>
      </c>
    </row>
    <row r="1674" spans="1:8" ht="14">
      <c r="A1674" s="108">
        <v>2008</v>
      </c>
      <c r="B1674" s="108">
        <v>54</v>
      </c>
      <c r="C1674" s="108" t="s">
        <v>30</v>
      </c>
      <c r="D1674" s="108">
        <v>4981.2468707710404</v>
      </c>
      <c r="E1674" s="108">
        <v>3457.4559669813598</v>
      </c>
      <c r="F1674" s="108" t="s">
        <v>136</v>
      </c>
      <c r="G1674" s="108"/>
      <c r="H1674" s="108">
        <v>1</v>
      </c>
    </row>
    <row r="1675" spans="1:8" ht="14">
      <c r="A1675" s="108">
        <v>2008</v>
      </c>
      <c r="B1675" s="108">
        <v>54</v>
      </c>
      <c r="C1675" s="108" t="s">
        <v>30</v>
      </c>
      <c r="D1675" s="108">
        <v>0.47499999999999998</v>
      </c>
      <c r="E1675" s="108">
        <v>0.80900000000000005</v>
      </c>
      <c r="F1675" s="108" t="s">
        <v>137</v>
      </c>
      <c r="G1675" s="108"/>
      <c r="H1675" s="108">
        <v>1</v>
      </c>
    </row>
    <row r="1676" spans="1:8" ht="14">
      <c r="A1676" s="108">
        <v>2008</v>
      </c>
      <c r="B1676" s="108">
        <v>54</v>
      </c>
      <c r="C1676" s="108" t="s">
        <v>30</v>
      </c>
      <c r="D1676" s="108">
        <v>161.81112922895699</v>
      </c>
      <c r="E1676" s="108">
        <v>133.745033018638</v>
      </c>
      <c r="F1676" s="108" t="s">
        <v>135</v>
      </c>
      <c r="G1676" s="108"/>
      <c r="H1676" s="108">
        <v>1</v>
      </c>
    </row>
    <row r="1677" spans="1:8" ht="14">
      <c r="A1677" s="108">
        <v>2008</v>
      </c>
      <c r="B1677" s="108">
        <v>54</v>
      </c>
      <c r="C1677" s="108" t="s">
        <v>138</v>
      </c>
      <c r="D1677" s="108">
        <v>85.641923505000804</v>
      </c>
      <c r="E1677" s="108">
        <v>67.102028847578495</v>
      </c>
      <c r="F1677" s="108" t="s">
        <v>135</v>
      </c>
      <c r="G1677" s="108"/>
      <c r="H1677" s="108">
        <v>1</v>
      </c>
    </row>
    <row r="1678" spans="1:8" ht="14">
      <c r="A1678" s="108">
        <v>2008</v>
      </c>
      <c r="B1678" s="108">
        <v>54</v>
      </c>
      <c r="C1678" s="108" t="s">
        <v>138</v>
      </c>
      <c r="D1678" s="108">
        <v>2879.8900764949899</v>
      </c>
      <c r="E1678" s="108">
        <v>2119.4349711524201</v>
      </c>
      <c r="F1678" s="108" t="s">
        <v>136</v>
      </c>
      <c r="G1678" s="108"/>
      <c r="H1678" s="108">
        <v>1</v>
      </c>
    </row>
    <row r="1679" spans="1:8" ht="14">
      <c r="A1679" s="108">
        <v>2008</v>
      </c>
      <c r="B1679" s="108">
        <v>54</v>
      </c>
      <c r="C1679" s="108" t="s">
        <v>138</v>
      </c>
      <c r="D1679" s="108">
        <v>0.39</v>
      </c>
      <c r="E1679" s="108">
        <v>0.74399999999999999</v>
      </c>
      <c r="F1679" s="108" t="s">
        <v>137</v>
      </c>
      <c r="G1679" s="108"/>
      <c r="H1679" s="108">
        <v>1</v>
      </c>
    </row>
    <row r="1680" spans="1:8" ht="14">
      <c r="A1680" s="108">
        <v>2008</v>
      </c>
      <c r="B1680" s="108">
        <v>54</v>
      </c>
      <c r="C1680" s="108" t="s">
        <v>139</v>
      </c>
      <c r="D1680" s="108">
        <v>76.169205723956594</v>
      </c>
      <c r="E1680" s="108">
        <v>66.643004171060198</v>
      </c>
      <c r="F1680" s="108" t="s">
        <v>135</v>
      </c>
      <c r="G1680" s="108"/>
      <c r="H1680" s="108">
        <v>1</v>
      </c>
    </row>
    <row r="1681" spans="1:8" ht="14">
      <c r="A1681" s="108">
        <v>2008</v>
      </c>
      <c r="B1681" s="108">
        <v>54</v>
      </c>
      <c r="C1681" s="108" t="s">
        <v>139</v>
      </c>
      <c r="D1681" s="108">
        <v>8.5000000000000006E-2</v>
      </c>
      <c r="E1681" s="108">
        <v>6.5000000000000002E-2</v>
      </c>
      <c r="F1681" s="108" t="s">
        <v>137</v>
      </c>
      <c r="G1681" s="108"/>
      <c r="H1681" s="108">
        <v>1</v>
      </c>
    </row>
    <row r="1682" spans="1:8" ht="14">
      <c r="A1682" s="108">
        <v>2008</v>
      </c>
      <c r="B1682" s="108">
        <v>54</v>
      </c>
      <c r="C1682" s="108" t="s">
        <v>139</v>
      </c>
      <c r="D1682" s="108">
        <v>2101.3567942760401</v>
      </c>
      <c r="E1682" s="108">
        <v>1338.0209958289299</v>
      </c>
      <c r="F1682" s="108" t="s">
        <v>136</v>
      </c>
      <c r="G1682" s="108"/>
      <c r="H1682" s="108">
        <v>1</v>
      </c>
    </row>
    <row r="1683" spans="1:8" ht="14">
      <c r="A1683" s="108">
        <v>2008</v>
      </c>
      <c r="B1683" s="108">
        <v>59</v>
      </c>
      <c r="C1683" s="108" t="s">
        <v>30</v>
      </c>
      <c r="D1683" s="108">
        <v>142.69999999999999</v>
      </c>
      <c r="E1683" s="108">
        <v>12.656999999999901</v>
      </c>
      <c r="F1683" s="108" t="s">
        <v>136</v>
      </c>
      <c r="G1683" s="108"/>
      <c r="H1683" s="108">
        <v>1</v>
      </c>
    </row>
    <row r="1684" spans="1:8" ht="14">
      <c r="A1684" s="108">
        <v>2008</v>
      </c>
      <c r="B1684" s="108">
        <v>59</v>
      </c>
      <c r="C1684" s="108" t="s">
        <v>30</v>
      </c>
      <c r="D1684" s="108">
        <v>8.2399999999999896</v>
      </c>
      <c r="E1684" s="108">
        <v>4.4530000000000003</v>
      </c>
      <c r="F1684" s="108" t="s">
        <v>135</v>
      </c>
      <c r="G1684" s="108"/>
      <c r="H1684" s="108">
        <v>1</v>
      </c>
    </row>
    <row r="1685" spans="1:8" ht="14">
      <c r="A1685" s="108">
        <v>2008</v>
      </c>
      <c r="B1685" s="108">
        <v>59</v>
      </c>
      <c r="C1685" s="108" t="s">
        <v>138</v>
      </c>
      <c r="D1685" s="108">
        <v>7.0469999999999997</v>
      </c>
      <c r="E1685" s="108">
        <v>3.4980000000000002</v>
      </c>
      <c r="F1685" s="108" t="s">
        <v>135</v>
      </c>
      <c r="G1685" s="108"/>
      <c r="H1685" s="108">
        <v>1</v>
      </c>
    </row>
    <row r="1686" spans="1:8" ht="14">
      <c r="A1686" s="108">
        <v>2008</v>
      </c>
      <c r="B1686" s="108">
        <v>59</v>
      </c>
      <c r="C1686" s="108" t="s">
        <v>138</v>
      </c>
      <c r="D1686" s="108">
        <v>35.802</v>
      </c>
      <c r="E1686" s="108">
        <v>4.7850000000000001</v>
      </c>
      <c r="F1686" s="108" t="s">
        <v>136</v>
      </c>
      <c r="G1686" s="108"/>
      <c r="H1686" s="108">
        <v>1</v>
      </c>
    </row>
    <row r="1687" spans="1:8" ht="14">
      <c r="A1687" s="108">
        <v>2008</v>
      </c>
      <c r="B1687" s="108">
        <v>59</v>
      </c>
      <c r="C1687" s="108" t="s">
        <v>139</v>
      </c>
      <c r="D1687" s="108">
        <v>1.1930000000000001</v>
      </c>
      <c r="E1687" s="108">
        <v>0.95499999999999896</v>
      </c>
      <c r="F1687" s="108" t="s">
        <v>135</v>
      </c>
      <c r="G1687" s="108"/>
      <c r="H1687" s="108">
        <v>1</v>
      </c>
    </row>
    <row r="1688" spans="1:8" ht="14">
      <c r="A1688" s="108">
        <v>2008</v>
      </c>
      <c r="B1688" s="108">
        <v>59</v>
      </c>
      <c r="C1688" s="108" t="s">
        <v>139</v>
      </c>
      <c r="D1688" s="108">
        <v>106.897999999999</v>
      </c>
      <c r="E1688" s="108">
        <v>7.8719999999999999</v>
      </c>
      <c r="F1688" s="108" t="s">
        <v>136</v>
      </c>
      <c r="G1688" s="108"/>
      <c r="H1688" s="108">
        <v>1</v>
      </c>
    </row>
    <row r="1689" spans="1:8" ht="14">
      <c r="A1689" s="108">
        <v>2008</v>
      </c>
      <c r="B1689" s="108">
        <v>61</v>
      </c>
      <c r="C1689" s="108" t="s">
        <v>30</v>
      </c>
      <c r="D1689" s="108">
        <v>22240.654668772499</v>
      </c>
      <c r="E1689" s="108">
        <v>1652.70772992617</v>
      </c>
      <c r="F1689" s="108" t="s">
        <v>136</v>
      </c>
      <c r="G1689" s="108"/>
      <c r="H1689" s="108">
        <v>1</v>
      </c>
    </row>
    <row r="1690" spans="1:8" ht="14">
      <c r="A1690" s="108">
        <v>2008</v>
      </c>
      <c r="B1690" s="108">
        <v>61</v>
      </c>
      <c r="C1690" s="108" t="s">
        <v>30</v>
      </c>
      <c r="D1690" s="108">
        <v>13294.485331227401</v>
      </c>
      <c r="E1690" s="108">
        <v>1034.16427007382</v>
      </c>
      <c r="F1690" s="108" t="s">
        <v>135</v>
      </c>
      <c r="G1690" s="108"/>
      <c r="H1690" s="108">
        <v>1</v>
      </c>
    </row>
    <row r="1691" spans="1:8" ht="14">
      <c r="A1691" s="108">
        <v>2008</v>
      </c>
      <c r="B1691" s="108">
        <v>61</v>
      </c>
      <c r="C1691" s="108" t="s">
        <v>138</v>
      </c>
      <c r="D1691" s="108">
        <v>6676.7143655954596</v>
      </c>
      <c r="E1691" s="108">
        <v>513.87653983285702</v>
      </c>
      <c r="F1691" s="108" t="s">
        <v>135</v>
      </c>
      <c r="G1691" s="108"/>
      <c r="H1691" s="108">
        <v>1</v>
      </c>
    </row>
    <row r="1692" spans="1:8" ht="14">
      <c r="A1692" s="108">
        <v>2008</v>
      </c>
      <c r="B1692" s="108">
        <v>61</v>
      </c>
      <c r="C1692" s="108" t="s">
        <v>138</v>
      </c>
      <c r="D1692" s="108">
        <v>13179.2816344045</v>
      </c>
      <c r="E1692" s="108">
        <v>827.94346016714201</v>
      </c>
      <c r="F1692" s="108" t="s">
        <v>136</v>
      </c>
      <c r="G1692" s="108"/>
      <c r="H1692" s="108">
        <v>1</v>
      </c>
    </row>
    <row r="1693" spans="1:8" ht="14">
      <c r="A1693" s="108">
        <v>2008</v>
      </c>
      <c r="B1693" s="108">
        <v>61</v>
      </c>
      <c r="C1693" s="108" t="s">
        <v>139</v>
      </c>
      <c r="D1693" s="108">
        <v>6617.7709656319603</v>
      </c>
      <c r="E1693" s="108">
        <v>520.28773024096802</v>
      </c>
      <c r="F1693" s="108" t="s">
        <v>135</v>
      </c>
      <c r="G1693" s="108"/>
      <c r="H1693" s="108">
        <v>1</v>
      </c>
    </row>
    <row r="1694" spans="1:8" ht="14">
      <c r="A1694" s="108">
        <v>2008</v>
      </c>
      <c r="B1694" s="108">
        <v>61</v>
      </c>
      <c r="C1694" s="108" t="s">
        <v>139</v>
      </c>
      <c r="D1694" s="108">
        <v>9061.3730343680309</v>
      </c>
      <c r="E1694" s="108">
        <v>824.76426975903098</v>
      </c>
      <c r="F1694" s="108" t="s">
        <v>136</v>
      </c>
      <c r="G1694" s="108"/>
      <c r="H1694" s="108">
        <v>1</v>
      </c>
    </row>
    <row r="1695" spans="1:8" ht="14">
      <c r="A1695" s="108">
        <v>2008</v>
      </c>
      <c r="B1695" s="108">
        <v>62</v>
      </c>
      <c r="C1695" s="108" t="s">
        <v>30</v>
      </c>
      <c r="D1695" s="108">
        <v>1.385</v>
      </c>
      <c r="E1695" s="108">
        <v>0.252</v>
      </c>
      <c r="F1695" s="108" t="s">
        <v>137</v>
      </c>
      <c r="G1695" s="108"/>
      <c r="H1695" s="108">
        <v>1</v>
      </c>
    </row>
    <row r="1696" spans="1:8" ht="14">
      <c r="A1696" s="108">
        <v>2008</v>
      </c>
      <c r="B1696" s="108">
        <v>62</v>
      </c>
      <c r="C1696" s="108" t="s">
        <v>30</v>
      </c>
      <c r="D1696" s="108">
        <v>33.637999999999998</v>
      </c>
      <c r="E1696" s="108">
        <v>25.3369999999999</v>
      </c>
      <c r="F1696" s="108" t="s">
        <v>135</v>
      </c>
      <c r="G1696" s="108"/>
      <c r="H1696" s="108">
        <v>1</v>
      </c>
    </row>
    <row r="1697" spans="1:8" ht="14">
      <c r="A1697" s="108">
        <v>2008</v>
      </c>
      <c r="B1697" s="108">
        <v>62</v>
      </c>
      <c r="C1697" s="108" t="s">
        <v>30</v>
      </c>
      <c r="D1697" s="108">
        <v>896.64200000000005</v>
      </c>
      <c r="E1697" s="108">
        <v>71.239999999999895</v>
      </c>
      <c r="F1697" s="108" t="s">
        <v>136</v>
      </c>
      <c r="G1697" s="108"/>
      <c r="H1697" s="108">
        <v>1</v>
      </c>
    </row>
    <row r="1698" spans="1:8" ht="14">
      <c r="A1698" s="108">
        <v>2008</v>
      </c>
      <c r="B1698" s="108">
        <v>62</v>
      </c>
      <c r="C1698" s="108" t="s">
        <v>138</v>
      </c>
      <c r="D1698" s="108">
        <v>15.1449999999999</v>
      </c>
      <c r="E1698" s="108">
        <v>10.048</v>
      </c>
      <c r="F1698" s="108" t="s">
        <v>135</v>
      </c>
      <c r="G1698" s="108"/>
      <c r="H1698" s="108">
        <v>1</v>
      </c>
    </row>
    <row r="1699" spans="1:8" ht="14">
      <c r="A1699" s="108">
        <v>2008</v>
      </c>
      <c r="B1699" s="108">
        <v>62</v>
      </c>
      <c r="C1699" s="108" t="s">
        <v>138</v>
      </c>
      <c r="D1699" s="108">
        <v>698.09299999999996</v>
      </c>
      <c r="E1699" s="108">
        <v>45.820999999999998</v>
      </c>
      <c r="F1699" s="108" t="s">
        <v>136</v>
      </c>
      <c r="G1699" s="108"/>
      <c r="H1699" s="108">
        <v>1</v>
      </c>
    </row>
    <row r="1700" spans="1:8" ht="14">
      <c r="A1700" s="108">
        <v>2008</v>
      </c>
      <c r="B1700" s="108">
        <v>62</v>
      </c>
      <c r="C1700" s="108" t="s">
        <v>138</v>
      </c>
      <c r="D1700" s="108">
        <v>1.0820000000000001</v>
      </c>
      <c r="E1700" s="108">
        <v>0.20599999999999999</v>
      </c>
      <c r="F1700" s="108" t="s">
        <v>137</v>
      </c>
      <c r="G1700" s="108"/>
      <c r="H1700" s="108">
        <v>1</v>
      </c>
    </row>
    <row r="1701" spans="1:8" ht="14">
      <c r="A1701" s="108">
        <v>2008</v>
      </c>
      <c r="B1701" s="108">
        <v>62</v>
      </c>
      <c r="C1701" s="108" t="s">
        <v>139</v>
      </c>
      <c r="D1701" s="108">
        <v>0.30299999999999999</v>
      </c>
      <c r="E1701" s="108">
        <v>4.5999999999999999E-2</v>
      </c>
      <c r="F1701" s="108" t="s">
        <v>137</v>
      </c>
      <c r="G1701" s="108"/>
      <c r="H1701" s="108">
        <v>1</v>
      </c>
    </row>
    <row r="1702" spans="1:8" ht="14">
      <c r="A1702" s="108">
        <v>2008</v>
      </c>
      <c r="B1702" s="108">
        <v>62</v>
      </c>
      <c r="C1702" s="108" t="s">
        <v>139</v>
      </c>
      <c r="D1702" s="108">
        <v>18.492999999999999</v>
      </c>
      <c r="E1702" s="108">
        <v>15.289</v>
      </c>
      <c r="F1702" s="108" t="s">
        <v>135</v>
      </c>
      <c r="G1702" s="108"/>
      <c r="H1702" s="108">
        <v>1</v>
      </c>
    </row>
    <row r="1703" spans="1:8" ht="14">
      <c r="A1703" s="108">
        <v>2008</v>
      </c>
      <c r="B1703" s="108">
        <v>62</v>
      </c>
      <c r="C1703" s="108" t="s">
        <v>139</v>
      </c>
      <c r="D1703" s="108">
        <v>198.54899999999901</v>
      </c>
      <c r="E1703" s="108">
        <v>25.418999999999901</v>
      </c>
      <c r="F1703" s="108" t="s">
        <v>136</v>
      </c>
      <c r="G1703" s="108"/>
      <c r="H1703" s="108">
        <v>1</v>
      </c>
    </row>
    <row r="1704" spans="1:8" ht="14">
      <c r="A1704" s="108">
        <v>2008</v>
      </c>
      <c r="B1704" s="108">
        <v>63</v>
      </c>
      <c r="C1704" s="108" t="s">
        <v>30</v>
      </c>
      <c r="D1704" s="108">
        <v>10788.319</v>
      </c>
      <c r="E1704" s="108">
        <v>653.152999999999</v>
      </c>
      <c r="F1704" s="108" t="s">
        <v>136</v>
      </c>
      <c r="G1704" s="108"/>
      <c r="H1704" s="108">
        <v>1</v>
      </c>
    </row>
    <row r="1705" spans="1:8" ht="14">
      <c r="A1705" s="108">
        <v>2008</v>
      </c>
      <c r="B1705" s="108">
        <v>63</v>
      </c>
      <c r="C1705" s="108" t="s">
        <v>30</v>
      </c>
      <c r="D1705" s="108">
        <v>12.164</v>
      </c>
      <c r="E1705" s="108">
        <v>3.7320000000000002</v>
      </c>
      <c r="F1705" s="108" t="s">
        <v>135</v>
      </c>
      <c r="G1705" s="108"/>
      <c r="H1705" s="108">
        <v>1</v>
      </c>
    </row>
    <row r="1706" spans="1:8" ht="14">
      <c r="A1706" s="108">
        <v>2008</v>
      </c>
      <c r="B1706" s="108">
        <v>63</v>
      </c>
      <c r="C1706" s="108" t="s">
        <v>138</v>
      </c>
      <c r="D1706" s="108">
        <v>12.11</v>
      </c>
      <c r="E1706" s="108">
        <v>2.141</v>
      </c>
      <c r="F1706" s="108" t="s">
        <v>135</v>
      </c>
      <c r="G1706" s="108"/>
      <c r="H1706" s="108">
        <v>1</v>
      </c>
    </row>
    <row r="1707" spans="1:8" ht="14">
      <c r="A1707" s="108">
        <v>2008</v>
      </c>
      <c r="B1707" s="108">
        <v>63</v>
      </c>
      <c r="C1707" s="108" t="s">
        <v>138</v>
      </c>
      <c r="D1707" s="108">
        <v>7461.5460000000003</v>
      </c>
      <c r="E1707" s="108">
        <v>330.63099999999901</v>
      </c>
      <c r="F1707" s="108" t="s">
        <v>136</v>
      </c>
      <c r="G1707" s="108"/>
      <c r="H1707" s="108">
        <v>1</v>
      </c>
    </row>
    <row r="1708" spans="1:8" ht="14">
      <c r="A1708" s="108">
        <v>2008</v>
      </c>
      <c r="B1708" s="108">
        <v>63</v>
      </c>
      <c r="C1708" s="108" t="s">
        <v>139</v>
      </c>
      <c r="D1708" s="108">
        <v>3326.7729999999901</v>
      </c>
      <c r="E1708" s="108">
        <v>322.52199999999999</v>
      </c>
      <c r="F1708" s="108" t="s">
        <v>136</v>
      </c>
      <c r="G1708" s="108"/>
      <c r="H1708" s="108">
        <v>1</v>
      </c>
    </row>
    <row r="1709" spans="1:8" ht="14">
      <c r="A1709" s="108">
        <v>2008</v>
      </c>
      <c r="B1709" s="108">
        <v>63</v>
      </c>
      <c r="C1709" s="108" t="s">
        <v>139</v>
      </c>
      <c r="D1709" s="108">
        <v>5.3999999999999999E-2</v>
      </c>
      <c r="E1709" s="108">
        <v>1.591</v>
      </c>
      <c r="F1709" s="108" t="s">
        <v>135</v>
      </c>
      <c r="G1709" s="108"/>
      <c r="H1709" s="108">
        <v>1</v>
      </c>
    </row>
    <row r="1710" spans="1:8" ht="14">
      <c r="A1710" s="108">
        <v>2008</v>
      </c>
      <c r="B1710" s="108">
        <v>69</v>
      </c>
      <c r="C1710" s="108" t="s">
        <v>30</v>
      </c>
      <c r="D1710" s="108">
        <v>44.480999999999902</v>
      </c>
      <c r="E1710" s="108">
        <v>6.8470000000000004</v>
      </c>
      <c r="F1710" s="108" t="s">
        <v>136</v>
      </c>
      <c r="G1710" s="108"/>
      <c r="H1710" s="108">
        <v>1</v>
      </c>
    </row>
    <row r="1711" spans="1:8" ht="14">
      <c r="A1711" s="108">
        <v>2008</v>
      </c>
      <c r="B1711" s="108">
        <v>69</v>
      </c>
      <c r="C1711" s="108" t="s">
        <v>30</v>
      </c>
      <c r="D1711" s="108">
        <v>335.62799999999902</v>
      </c>
      <c r="E1711" s="108">
        <v>23.984999999999999</v>
      </c>
      <c r="F1711" s="108" t="s">
        <v>135</v>
      </c>
      <c r="G1711" s="108"/>
      <c r="H1711" s="108">
        <v>1</v>
      </c>
    </row>
    <row r="1712" spans="1:8" ht="14">
      <c r="A1712" s="108">
        <v>2008</v>
      </c>
      <c r="B1712" s="108">
        <v>69</v>
      </c>
      <c r="C1712" s="108" t="s">
        <v>138</v>
      </c>
      <c r="D1712" s="108">
        <v>166.82599999999999</v>
      </c>
      <c r="E1712" s="108">
        <v>12.131</v>
      </c>
      <c r="F1712" s="108" t="s">
        <v>135</v>
      </c>
      <c r="G1712" s="108"/>
      <c r="H1712" s="108">
        <v>1</v>
      </c>
    </row>
    <row r="1713" spans="1:8" ht="14">
      <c r="A1713" s="108">
        <v>2008</v>
      </c>
      <c r="B1713" s="108">
        <v>69</v>
      </c>
      <c r="C1713" s="108" t="s">
        <v>138</v>
      </c>
      <c r="D1713" s="108">
        <v>6.83699999999999</v>
      </c>
      <c r="E1713" s="108">
        <v>1.7349999999999901</v>
      </c>
      <c r="F1713" s="108" t="s">
        <v>136</v>
      </c>
      <c r="G1713" s="108"/>
      <c r="H1713" s="108">
        <v>1</v>
      </c>
    </row>
    <row r="1714" spans="1:8" ht="14">
      <c r="A1714" s="108">
        <v>2008</v>
      </c>
      <c r="B1714" s="108">
        <v>69</v>
      </c>
      <c r="C1714" s="108" t="s">
        <v>139</v>
      </c>
      <c r="D1714" s="108">
        <v>168.80199999999999</v>
      </c>
      <c r="E1714" s="108">
        <v>11.853999999999999</v>
      </c>
      <c r="F1714" s="108" t="s">
        <v>135</v>
      </c>
      <c r="G1714" s="108"/>
      <c r="H1714" s="108">
        <v>1</v>
      </c>
    </row>
    <row r="1715" spans="1:8" ht="14">
      <c r="A1715" s="108">
        <v>2008</v>
      </c>
      <c r="B1715" s="108">
        <v>69</v>
      </c>
      <c r="C1715" s="108" t="s">
        <v>139</v>
      </c>
      <c r="D1715" s="108">
        <v>37.643999999999998</v>
      </c>
      <c r="E1715" s="108">
        <v>5.1120000000000001</v>
      </c>
      <c r="F1715" s="108" t="s">
        <v>136</v>
      </c>
      <c r="G1715" s="108"/>
      <c r="H1715" s="108">
        <v>1</v>
      </c>
    </row>
    <row r="1716" spans="1:8" ht="14">
      <c r="A1716" s="108">
        <v>2008</v>
      </c>
      <c r="B1716" s="108">
        <v>91</v>
      </c>
      <c r="C1716" s="108" t="s">
        <v>30</v>
      </c>
      <c r="D1716" s="108">
        <v>6231.2232222058101</v>
      </c>
      <c r="E1716" s="108">
        <v>0</v>
      </c>
      <c r="F1716" s="108" t="s">
        <v>136</v>
      </c>
      <c r="G1716" s="108"/>
      <c r="H1716" s="108">
        <v>1</v>
      </c>
    </row>
    <row r="1717" spans="1:8" ht="14">
      <c r="A1717" s="108">
        <v>2008</v>
      </c>
      <c r="B1717" s="108">
        <v>91</v>
      </c>
      <c r="C1717" s="108" t="s">
        <v>30</v>
      </c>
      <c r="D1717" s="108">
        <v>145.16200000000001</v>
      </c>
      <c r="E1717" s="108">
        <v>0</v>
      </c>
      <c r="F1717" s="108" t="s">
        <v>137</v>
      </c>
      <c r="G1717" s="108"/>
      <c r="H1717" s="108">
        <v>1</v>
      </c>
    </row>
    <row r="1718" spans="1:8" ht="14">
      <c r="A1718" s="108">
        <v>2008</v>
      </c>
      <c r="B1718" s="108">
        <v>91</v>
      </c>
      <c r="C1718" s="108" t="s">
        <v>30</v>
      </c>
      <c r="D1718" s="108">
        <v>148.87177779419</v>
      </c>
      <c r="E1718" s="108">
        <v>0</v>
      </c>
      <c r="F1718" s="108" t="s">
        <v>135</v>
      </c>
      <c r="G1718" s="108"/>
      <c r="H1718" s="108">
        <v>1</v>
      </c>
    </row>
    <row r="1719" spans="1:8" ht="14">
      <c r="A1719" s="108">
        <v>2008</v>
      </c>
      <c r="B1719" s="108">
        <v>91</v>
      </c>
      <c r="C1719" s="108" t="s">
        <v>138</v>
      </c>
      <c r="D1719" s="108">
        <v>67.576999999999998</v>
      </c>
      <c r="E1719" s="108">
        <v>0</v>
      </c>
      <c r="F1719" s="108" t="s">
        <v>137</v>
      </c>
      <c r="G1719" s="108"/>
      <c r="H1719" s="108">
        <v>1</v>
      </c>
    </row>
    <row r="1720" spans="1:8" ht="14">
      <c r="A1720" s="108">
        <v>2008</v>
      </c>
      <c r="B1720" s="108">
        <v>91</v>
      </c>
      <c r="C1720" s="108" t="s">
        <v>138</v>
      </c>
      <c r="D1720" s="108">
        <v>5908.0441206023997</v>
      </c>
      <c r="E1720" s="108">
        <v>0</v>
      </c>
      <c r="F1720" s="108" t="s">
        <v>136</v>
      </c>
      <c r="G1720" s="108"/>
      <c r="H1720" s="108">
        <v>1</v>
      </c>
    </row>
    <row r="1721" spans="1:8" ht="14">
      <c r="A1721" s="108">
        <v>2008</v>
      </c>
      <c r="B1721" s="108">
        <v>91</v>
      </c>
      <c r="C1721" s="108" t="s">
        <v>138</v>
      </c>
      <c r="D1721" s="108">
        <v>141.70087939759699</v>
      </c>
      <c r="E1721" s="108">
        <v>0</v>
      </c>
      <c r="F1721" s="108" t="s">
        <v>135</v>
      </c>
      <c r="G1721" s="108"/>
      <c r="H1721" s="108">
        <v>1</v>
      </c>
    </row>
    <row r="1722" spans="1:8" ht="14">
      <c r="A1722" s="108">
        <v>2008</v>
      </c>
      <c r="B1722" s="108">
        <v>91</v>
      </c>
      <c r="C1722" s="108" t="s">
        <v>139</v>
      </c>
      <c r="D1722" s="108">
        <v>7.1708983965924897</v>
      </c>
      <c r="E1722" s="108">
        <v>0</v>
      </c>
      <c r="F1722" s="108" t="s">
        <v>135</v>
      </c>
      <c r="G1722" s="108"/>
      <c r="H1722" s="108">
        <v>1</v>
      </c>
    </row>
    <row r="1723" spans="1:8" ht="14">
      <c r="A1723" s="108">
        <v>2008</v>
      </c>
      <c r="B1723" s="108">
        <v>91</v>
      </c>
      <c r="C1723" s="108" t="s">
        <v>139</v>
      </c>
      <c r="D1723" s="108">
        <v>77.584999999999994</v>
      </c>
      <c r="E1723" s="108">
        <v>0</v>
      </c>
      <c r="F1723" s="108" t="s">
        <v>137</v>
      </c>
      <c r="G1723" s="108"/>
      <c r="H1723" s="108">
        <v>1</v>
      </c>
    </row>
    <row r="1724" spans="1:8" ht="14">
      <c r="A1724" s="108">
        <v>2008</v>
      </c>
      <c r="B1724" s="108">
        <v>91</v>
      </c>
      <c r="C1724" s="108" t="s">
        <v>139</v>
      </c>
      <c r="D1724" s="108">
        <v>323.17910160340699</v>
      </c>
      <c r="E1724" s="108">
        <v>0</v>
      </c>
      <c r="F1724" s="108" t="s">
        <v>136</v>
      </c>
      <c r="G1724" s="108"/>
      <c r="H1724" s="108">
        <v>1</v>
      </c>
    </row>
    <row r="1725" spans="1:8" ht="14">
      <c r="A1725" s="108">
        <v>2008</v>
      </c>
      <c r="B1725" s="108">
        <v>92</v>
      </c>
      <c r="C1725" s="108" t="s">
        <v>30</v>
      </c>
      <c r="D1725" s="108">
        <v>241.373689467453</v>
      </c>
      <c r="E1725" s="108">
        <v>0</v>
      </c>
      <c r="F1725" s="108" t="s">
        <v>135</v>
      </c>
      <c r="G1725" s="108"/>
      <c r="H1725" s="108">
        <v>1</v>
      </c>
    </row>
    <row r="1726" spans="1:8" ht="14">
      <c r="A1726" s="108">
        <v>2008</v>
      </c>
      <c r="B1726" s="108">
        <v>92</v>
      </c>
      <c r="C1726" s="108" t="s">
        <v>30</v>
      </c>
      <c r="D1726" s="108">
        <v>10024.9383105325</v>
      </c>
      <c r="E1726" s="108">
        <v>0</v>
      </c>
      <c r="F1726" s="108" t="s">
        <v>136</v>
      </c>
      <c r="G1726" s="108"/>
      <c r="H1726" s="108">
        <v>1</v>
      </c>
    </row>
    <row r="1727" spans="1:8" ht="14">
      <c r="A1727" s="108">
        <v>2008</v>
      </c>
      <c r="B1727" s="108">
        <v>92</v>
      </c>
      <c r="C1727" s="108" t="s">
        <v>30</v>
      </c>
      <c r="D1727" s="108">
        <v>50.573999999999998</v>
      </c>
      <c r="E1727" s="108">
        <v>0</v>
      </c>
      <c r="F1727" s="108" t="s">
        <v>137</v>
      </c>
      <c r="G1727" s="108"/>
      <c r="H1727" s="108">
        <v>1</v>
      </c>
    </row>
    <row r="1728" spans="1:8" ht="14">
      <c r="A1728" s="108">
        <v>2008</v>
      </c>
      <c r="B1728" s="108">
        <v>92</v>
      </c>
      <c r="C1728" s="108" t="s">
        <v>138</v>
      </c>
      <c r="D1728" s="108">
        <v>152.36611459059</v>
      </c>
      <c r="E1728" s="108">
        <v>0</v>
      </c>
      <c r="F1728" s="108" t="s">
        <v>135</v>
      </c>
      <c r="G1728" s="108"/>
      <c r="H1728" s="108">
        <v>1</v>
      </c>
    </row>
    <row r="1729" spans="1:8" ht="14">
      <c r="A1729" s="108">
        <v>2008</v>
      </c>
      <c r="B1729" s="108">
        <v>92</v>
      </c>
      <c r="C1729" s="108" t="s">
        <v>138</v>
      </c>
      <c r="D1729" s="108">
        <v>41</v>
      </c>
      <c r="E1729" s="108">
        <v>0</v>
      </c>
      <c r="F1729" s="108" t="s">
        <v>137</v>
      </c>
      <c r="G1729" s="108"/>
      <c r="H1729" s="108">
        <v>1</v>
      </c>
    </row>
    <row r="1730" spans="1:8" ht="14">
      <c r="A1730" s="108">
        <v>2008</v>
      </c>
      <c r="B1730" s="108">
        <v>92</v>
      </c>
      <c r="C1730" s="108" t="s">
        <v>138</v>
      </c>
      <c r="D1730" s="108">
        <v>5651.4038854093997</v>
      </c>
      <c r="E1730" s="108">
        <v>0</v>
      </c>
      <c r="F1730" s="108" t="s">
        <v>136</v>
      </c>
      <c r="G1730" s="108"/>
      <c r="H1730" s="108">
        <v>1</v>
      </c>
    </row>
    <row r="1731" spans="1:8" ht="14">
      <c r="A1731" s="108">
        <v>2008</v>
      </c>
      <c r="B1731" s="108">
        <v>92</v>
      </c>
      <c r="C1731" s="108" t="s">
        <v>139</v>
      </c>
      <c r="D1731" s="108">
        <v>4373.5344251231299</v>
      </c>
      <c r="E1731" s="108">
        <v>0</v>
      </c>
      <c r="F1731" s="108" t="s">
        <v>136</v>
      </c>
      <c r="G1731" s="108"/>
      <c r="H1731" s="108">
        <v>1</v>
      </c>
    </row>
    <row r="1732" spans="1:8" ht="14">
      <c r="A1732" s="108">
        <v>2008</v>
      </c>
      <c r="B1732" s="108">
        <v>92</v>
      </c>
      <c r="C1732" s="108" t="s">
        <v>139</v>
      </c>
      <c r="D1732" s="108">
        <v>89.007574876862705</v>
      </c>
      <c r="E1732" s="108">
        <v>0</v>
      </c>
      <c r="F1732" s="108" t="s">
        <v>135</v>
      </c>
      <c r="G1732" s="108"/>
      <c r="H1732" s="108">
        <v>1</v>
      </c>
    </row>
    <row r="1733" spans="1:8" ht="14">
      <c r="A1733" s="108">
        <v>2008</v>
      </c>
      <c r="B1733" s="108">
        <v>92</v>
      </c>
      <c r="C1733" s="108" t="s">
        <v>139</v>
      </c>
      <c r="D1733" s="108">
        <v>9.5739999999999998</v>
      </c>
      <c r="E1733" s="108">
        <v>0</v>
      </c>
      <c r="F1733" s="108" t="s">
        <v>137</v>
      </c>
      <c r="G1733" s="108"/>
      <c r="H1733" s="108">
        <v>1</v>
      </c>
    </row>
    <row r="1734" spans="1:8" ht="14">
      <c r="A1734" s="108">
        <v>2008</v>
      </c>
      <c r="B1734" s="108">
        <v>99</v>
      </c>
      <c r="C1734" s="108" t="s">
        <v>30</v>
      </c>
      <c r="D1734" s="108">
        <v>2035.70009807313</v>
      </c>
      <c r="E1734" s="108">
        <v>0</v>
      </c>
      <c r="F1734" s="108" t="s">
        <v>135</v>
      </c>
      <c r="G1734" s="108"/>
      <c r="H1734" s="108">
        <v>1</v>
      </c>
    </row>
    <row r="1735" spans="1:8" ht="14">
      <c r="A1735" s="108">
        <v>2008</v>
      </c>
      <c r="B1735" s="108">
        <v>99</v>
      </c>
      <c r="C1735" s="108" t="s">
        <v>30</v>
      </c>
      <c r="D1735" s="108">
        <v>4198.1612575860399</v>
      </c>
      <c r="E1735" s="108">
        <v>0</v>
      </c>
      <c r="F1735" s="108" t="s">
        <v>136</v>
      </c>
      <c r="G1735" s="108"/>
      <c r="H1735" s="108">
        <v>1</v>
      </c>
    </row>
    <row r="1736" spans="1:8" ht="14">
      <c r="A1736" s="108">
        <v>2008</v>
      </c>
      <c r="B1736" s="108">
        <v>99</v>
      </c>
      <c r="C1736" s="108" t="s">
        <v>30</v>
      </c>
      <c r="D1736" s="108">
        <v>9.0436443408223806</v>
      </c>
      <c r="E1736" s="108">
        <v>0</v>
      </c>
      <c r="F1736" s="108" t="s">
        <v>137</v>
      </c>
      <c r="G1736" s="108"/>
      <c r="H1736" s="108">
        <v>1</v>
      </c>
    </row>
    <row r="1737" spans="1:8" ht="14">
      <c r="A1737" s="108">
        <v>2008</v>
      </c>
      <c r="B1737" s="108">
        <v>99</v>
      </c>
      <c r="C1737" s="108" t="s">
        <v>138</v>
      </c>
      <c r="D1737" s="108">
        <v>2518.0008321813398</v>
      </c>
      <c r="E1737" s="108">
        <v>0</v>
      </c>
      <c r="F1737" s="108" t="s">
        <v>136</v>
      </c>
      <c r="G1737" s="108"/>
      <c r="H1737" s="108">
        <v>1</v>
      </c>
    </row>
    <row r="1738" spans="1:8" ht="14">
      <c r="A1738" s="108">
        <v>2008</v>
      </c>
      <c r="B1738" s="108">
        <v>99</v>
      </c>
      <c r="C1738" s="108" t="s">
        <v>138</v>
      </c>
      <c r="D1738" s="108">
        <v>732.23716781865903</v>
      </c>
      <c r="E1738" s="108">
        <v>0</v>
      </c>
      <c r="F1738" s="108" t="s">
        <v>135</v>
      </c>
      <c r="G1738" s="108"/>
      <c r="H1738" s="108">
        <v>1</v>
      </c>
    </row>
    <row r="1739" spans="1:8" ht="14">
      <c r="A1739" s="108">
        <v>2008</v>
      </c>
      <c r="B1739" s="108">
        <v>99</v>
      </c>
      <c r="C1739" s="108" t="s">
        <v>138</v>
      </c>
      <c r="D1739" s="108">
        <v>9.0030000000000001</v>
      </c>
      <c r="E1739" s="108">
        <v>0</v>
      </c>
      <c r="F1739" s="108" t="s">
        <v>137</v>
      </c>
      <c r="G1739" s="108"/>
      <c r="H1739" s="108">
        <v>1</v>
      </c>
    </row>
    <row r="1740" spans="1:8" ht="14">
      <c r="A1740" s="108">
        <v>2008</v>
      </c>
      <c r="B1740" s="108">
        <v>99</v>
      </c>
      <c r="C1740" s="108" t="s">
        <v>139</v>
      </c>
      <c r="D1740" s="108">
        <v>4.0644340822382302E-2</v>
      </c>
      <c r="E1740" s="108">
        <v>0</v>
      </c>
      <c r="F1740" s="108" t="s">
        <v>137</v>
      </c>
      <c r="G1740" s="108"/>
      <c r="H1740" s="108">
        <v>1</v>
      </c>
    </row>
    <row r="1741" spans="1:8" ht="14">
      <c r="A1741" s="108">
        <v>2008</v>
      </c>
      <c r="B1741" s="108">
        <v>99</v>
      </c>
      <c r="C1741" s="108" t="s">
        <v>139</v>
      </c>
      <c r="D1741" s="108">
        <v>1680.1604254046999</v>
      </c>
      <c r="E1741" s="108">
        <v>0</v>
      </c>
      <c r="F1741" s="108" t="s">
        <v>136</v>
      </c>
      <c r="G1741" s="108"/>
      <c r="H1741" s="108">
        <v>1</v>
      </c>
    </row>
    <row r="1742" spans="1:8" ht="14">
      <c r="A1742" s="108">
        <v>2008</v>
      </c>
      <c r="B1742" s="108">
        <v>99</v>
      </c>
      <c r="C1742" s="108" t="s">
        <v>139</v>
      </c>
      <c r="D1742" s="108">
        <v>1303.4629302544699</v>
      </c>
      <c r="E1742" s="108">
        <v>0</v>
      </c>
      <c r="F1742" s="108" t="s">
        <v>135</v>
      </c>
      <c r="G1742" s="108"/>
      <c r="H1742" s="108">
        <v>1</v>
      </c>
    </row>
    <row r="1743" spans="1:8" ht="14">
      <c r="A1743" s="108">
        <v>2009</v>
      </c>
      <c r="B1743" s="108">
        <v>11</v>
      </c>
      <c r="C1743" s="108" t="s">
        <v>30</v>
      </c>
      <c r="D1743" s="108">
        <v>11084.7318177541</v>
      </c>
      <c r="E1743" s="108">
        <v>0</v>
      </c>
      <c r="F1743" s="108" t="s">
        <v>136</v>
      </c>
      <c r="G1743" s="108"/>
      <c r="H1743" s="108">
        <v>1</v>
      </c>
    </row>
    <row r="1744" spans="1:8" ht="14">
      <c r="A1744" s="108">
        <v>2009</v>
      </c>
      <c r="B1744" s="108">
        <v>11</v>
      </c>
      <c r="C1744" s="108" t="s">
        <v>30</v>
      </c>
      <c r="D1744" s="108">
        <v>1966.3451822458701</v>
      </c>
      <c r="E1744" s="108">
        <v>0</v>
      </c>
      <c r="F1744" s="108" t="s">
        <v>135</v>
      </c>
      <c r="G1744" s="108"/>
      <c r="H1744" s="108">
        <v>1</v>
      </c>
    </row>
    <row r="1745" spans="1:8" ht="14">
      <c r="A1745" s="108">
        <v>2009</v>
      </c>
      <c r="B1745" s="108">
        <v>11</v>
      </c>
      <c r="C1745" s="108" t="s">
        <v>138</v>
      </c>
      <c r="D1745" s="108">
        <v>8290.7531200356807</v>
      </c>
      <c r="E1745" s="108">
        <v>0</v>
      </c>
      <c r="F1745" s="108" t="s">
        <v>136</v>
      </c>
      <c r="G1745" s="108"/>
      <c r="H1745" s="108">
        <v>1</v>
      </c>
    </row>
    <row r="1746" spans="1:8" ht="14">
      <c r="A1746" s="108">
        <v>2009</v>
      </c>
      <c r="B1746" s="108">
        <v>11</v>
      </c>
      <c r="C1746" s="108" t="s">
        <v>138</v>
      </c>
      <c r="D1746" s="108">
        <v>1043.5888799643101</v>
      </c>
      <c r="E1746" s="108">
        <v>0</v>
      </c>
      <c r="F1746" s="108" t="s">
        <v>135</v>
      </c>
      <c r="G1746" s="108"/>
      <c r="H1746" s="108">
        <v>1</v>
      </c>
    </row>
    <row r="1747" spans="1:8" ht="14">
      <c r="A1747" s="108">
        <v>2009</v>
      </c>
      <c r="B1747" s="108">
        <v>11</v>
      </c>
      <c r="C1747" s="108" t="s">
        <v>139</v>
      </c>
      <c r="D1747" s="108">
        <v>2793.9786977184399</v>
      </c>
      <c r="E1747" s="108">
        <v>0</v>
      </c>
      <c r="F1747" s="108" t="s">
        <v>136</v>
      </c>
      <c r="G1747" s="108"/>
      <c r="H1747" s="108">
        <v>1</v>
      </c>
    </row>
    <row r="1748" spans="1:8" ht="14">
      <c r="A1748" s="108">
        <v>2009</v>
      </c>
      <c r="B1748" s="108">
        <v>11</v>
      </c>
      <c r="C1748" s="108" t="s">
        <v>139</v>
      </c>
      <c r="D1748" s="108">
        <v>922.75630228156001</v>
      </c>
      <c r="E1748" s="108">
        <v>0</v>
      </c>
      <c r="F1748" s="108" t="s">
        <v>135</v>
      </c>
      <c r="G1748" s="108"/>
      <c r="H1748" s="108">
        <v>1</v>
      </c>
    </row>
    <row r="1749" spans="1:8" ht="14">
      <c r="A1749" s="108">
        <v>2009</v>
      </c>
      <c r="B1749" s="108">
        <v>12</v>
      </c>
      <c r="C1749" s="108" t="s">
        <v>30</v>
      </c>
      <c r="D1749" s="108">
        <v>66539.505269653397</v>
      </c>
      <c r="E1749" s="108">
        <v>0</v>
      </c>
      <c r="F1749" s="108" t="s">
        <v>136</v>
      </c>
      <c r="G1749" s="108"/>
      <c r="H1749" s="108">
        <v>1</v>
      </c>
    </row>
    <row r="1750" spans="1:8" ht="14">
      <c r="A1750" s="108">
        <v>2009</v>
      </c>
      <c r="B1750" s="108">
        <v>12</v>
      </c>
      <c r="C1750" s="108" t="s">
        <v>30</v>
      </c>
      <c r="D1750" s="108">
        <v>56384.739730346497</v>
      </c>
      <c r="E1750" s="108">
        <v>0</v>
      </c>
      <c r="F1750" s="108" t="s">
        <v>135</v>
      </c>
      <c r="G1750" s="108"/>
      <c r="H1750" s="108">
        <v>1</v>
      </c>
    </row>
    <row r="1751" spans="1:8" ht="14">
      <c r="A1751" s="108">
        <v>2009</v>
      </c>
      <c r="B1751" s="108">
        <v>12</v>
      </c>
      <c r="C1751" s="108" t="s">
        <v>138</v>
      </c>
      <c r="D1751" s="108">
        <v>34428.977921435799</v>
      </c>
      <c r="E1751" s="108">
        <v>0</v>
      </c>
      <c r="F1751" s="108" t="s">
        <v>136</v>
      </c>
      <c r="G1751" s="108"/>
      <c r="H1751" s="108">
        <v>1</v>
      </c>
    </row>
    <row r="1752" spans="1:8" ht="14">
      <c r="A1752" s="108">
        <v>2009</v>
      </c>
      <c r="B1752" s="108">
        <v>12</v>
      </c>
      <c r="C1752" s="108" t="s">
        <v>138</v>
      </c>
      <c r="D1752" s="108">
        <v>30782.1650785641</v>
      </c>
      <c r="E1752" s="108">
        <v>0</v>
      </c>
      <c r="F1752" s="108" t="s">
        <v>135</v>
      </c>
      <c r="G1752" s="108"/>
      <c r="H1752" s="108">
        <v>1</v>
      </c>
    </row>
    <row r="1753" spans="1:8" ht="14">
      <c r="A1753" s="108">
        <v>2009</v>
      </c>
      <c r="B1753" s="108">
        <v>12</v>
      </c>
      <c r="C1753" s="108" t="s">
        <v>139</v>
      </c>
      <c r="D1753" s="108">
        <v>32110.527348217602</v>
      </c>
      <c r="E1753" s="108">
        <v>0</v>
      </c>
      <c r="F1753" s="108" t="s">
        <v>136</v>
      </c>
      <c r="G1753" s="108"/>
      <c r="H1753" s="108">
        <v>1</v>
      </c>
    </row>
    <row r="1754" spans="1:8" ht="14">
      <c r="A1754" s="108">
        <v>2009</v>
      </c>
      <c r="B1754" s="108">
        <v>12</v>
      </c>
      <c r="C1754" s="108" t="s">
        <v>139</v>
      </c>
      <c r="D1754" s="108">
        <v>25602.574651782299</v>
      </c>
      <c r="E1754" s="108">
        <v>0</v>
      </c>
      <c r="F1754" s="108" t="s">
        <v>135</v>
      </c>
      <c r="G1754" s="108"/>
      <c r="H1754" s="108">
        <v>1</v>
      </c>
    </row>
    <row r="1755" spans="1:8" ht="14">
      <c r="A1755" s="108">
        <v>2009</v>
      </c>
      <c r="B1755" s="108">
        <v>13</v>
      </c>
      <c r="C1755" s="108" t="s">
        <v>30</v>
      </c>
      <c r="D1755" s="108">
        <v>58239.300431853299</v>
      </c>
      <c r="E1755" s="108">
        <v>0</v>
      </c>
      <c r="F1755" s="108" t="s">
        <v>136</v>
      </c>
      <c r="G1755" s="108"/>
      <c r="H1755" s="108">
        <v>1</v>
      </c>
    </row>
    <row r="1756" spans="1:8" ht="14">
      <c r="A1756" s="108">
        <v>2009</v>
      </c>
      <c r="B1756" s="108">
        <v>13</v>
      </c>
      <c r="C1756" s="108" t="s">
        <v>30</v>
      </c>
      <c r="D1756" s="108">
        <v>0</v>
      </c>
      <c r="E1756" s="108">
        <v>0</v>
      </c>
      <c r="F1756" s="108" t="s">
        <v>137</v>
      </c>
      <c r="G1756" s="108"/>
      <c r="H1756" s="108">
        <v>1</v>
      </c>
    </row>
    <row r="1757" spans="1:8" ht="14">
      <c r="A1757" s="108">
        <v>2009</v>
      </c>
      <c r="B1757" s="108">
        <v>13</v>
      </c>
      <c r="C1757" s="108" t="s">
        <v>30</v>
      </c>
      <c r="D1757" s="108">
        <v>20854.2565681466</v>
      </c>
      <c r="E1757" s="108">
        <v>0</v>
      </c>
      <c r="F1757" s="108" t="s">
        <v>135</v>
      </c>
      <c r="G1757" s="108"/>
      <c r="H1757" s="108">
        <v>1</v>
      </c>
    </row>
    <row r="1758" spans="1:8" ht="14">
      <c r="A1758" s="108">
        <v>2009</v>
      </c>
      <c r="B1758" s="108">
        <v>13</v>
      </c>
      <c r="C1758" s="108" t="s">
        <v>138</v>
      </c>
      <c r="D1758" s="108">
        <v>30000.481548134601</v>
      </c>
      <c r="E1758" s="108">
        <v>0</v>
      </c>
      <c r="F1758" s="108" t="s">
        <v>136</v>
      </c>
      <c r="G1758" s="108"/>
      <c r="H1758" s="108">
        <v>1</v>
      </c>
    </row>
    <row r="1759" spans="1:8" ht="14">
      <c r="A1759" s="108">
        <v>2009</v>
      </c>
      <c r="B1759" s="108">
        <v>13</v>
      </c>
      <c r="C1759" s="108" t="s">
        <v>138</v>
      </c>
      <c r="D1759" s="108">
        <v>10867.441451865299</v>
      </c>
      <c r="E1759" s="108">
        <v>0</v>
      </c>
      <c r="F1759" s="108" t="s">
        <v>135</v>
      </c>
      <c r="G1759" s="108"/>
      <c r="H1759" s="108">
        <v>1</v>
      </c>
    </row>
    <row r="1760" spans="1:8" ht="14">
      <c r="A1760" s="108">
        <v>2009</v>
      </c>
      <c r="B1760" s="108">
        <v>13</v>
      </c>
      <c r="C1760" s="108" t="s">
        <v>139</v>
      </c>
      <c r="D1760" s="108">
        <v>9986.8151162812901</v>
      </c>
      <c r="E1760" s="108">
        <v>0</v>
      </c>
      <c r="F1760" s="108" t="s">
        <v>135</v>
      </c>
      <c r="G1760" s="108"/>
      <c r="H1760" s="108">
        <v>1</v>
      </c>
    </row>
    <row r="1761" spans="1:8" ht="14">
      <c r="A1761" s="108">
        <v>2009</v>
      </c>
      <c r="B1761" s="108">
        <v>13</v>
      </c>
      <c r="C1761" s="108" t="s">
        <v>139</v>
      </c>
      <c r="D1761" s="108">
        <v>28238.818883718701</v>
      </c>
      <c r="E1761" s="108">
        <v>0</v>
      </c>
      <c r="F1761" s="108" t="s">
        <v>136</v>
      </c>
      <c r="G1761" s="108"/>
      <c r="H1761" s="108">
        <v>1</v>
      </c>
    </row>
    <row r="1762" spans="1:8" ht="14">
      <c r="A1762" s="108">
        <v>2009</v>
      </c>
      <c r="B1762" s="108">
        <v>13</v>
      </c>
      <c r="C1762" s="108" t="s">
        <v>139</v>
      </c>
      <c r="D1762" s="108">
        <v>0</v>
      </c>
      <c r="E1762" s="108">
        <v>0</v>
      </c>
      <c r="F1762" s="108" t="s">
        <v>137</v>
      </c>
      <c r="G1762" s="108"/>
      <c r="H1762" s="108">
        <v>1</v>
      </c>
    </row>
    <row r="1763" spans="1:8" ht="14">
      <c r="A1763" s="108">
        <v>2009</v>
      </c>
      <c r="B1763" s="108">
        <v>19</v>
      </c>
      <c r="C1763" s="108" t="s">
        <v>30</v>
      </c>
      <c r="D1763" s="108">
        <v>2509.8919054582898</v>
      </c>
      <c r="E1763" s="108">
        <v>0</v>
      </c>
      <c r="F1763" s="108" t="s">
        <v>135</v>
      </c>
      <c r="G1763" s="108"/>
      <c r="H1763" s="108">
        <v>1</v>
      </c>
    </row>
    <row r="1764" spans="1:8" ht="14">
      <c r="A1764" s="108">
        <v>2009</v>
      </c>
      <c r="B1764" s="108">
        <v>19</v>
      </c>
      <c r="C1764" s="108" t="s">
        <v>30</v>
      </c>
      <c r="D1764" s="108">
        <v>9964.94409454171</v>
      </c>
      <c r="E1764" s="108">
        <v>0</v>
      </c>
      <c r="F1764" s="108" t="s">
        <v>136</v>
      </c>
      <c r="G1764" s="108"/>
      <c r="H1764" s="108">
        <v>1</v>
      </c>
    </row>
    <row r="1765" spans="1:8" ht="14">
      <c r="A1765" s="108">
        <v>2009</v>
      </c>
      <c r="B1765" s="108">
        <v>19</v>
      </c>
      <c r="C1765" s="108" t="s">
        <v>138</v>
      </c>
      <c r="D1765" s="108">
        <v>5423.2814987115498</v>
      </c>
      <c r="E1765" s="108">
        <v>0</v>
      </c>
      <c r="F1765" s="108" t="s">
        <v>136</v>
      </c>
      <c r="G1765" s="108"/>
      <c r="H1765" s="108">
        <v>1</v>
      </c>
    </row>
    <row r="1766" spans="1:8" ht="14">
      <c r="A1766" s="108">
        <v>2009</v>
      </c>
      <c r="B1766" s="108">
        <v>19</v>
      </c>
      <c r="C1766" s="108" t="s">
        <v>138</v>
      </c>
      <c r="D1766" s="108">
        <v>825.89050128844201</v>
      </c>
      <c r="E1766" s="108">
        <v>0</v>
      </c>
      <c r="F1766" s="108" t="s">
        <v>135</v>
      </c>
      <c r="G1766" s="108"/>
      <c r="H1766" s="108">
        <v>1</v>
      </c>
    </row>
    <row r="1767" spans="1:8" ht="14">
      <c r="A1767" s="108">
        <v>2009</v>
      </c>
      <c r="B1767" s="108">
        <v>19</v>
      </c>
      <c r="C1767" s="108" t="s">
        <v>139</v>
      </c>
      <c r="D1767" s="108">
        <v>4541.6625958301502</v>
      </c>
      <c r="E1767" s="108">
        <v>0</v>
      </c>
      <c r="F1767" s="108" t="s">
        <v>136</v>
      </c>
      <c r="G1767" s="108"/>
      <c r="H1767" s="108">
        <v>1</v>
      </c>
    </row>
    <row r="1768" spans="1:8" ht="14">
      <c r="A1768" s="108">
        <v>2009</v>
      </c>
      <c r="B1768" s="108">
        <v>19</v>
      </c>
      <c r="C1768" s="108" t="s">
        <v>139</v>
      </c>
      <c r="D1768" s="108">
        <v>1684.00140416984</v>
      </c>
      <c r="E1768" s="108">
        <v>0</v>
      </c>
      <c r="F1768" s="108" t="s">
        <v>135</v>
      </c>
      <c r="G1768" s="108"/>
      <c r="H1768" s="108">
        <v>1</v>
      </c>
    </row>
    <row r="1769" spans="1:8" ht="14">
      <c r="A1769" s="108">
        <v>2009</v>
      </c>
      <c r="B1769" s="108">
        <v>21</v>
      </c>
      <c r="C1769" s="108" t="s">
        <v>30</v>
      </c>
      <c r="D1769" s="108">
        <v>185.14488367342801</v>
      </c>
      <c r="E1769" s="108">
        <v>0</v>
      </c>
      <c r="F1769" s="108" t="s">
        <v>135</v>
      </c>
      <c r="G1769" s="108"/>
      <c r="H1769" s="108">
        <v>1</v>
      </c>
    </row>
    <row r="1770" spans="1:8" ht="14">
      <c r="A1770" s="108">
        <v>2009</v>
      </c>
      <c r="B1770" s="108">
        <v>21</v>
      </c>
      <c r="C1770" s="108" t="s">
        <v>30</v>
      </c>
      <c r="D1770" s="108">
        <v>14637.3351163265</v>
      </c>
      <c r="E1770" s="108">
        <v>0</v>
      </c>
      <c r="F1770" s="108" t="s">
        <v>136</v>
      </c>
      <c r="G1770" s="108"/>
      <c r="H1770" s="108">
        <v>1</v>
      </c>
    </row>
    <row r="1771" spans="1:8" ht="14">
      <c r="A1771" s="108">
        <v>2009</v>
      </c>
      <c r="B1771" s="108">
        <v>21</v>
      </c>
      <c r="C1771" s="108" t="s">
        <v>138</v>
      </c>
      <c r="D1771" s="108">
        <v>148.38380095023101</v>
      </c>
      <c r="E1771" s="108">
        <v>0</v>
      </c>
      <c r="F1771" s="108" t="s">
        <v>135</v>
      </c>
      <c r="G1771" s="108"/>
      <c r="H1771" s="108">
        <v>1</v>
      </c>
    </row>
    <row r="1772" spans="1:8" ht="14">
      <c r="A1772" s="108">
        <v>2009</v>
      </c>
      <c r="B1772" s="108">
        <v>21</v>
      </c>
      <c r="C1772" s="108" t="s">
        <v>138</v>
      </c>
      <c r="D1772" s="108">
        <v>11078.9561990497</v>
      </c>
      <c r="E1772" s="108">
        <v>0</v>
      </c>
      <c r="F1772" s="108" t="s">
        <v>136</v>
      </c>
      <c r="G1772" s="108"/>
      <c r="H1772" s="108">
        <v>1</v>
      </c>
    </row>
    <row r="1773" spans="1:8" ht="14">
      <c r="A1773" s="108">
        <v>2009</v>
      </c>
      <c r="B1773" s="108">
        <v>21</v>
      </c>
      <c r="C1773" s="108" t="s">
        <v>139</v>
      </c>
      <c r="D1773" s="108">
        <v>3558.3789172768002</v>
      </c>
      <c r="E1773" s="108">
        <v>0</v>
      </c>
      <c r="F1773" s="108" t="s">
        <v>136</v>
      </c>
      <c r="G1773" s="108"/>
      <c r="H1773" s="108">
        <v>1</v>
      </c>
    </row>
    <row r="1774" spans="1:8" ht="14">
      <c r="A1774" s="108">
        <v>2009</v>
      </c>
      <c r="B1774" s="108">
        <v>21</v>
      </c>
      <c r="C1774" s="108" t="s">
        <v>139</v>
      </c>
      <c r="D1774" s="108">
        <v>36.761082723196601</v>
      </c>
      <c r="E1774" s="108">
        <v>0</v>
      </c>
      <c r="F1774" s="108" t="s">
        <v>135</v>
      </c>
      <c r="G1774" s="108"/>
      <c r="H1774" s="108">
        <v>1</v>
      </c>
    </row>
    <row r="1775" spans="1:8" ht="14">
      <c r="A1775" s="108">
        <v>2009</v>
      </c>
      <c r="B1775" s="108">
        <v>22</v>
      </c>
      <c r="C1775" s="108" t="s">
        <v>30</v>
      </c>
      <c r="D1775" s="108">
        <v>2057.2998386040499</v>
      </c>
      <c r="E1775" s="108">
        <v>0</v>
      </c>
      <c r="F1775" s="108" t="s">
        <v>135</v>
      </c>
      <c r="G1775" s="108"/>
      <c r="H1775" s="108">
        <v>1</v>
      </c>
    </row>
    <row r="1776" spans="1:8" ht="14">
      <c r="A1776" s="108">
        <v>2009</v>
      </c>
      <c r="B1776" s="108">
        <v>22</v>
      </c>
      <c r="C1776" s="108" t="s">
        <v>30</v>
      </c>
      <c r="D1776" s="108">
        <v>37555.194161395899</v>
      </c>
      <c r="E1776" s="108">
        <v>0</v>
      </c>
      <c r="F1776" s="108" t="s">
        <v>136</v>
      </c>
      <c r="G1776" s="108"/>
      <c r="H1776" s="108">
        <v>1</v>
      </c>
    </row>
    <row r="1777" spans="1:8" ht="14">
      <c r="A1777" s="108">
        <v>2009</v>
      </c>
      <c r="B1777" s="108">
        <v>22</v>
      </c>
      <c r="C1777" s="108" t="s">
        <v>138</v>
      </c>
      <c r="D1777" s="108">
        <v>1001.12236580237</v>
      </c>
      <c r="E1777" s="108">
        <v>0</v>
      </c>
      <c r="F1777" s="108" t="s">
        <v>135</v>
      </c>
      <c r="G1777" s="108"/>
      <c r="H1777" s="108">
        <v>1</v>
      </c>
    </row>
    <row r="1778" spans="1:8" ht="14">
      <c r="A1778" s="108">
        <v>2009</v>
      </c>
      <c r="B1778" s="108">
        <v>22</v>
      </c>
      <c r="C1778" s="108" t="s">
        <v>138</v>
      </c>
      <c r="D1778" s="108">
        <v>36604.5866341976</v>
      </c>
      <c r="E1778" s="108">
        <v>0</v>
      </c>
      <c r="F1778" s="108" t="s">
        <v>136</v>
      </c>
      <c r="G1778" s="108"/>
      <c r="H1778" s="108">
        <v>1</v>
      </c>
    </row>
    <row r="1779" spans="1:8" ht="14">
      <c r="A1779" s="108">
        <v>2009</v>
      </c>
      <c r="B1779" s="108">
        <v>22</v>
      </c>
      <c r="C1779" s="108" t="s">
        <v>139</v>
      </c>
      <c r="D1779" s="108">
        <v>950.60752719832101</v>
      </c>
      <c r="E1779" s="108">
        <v>0</v>
      </c>
      <c r="F1779" s="108" t="s">
        <v>136</v>
      </c>
      <c r="G1779" s="108"/>
      <c r="H1779" s="108">
        <v>1</v>
      </c>
    </row>
    <row r="1780" spans="1:8" ht="14">
      <c r="A1780" s="108">
        <v>2009</v>
      </c>
      <c r="B1780" s="108">
        <v>22</v>
      </c>
      <c r="C1780" s="108" t="s">
        <v>139</v>
      </c>
      <c r="D1780" s="108">
        <v>1056.1774728016701</v>
      </c>
      <c r="E1780" s="108">
        <v>0</v>
      </c>
      <c r="F1780" s="108" t="s">
        <v>135</v>
      </c>
      <c r="G1780" s="108"/>
      <c r="H1780" s="108">
        <v>1</v>
      </c>
    </row>
    <row r="1781" spans="1:8" ht="14">
      <c r="A1781" s="108">
        <v>2009</v>
      </c>
      <c r="B1781" s="108">
        <v>23</v>
      </c>
      <c r="C1781" s="108" t="s">
        <v>30</v>
      </c>
      <c r="D1781" s="108">
        <v>12416.9430227212</v>
      </c>
      <c r="E1781" s="108">
        <v>0</v>
      </c>
      <c r="F1781" s="108" t="s">
        <v>136</v>
      </c>
      <c r="G1781" s="108"/>
      <c r="H1781" s="108">
        <v>1</v>
      </c>
    </row>
    <row r="1782" spans="1:8" ht="14">
      <c r="A1782" s="108">
        <v>2009</v>
      </c>
      <c r="B1782" s="108">
        <v>23</v>
      </c>
      <c r="C1782" s="108" t="s">
        <v>30</v>
      </c>
      <c r="D1782" s="108">
        <v>1549.21297727877</v>
      </c>
      <c r="E1782" s="108">
        <v>0</v>
      </c>
      <c r="F1782" s="108" t="s">
        <v>135</v>
      </c>
      <c r="G1782" s="108"/>
      <c r="H1782" s="108">
        <v>1</v>
      </c>
    </row>
    <row r="1783" spans="1:8" ht="14">
      <c r="A1783" s="108">
        <v>2009</v>
      </c>
      <c r="B1783" s="108">
        <v>23</v>
      </c>
      <c r="C1783" s="108" t="s">
        <v>138</v>
      </c>
      <c r="D1783" s="108">
        <v>8876.2177457344696</v>
      </c>
      <c r="E1783" s="108">
        <v>0</v>
      </c>
      <c r="F1783" s="108" t="s">
        <v>136</v>
      </c>
      <c r="G1783" s="108"/>
      <c r="H1783" s="108">
        <v>1</v>
      </c>
    </row>
    <row r="1784" spans="1:8" ht="14">
      <c r="A1784" s="108">
        <v>2009</v>
      </c>
      <c r="B1784" s="108">
        <v>23</v>
      </c>
      <c r="C1784" s="108" t="s">
        <v>138</v>
      </c>
      <c r="D1784" s="108">
        <v>881.30325426551804</v>
      </c>
      <c r="E1784" s="108">
        <v>0</v>
      </c>
      <c r="F1784" s="108" t="s">
        <v>135</v>
      </c>
      <c r="G1784" s="108"/>
      <c r="H1784" s="108">
        <v>1</v>
      </c>
    </row>
    <row r="1785" spans="1:8" ht="14">
      <c r="A1785" s="108">
        <v>2009</v>
      </c>
      <c r="B1785" s="108">
        <v>23</v>
      </c>
      <c r="C1785" s="108" t="s">
        <v>139</v>
      </c>
      <c r="D1785" s="108">
        <v>3540.72527698674</v>
      </c>
      <c r="E1785" s="108">
        <v>0</v>
      </c>
      <c r="F1785" s="108" t="s">
        <v>136</v>
      </c>
      <c r="G1785" s="108"/>
      <c r="H1785" s="108">
        <v>1</v>
      </c>
    </row>
    <row r="1786" spans="1:8" ht="14">
      <c r="A1786" s="108">
        <v>2009</v>
      </c>
      <c r="B1786" s="108">
        <v>23</v>
      </c>
      <c r="C1786" s="108" t="s">
        <v>139</v>
      </c>
      <c r="D1786" s="108">
        <v>667.90972301325496</v>
      </c>
      <c r="E1786" s="108">
        <v>0</v>
      </c>
      <c r="F1786" s="108" t="s">
        <v>135</v>
      </c>
      <c r="G1786" s="108"/>
      <c r="H1786" s="108">
        <v>1</v>
      </c>
    </row>
    <row r="1787" spans="1:8" ht="14">
      <c r="A1787" s="108">
        <v>2009</v>
      </c>
      <c r="B1787" s="108">
        <v>29</v>
      </c>
      <c r="C1787" s="108" t="s">
        <v>30</v>
      </c>
      <c r="D1787" s="108">
        <v>14037.1658779393</v>
      </c>
      <c r="E1787" s="108">
        <v>0</v>
      </c>
      <c r="F1787" s="108" t="s">
        <v>136</v>
      </c>
      <c r="G1787" s="108"/>
      <c r="H1787" s="108">
        <v>1</v>
      </c>
    </row>
    <row r="1788" spans="1:8" ht="14">
      <c r="A1788" s="108">
        <v>2009</v>
      </c>
      <c r="B1788" s="108">
        <v>29</v>
      </c>
      <c r="C1788" s="108" t="s">
        <v>30</v>
      </c>
      <c r="D1788" s="108">
        <v>16606.208122060601</v>
      </c>
      <c r="E1788" s="108">
        <v>0</v>
      </c>
      <c r="F1788" s="108" t="s">
        <v>135</v>
      </c>
      <c r="G1788" s="108"/>
      <c r="H1788" s="108">
        <v>1</v>
      </c>
    </row>
    <row r="1789" spans="1:8" ht="14">
      <c r="A1789" s="108">
        <v>2009</v>
      </c>
      <c r="B1789" s="108">
        <v>29</v>
      </c>
      <c r="C1789" s="108" t="s">
        <v>138</v>
      </c>
      <c r="D1789" s="108">
        <v>13490.5038060322</v>
      </c>
      <c r="E1789" s="108">
        <v>0</v>
      </c>
      <c r="F1789" s="108" t="s">
        <v>135</v>
      </c>
      <c r="G1789" s="108"/>
      <c r="H1789" s="108">
        <v>1</v>
      </c>
    </row>
    <row r="1790" spans="1:8" ht="14">
      <c r="A1790" s="108">
        <v>2009</v>
      </c>
      <c r="B1790" s="108">
        <v>29</v>
      </c>
      <c r="C1790" s="108" t="s">
        <v>138</v>
      </c>
      <c r="D1790" s="108">
        <v>7103.2011939677604</v>
      </c>
      <c r="E1790" s="108">
        <v>0</v>
      </c>
      <c r="F1790" s="108" t="s">
        <v>136</v>
      </c>
      <c r="G1790" s="108"/>
      <c r="H1790" s="108">
        <v>1</v>
      </c>
    </row>
    <row r="1791" spans="1:8" ht="14">
      <c r="A1791" s="108">
        <v>2009</v>
      </c>
      <c r="B1791" s="108">
        <v>29</v>
      </c>
      <c r="C1791" s="108" t="s">
        <v>139</v>
      </c>
      <c r="D1791" s="108">
        <v>3115.7043160284602</v>
      </c>
      <c r="E1791" s="108">
        <v>0</v>
      </c>
      <c r="F1791" s="108" t="s">
        <v>135</v>
      </c>
      <c r="G1791" s="108"/>
      <c r="H1791" s="108">
        <v>1</v>
      </c>
    </row>
    <row r="1792" spans="1:8" ht="14">
      <c r="A1792" s="108">
        <v>2009</v>
      </c>
      <c r="B1792" s="108">
        <v>29</v>
      </c>
      <c r="C1792" s="108" t="s">
        <v>139</v>
      </c>
      <c r="D1792" s="108">
        <v>6933.9646839715297</v>
      </c>
      <c r="E1792" s="108">
        <v>0</v>
      </c>
      <c r="F1792" s="108" t="s">
        <v>136</v>
      </c>
      <c r="G1792" s="108"/>
      <c r="H1792" s="108">
        <v>1</v>
      </c>
    </row>
    <row r="1793" spans="1:8" ht="14">
      <c r="A1793" s="108">
        <v>2009</v>
      </c>
      <c r="B1793" s="108">
        <v>31</v>
      </c>
      <c r="C1793" s="108" t="s">
        <v>30</v>
      </c>
      <c r="D1793" s="108">
        <v>16992.157269305299</v>
      </c>
      <c r="E1793" s="108">
        <v>1344.4304053416799</v>
      </c>
      <c r="F1793" s="108" t="s">
        <v>136</v>
      </c>
      <c r="G1793" s="108">
        <v>1344.43048601499</v>
      </c>
      <c r="H1793" s="108">
        <v>1</v>
      </c>
    </row>
    <row r="1794" spans="1:8" ht="14">
      <c r="A1794" s="108">
        <v>2009</v>
      </c>
      <c r="B1794" s="108">
        <v>31</v>
      </c>
      <c r="C1794" s="108" t="s">
        <v>30</v>
      </c>
      <c r="D1794" s="108">
        <v>958.65495953160598</v>
      </c>
      <c r="E1794" s="108">
        <v>140.66350024744801</v>
      </c>
      <c r="F1794" s="108" t="s">
        <v>135</v>
      </c>
      <c r="G1794" s="108">
        <v>140.663499747999</v>
      </c>
      <c r="H1794" s="108">
        <v>1</v>
      </c>
    </row>
    <row r="1795" spans="1:8" ht="14">
      <c r="A1795" s="108">
        <v>2009</v>
      </c>
      <c r="B1795" s="108">
        <v>31</v>
      </c>
      <c r="C1795" s="108" t="s">
        <v>30</v>
      </c>
      <c r="D1795" s="108">
        <v>21.067771163003702</v>
      </c>
      <c r="E1795" s="108">
        <v>61.223094410861698</v>
      </c>
      <c r="F1795" s="108" t="s">
        <v>137</v>
      </c>
      <c r="G1795" s="108">
        <v>61.223102724999997</v>
      </c>
      <c r="H1795" s="108">
        <v>1</v>
      </c>
    </row>
    <row r="1796" spans="1:8" ht="14">
      <c r="A1796" s="108">
        <v>2009</v>
      </c>
      <c r="B1796" s="108">
        <v>31</v>
      </c>
      <c r="C1796" s="108" t="s">
        <v>138</v>
      </c>
      <c r="D1796" s="108">
        <v>8.9755708261336409</v>
      </c>
      <c r="E1796" s="108">
        <v>1.37981540649462</v>
      </c>
      <c r="F1796" s="108" t="s">
        <v>137</v>
      </c>
      <c r="G1796" s="108">
        <v>1.3798155999999999</v>
      </c>
      <c r="H1796" s="108">
        <v>1</v>
      </c>
    </row>
    <row r="1797" spans="1:8" ht="14">
      <c r="A1797" s="108">
        <v>2009</v>
      </c>
      <c r="B1797" s="108">
        <v>31</v>
      </c>
      <c r="C1797" s="108" t="s">
        <v>138</v>
      </c>
      <c r="D1797" s="108">
        <v>9456.4990070593794</v>
      </c>
      <c r="E1797" s="108">
        <v>719.41217879613498</v>
      </c>
      <c r="F1797" s="108" t="s">
        <v>136</v>
      </c>
      <c r="G1797" s="108">
        <v>719.41222245699703</v>
      </c>
      <c r="H1797" s="108">
        <v>1</v>
      </c>
    </row>
    <row r="1798" spans="1:8" ht="14">
      <c r="A1798" s="108">
        <v>2009</v>
      </c>
      <c r="B1798" s="108">
        <v>31</v>
      </c>
      <c r="C1798" s="108" t="s">
        <v>138</v>
      </c>
      <c r="D1798" s="108">
        <v>424.60842211446999</v>
      </c>
      <c r="E1798" s="108">
        <v>74.506005797368104</v>
      </c>
      <c r="F1798" s="108" t="s">
        <v>135</v>
      </c>
      <c r="G1798" s="108">
        <v>74.506007385999993</v>
      </c>
      <c r="H1798" s="108">
        <v>1</v>
      </c>
    </row>
    <row r="1799" spans="1:8" ht="14">
      <c r="A1799" s="108">
        <v>2009</v>
      </c>
      <c r="B1799" s="108">
        <v>31</v>
      </c>
      <c r="C1799" s="108" t="s">
        <v>139</v>
      </c>
      <c r="D1799" s="108">
        <v>534.04653741713503</v>
      </c>
      <c r="E1799" s="108">
        <v>66.157494450080506</v>
      </c>
      <c r="F1799" s="108" t="s">
        <v>135</v>
      </c>
      <c r="G1799" s="108">
        <v>66.1574923619999</v>
      </c>
      <c r="H1799" s="108">
        <v>1</v>
      </c>
    </row>
    <row r="1800" spans="1:8" ht="14">
      <c r="A1800" s="108">
        <v>2009</v>
      </c>
      <c r="B1800" s="108">
        <v>31</v>
      </c>
      <c r="C1800" s="108" t="s">
        <v>139</v>
      </c>
      <c r="D1800" s="108">
        <v>12.09220033687</v>
      </c>
      <c r="E1800" s="108">
        <v>59.843279004366998</v>
      </c>
      <c r="F1800" s="108" t="s">
        <v>137</v>
      </c>
      <c r="G1800" s="108">
        <v>59.843287125000003</v>
      </c>
      <c r="H1800" s="108">
        <v>1</v>
      </c>
    </row>
    <row r="1801" spans="1:8" ht="14">
      <c r="A1801" s="108">
        <v>2009</v>
      </c>
      <c r="B1801" s="108">
        <v>31</v>
      </c>
      <c r="C1801" s="108" t="s">
        <v>139</v>
      </c>
      <c r="D1801" s="108">
        <v>7535.65826224599</v>
      </c>
      <c r="E1801" s="108">
        <v>625.01822654554996</v>
      </c>
      <c r="F1801" s="108" t="s">
        <v>136</v>
      </c>
      <c r="G1801" s="108">
        <v>625.01826355799994</v>
      </c>
      <c r="H1801" s="108">
        <v>1</v>
      </c>
    </row>
    <row r="1802" spans="1:8" ht="14">
      <c r="A1802" s="108">
        <v>2009</v>
      </c>
      <c r="B1802" s="108">
        <v>32</v>
      </c>
      <c r="C1802" s="108" t="s">
        <v>30</v>
      </c>
      <c r="D1802" s="108">
        <v>28472.407748769299</v>
      </c>
      <c r="E1802" s="108">
        <v>2403.31132974604</v>
      </c>
      <c r="F1802" s="108" t="s">
        <v>136</v>
      </c>
      <c r="G1802" s="108">
        <v>4806.6228949899996</v>
      </c>
      <c r="H1802" s="108">
        <v>1</v>
      </c>
    </row>
    <row r="1803" spans="1:8" ht="14">
      <c r="A1803" s="108">
        <v>2009</v>
      </c>
      <c r="B1803" s="108">
        <v>32</v>
      </c>
      <c r="C1803" s="108" t="s">
        <v>30</v>
      </c>
      <c r="D1803" s="108">
        <v>50.971054126777503</v>
      </c>
      <c r="E1803" s="108">
        <v>65.569716343683396</v>
      </c>
      <c r="F1803" s="108" t="s">
        <v>137</v>
      </c>
      <c r="G1803" s="108">
        <v>131.13942317999999</v>
      </c>
      <c r="H1803" s="108">
        <v>1</v>
      </c>
    </row>
    <row r="1804" spans="1:8" ht="14">
      <c r="A1804" s="108">
        <v>2009</v>
      </c>
      <c r="B1804" s="108">
        <v>32</v>
      </c>
      <c r="C1804" s="108" t="s">
        <v>30</v>
      </c>
      <c r="D1804" s="108">
        <v>1577.59819710386</v>
      </c>
      <c r="E1804" s="108">
        <v>144.85095391028099</v>
      </c>
      <c r="F1804" s="108" t="s">
        <v>135</v>
      </c>
      <c r="G1804" s="108">
        <v>289.70190115999998</v>
      </c>
      <c r="H1804" s="108">
        <v>1</v>
      </c>
    </row>
    <row r="1805" spans="1:8" ht="14">
      <c r="A1805" s="108">
        <v>2009</v>
      </c>
      <c r="B1805" s="108">
        <v>32</v>
      </c>
      <c r="C1805" s="108" t="s">
        <v>138</v>
      </c>
      <c r="D1805" s="108">
        <v>15653.140178927901</v>
      </c>
      <c r="E1805" s="108">
        <v>1240.35537092758</v>
      </c>
      <c r="F1805" s="108" t="s">
        <v>136</v>
      </c>
      <c r="G1805" s="108">
        <v>2480.7108785999899</v>
      </c>
      <c r="H1805" s="108">
        <v>1</v>
      </c>
    </row>
    <row r="1806" spans="1:8" ht="14">
      <c r="A1806" s="108">
        <v>2009</v>
      </c>
      <c r="B1806" s="108">
        <v>32</v>
      </c>
      <c r="C1806" s="108" t="s">
        <v>138</v>
      </c>
      <c r="D1806" s="108">
        <v>32.037334130473603</v>
      </c>
      <c r="E1806" s="108">
        <v>3.37781241176322</v>
      </c>
      <c r="F1806" s="108" t="s">
        <v>137</v>
      </c>
      <c r="G1806" s="108">
        <v>6.7556242199999996</v>
      </c>
      <c r="H1806" s="108">
        <v>1</v>
      </c>
    </row>
    <row r="1807" spans="1:8" ht="14">
      <c r="A1807" s="108">
        <v>2009</v>
      </c>
      <c r="B1807" s="108">
        <v>32</v>
      </c>
      <c r="C1807" s="108" t="s">
        <v>138</v>
      </c>
      <c r="D1807" s="108">
        <v>791.10548694158399</v>
      </c>
      <c r="E1807" s="108">
        <v>76.937816660644501</v>
      </c>
      <c r="F1807" s="108" t="s">
        <v>135</v>
      </c>
      <c r="G1807" s="108">
        <v>153.87562618000001</v>
      </c>
      <c r="H1807" s="108">
        <v>1</v>
      </c>
    </row>
    <row r="1808" spans="1:8" ht="14">
      <c r="A1808" s="108">
        <v>2009</v>
      </c>
      <c r="B1808" s="108">
        <v>32</v>
      </c>
      <c r="C1808" s="108" t="s">
        <v>139</v>
      </c>
      <c r="D1808" s="108">
        <v>786.49271016227704</v>
      </c>
      <c r="E1808" s="108">
        <v>67.913137249636506</v>
      </c>
      <c r="F1808" s="108" t="s">
        <v>135</v>
      </c>
      <c r="G1808" s="108">
        <v>135.82627497999999</v>
      </c>
      <c r="H1808" s="108">
        <v>1</v>
      </c>
    </row>
    <row r="1809" spans="1:8" ht="14">
      <c r="A1809" s="108">
        <v>2009</v>
      </c>
      <c r="B1809" s="108">
        <v>32</v>
      </c>
      <c r="C1809" s="108" t="s">
        <v>139</v>
      </c>
      <c r="D1809" s="108">
        <v>12819.2675698414</v>
      </c>
      <c r="E1809" s="108">
        <v>1162.95595881844</v>
      </c>
      <c r="F1809" s="108" t="s">
        <v>136</v>
      </c>
      <c r="G1809" s="108">
        <v>2325.9120163900002</v>
      </c>
      <c r="H1809" s="108">
        <v>1</v>
      </c>
    </row>
    <row r="1810" spans="1:8" ht="14">
      <c r="A1810" s="108">
        <v>2009</v>
      </c>
      <c r="B1810" s="108">
        <v>32</v>
      </c>
      <c r="C1810" s="108" t="s">
        <v>139</v>
      </c>
      <c r="D1810" s="108">
        <v>18.9337199963038</v>
      </c>
      <c r="E1810" s="108">
        <v>62.191903931920201</v>
      </c>
      <c r="F1810" s="108" t="s">
        <v>137</v>
      </c>
      <c r="G1810" s="108">
        <v>124.38379895999999</v>
      </c>
      <c r="H1810" s="108">
        <v>1</v>
      </c>
    </row>
    <row r="1811" spans="1:8" ht="14">
      <c r="A1811" s="108">
        <v>2009</v>
      </c>
      <c r="B1811" s="108">
        <v>33</v>
      </c>
      <c r="C1811" s="108" t="s">
        <v>30</v>
      </c>
      <c r="D1811" s="108">
        <v>533.15679484603095</v>
      </c>
      <c r="E1811" s="108">
        <v>40.093691807797498</v>
      </c>
      <c r="F1811" s="108" t="s">
        <v>136</v>
      </c>
      <c r="G1811" s="108">
        <v>60.140531234999898</v>
      </c>
      <c r="H1811" s="108">
        <v>1</v>
      </c>
    </row>
    <row r="1812" spans="1:8" ht="14">
      <c r="A1812" s="108">
        <v>2009</v>
      </c>
      <c r="B1812" s="108">
        <v>33</v>
      </c>
      <c r="C1812" s="108" t="s">
        <v>30</v>
      </c>
      <c r="D1812" s="108">
        <v>7.41120515396881</v>
      </c>
      <c r="E1812" s="108">
        <v>1.8413081922024299</v>
      </c>
      <c r="F1812" s="108" t="s">
        <v>135</v>
      </c>
      <c r="G1812" s="108">
        <v>2.761961839</v>
      </c>
      <c r="H1812" s="108">
        <v>1</v>
      </c>
    </row>
    <row r="1813" spans="1:8" ht="14">
      <c r="A1813" s="108">
        <v>2009</v>
      </c>
      <c r="B1813" s="108">
        <v>33</v>
      </c>
      <c r="C1813" s="108" t="s">
        <v>138</v>
      </c>
      <c r="D1813" s="108">
        <v>377.05300371157603</v>
      </c>
      <c r="E1813" s="108">
        <v>19.273609859914</v>
      </c>
      <c r="F1813" s="108" t="s">
        <v>136</v>
      </c>
      <c r="G1813" s="108">
        <v>28.91040873</v>
      </c>
      <c r="H1813" s="108">
        <v>1</v>
      </c>
    </row>
    <row r="1814" spans="1:8" ht="14">
      <c r="A1814" s="108">
        <v>2009</v>
      </c>
      <c r="B1814" s="108">
        <v>33</v>
      </c>
      <c r="C1814" s="108" t="s">
        <v>138</v>
      </c>
      <c r="D1814" s="108">
        <v>5.9439962884231798</v>
      </c>
      <c r="E1814" s="108">
        <v>0.46239014008593898</v>
      </c>
      <c r="F1814" s="108" t="s">
        <v>135</v>
      </c>
      <c r="G1814" s="108">
        <v>0.69358474999999997</v>
      </c>
      <c r="H1814" s="108">
        <v>1</v>
      </c>
    </row>
    <row r="1815" spans="1:8" ht="14">
      <c r="A1815" s="108">
        <v>2009</v>
      </c>
      <c r="B1815" s="108">
        <v>33</v>
      </c>
      <c r="C1815" s="108" t="s">
        <v>139</v>
      </c>
      <c r="D1815" s="108">
        <v>1.4672088655456299</v>
      </c>
      <c r="E1815" s="108">
        <v>1.3789180521164901</v>
      </c>
      <c r="F1815" s="108" t="s">
        <v>135</v>
      </c>
      <c r="G1815" s="108">
        <v>2.06837708899999</v>
      </c>
      <c r="H1815" s="108">
        <v>1</v>
      </c>
    </row>
    <row r="1816" spans="1:8" ht="14">
      <c r="A1816" s="108">
        <v>2009</v>
      </c>
      <c r="B1816" s="108">
        <v>33</v>
      </c>
      <c r="C1816" s="108" t="s">
        <v>139</v>
      </c>
      <c r="D1816" s="108">
        <v>156.10379113445401</v>
      </c>
      <c r="E1816" s="108">
        <v>20.820081947883502</v>
      </c>
      <c r="F1816" s="108" t="s">
        <v>136</v>
      </c>
      <c r="G1816" s="108">
        <v>31.230122505000001</v>
      </c>
      <c r="H1816" s="108">
        <v>1</v>
      </c>
    </row>
    <row r="1817" spans="1:8" ht="14">
      <c r="A1817" s="108">
        <v>2009</v>
      </c>
      <c r="B1817" s="108">
        <v>34</v>
      </c>
      <c r="C1817" s="108" t="s">
        <v>30</v>
      </c>
      <c r="D1817" s="108">
        <v>0.59396291884297003</v>
      </c>
      <c r="E1817" s="108">
        <v>0.11859729246837</v>
      </c>
      <c r="F1817" s="108" t="s">
        <v>137</v>
      </c>
      <c r="G1817" s="108">
        <v>0.26684395</v>
      </c>
      <c r="H1817" s="108">
        <v>1</v>
      </c>
    </row>
    <row r="1818" spans="1:8" ht="14">
      <c r="A1818" s="108">
        <v>2009</v>
      </c>
      <c r="B1818" s="108">
        <v>34</v>
      </c>
      <c r="C1818" s="108" t="s">
        <v>30</v>
      </c>
      <c r="D1818" s="108">
        <v>3339.8834640170999</v>
      </c>
      <c r="E1818" s="108">
        <v>233.22197822103601</v>
      </c>
      <c r="F1818" s="108" t="s">
        <v>136</v>
      </c>
      <c r="G1818" s="108">
        <v>524.74941034000005</v>
      </c>
      <c r="H1818" s="108">
        <v>1</v>
      </c>
    </row>
    <row r="1819" spans="1:8" ht="14">
      <c r="A1819" s="108">
        <v>2009</v>
      </c>
      <c r="B1819" s="108">
        <v>34</v>
      </c>
      <c r="C1819" s="108" t="s">
        <v>30</v>
      </c>
      <c r="D1819" s="108">
        <v>56.879573064050099</v>
      </c>
      <c r="E1819" s="108">
        <v>5.2164244864951801</v>
      </c>
      <c r="F1819" s="108" t="s">
        <v>135</v>
      </c>
      <c r="G1819" s="108">
        <v>11.7369559</v>
      </c>
      <c r="H1819" s="108">
        <v>1</v>
      </c>
    </row>
    <row r="1820" spans="1:8" ht="14">
      <c r="A1820" s="108">
        <v>2009</v>
      </c>
      <c r="B1820" s="108">
        <v>34</v>
      </c>
      <c r="C1820" s="108" t="s">
        <v>138</v>
      </c>
      <c r="D1820" s="108">
        <v>44.1048723238465</v>
      </c>
      <c r="E1820" s="108">
        <v>2.4970397035986802</v>
      </c>
      <c r="F1820" s="108" t="s">
        <v>135</v>
      </c>
      <c r="G1820" s="108">
        <v>5.6183394799999897</v>
      </c>
      <c r="H1820" s="108">
        <v>1</v>
      </c>
    </row>
    <row r="1821" spans="1:8" ht="14">
      <c r="A1821" s="108">
        <v>2009</v>
      </c>
      <c r="B1821" s="108">
        <v>34</v>
      </c>
      <c r="C1821" s="108" t="s">
        <v>138</v>
      </c>
      <c r="D1821" s="108">
        <v>0.59396291884297003</v>
      </c>
      <c r="E1821" s="108">
        <v>6.8222649238485297E-2</v>
      </c>
      <c r="F1821" s="108" t="s">
        <v>137</v>
      </c>
      <c r="G1821" s="108">
        <v>0.15350105999999999</v>
      </c>
      <c r="H1821" s="108">
        <v>1</v>
      </c>
    </row>
    <row r="1822" spans="1:8" ht="14">
      <c r="A1822" s="108">
        <v>2009</v>
      </c>
      <c r="B1822" s="108">
        <v>34</v>
      </c>
      <c r="C1822" s="108" t="s">
        <v>138</v>
      </c>
      <c r="D1822" s="108">
        <v>2427.2621647573101</v>
      </c>
      <c r="E1822" s="108">
        <v>118.82373764716201</v>
      </c>
      <c r="F1822" s="108" t="s">
        <v>136</v>
      </c>
      <c r="G1822" s="108">
        <v>267.35340141</v>
      </c>
      <c r="H1822" s="108">
        <v>1</v>
      </c>
    </row>
    <row r="1823" spans="1:8" ht="14">
      <c r="A1823" s="108">
        <v>2009</v>
      </c>
      <c r="B1823" s="108">
        <v>34</v>
      </c>
      <c r="C1823" s="108" t="s">
        <v>139</v>
      </c>
      <c r="D1823" s="108">
        <v>912.62129925979605</v>
      </c>
      <c r="E1823" s="108">
        <v>114.398240573873</v>
      </c>
      <c r="F1823" s="108" t="s">
        <v>136</v>
      </c>
      <c r="G1823" s="108">
        <v>257.39600892999903</v>
      </c>
      <c r="H1823" s="108">
        <v>1</v>
      </c>
    </row>
    <row r="1824" spans="1:8" ht="14">
      <c r="A1824" s="108">
        <v>2009</v>
      </c>
      <c r="B1824" s="108">
        <v>34</v>
      </c>
      <c r="C1824" s="108" t="s">
        <v>139</v>
      </c>
      <c r="D1824" s="108">
        <v>0</v>
      </c>
      <c r="E1824" s="108">
        <v>5.03746432298849E-2</v>
      </c>
      <c r="F1824" s="108" t="s">
        <v>137</v>
      </c>
      <c r="G1824" s="108">
        <v>0.11334289</v>
      </c>
      <c r="H1824" s="108">
        <v>1</v>
      </c>
    </row>
    <row r="1825" spans="1:8" ht="14">
      <c r="A1825" s="108">
        <v>2009</v>
      </c>
      <c r="B1825" s="108">
        <v>34</v>
      </c>
      <c r="C1825" s="108" t="s">
        <v>139</v>
      </c>
      <c r="D1825" s="108">
        <v>12.7747007402035</v>
      </c>
      <c r="E1825" s="108">
        <v>2.7193847828964999</v>
      </c>
      <c r="F1825" s="108" t="s">
        <v>135</v>
      </c>
      <c r="G1825" s="108">
        <v>6.1186164199999897</v>
      </c>
      <c r="H1825" s="108">
        <v>1</v>
      </c>
    </row>
    <row r="1826" spans="1:8" ht="14">
      <c r="A1826" s="108">
        <v>2009</v>
      </c>
      <c r="B1826" s="108">
        <v>51</v>
      </c>
      <c r="C1826" s="108" t="s">
        <v>30</v>
      </c>
      <c r="D1826" s="108">
        <v>36826.903311105503</v>
      </c>
      <c r="E1826" s="108">
        <v>3257.5384460165501</v>
      </c>
      <c r="F1826" s="108" t="s">
        <v>136</v>
      </c>
      <c r="G1826" s="108"/>
      <c r="H1826" s="108">
        <v>1</v>
      </c>
    </row>
    <row r="1827" spans="1:8" ht="14">
      <c r="A1827" s="108">
        <v>2009</v>
      </c>
      <c r="B1827" s="108">
        <v>51</v>
      </c>
      <c r="C1827" s="108" t="s">
        <v>30</v>
      </c>
      <c r="D1827" s="108">
        <v>7353.7266888944496</v>
      </c>
      <c r="E1827" s="108">
        <v>595.29655398344596</v>
      </c>
      <c r="F1827" s="108" t="s">
        <v>135</v>
      </c>
      <c r="G1827" s="108"/>
      <c r="H1827" s="108">
        <v>1</v>
      </c>
    </row>
    <row r="1828" spans="1:8" ht="14">
      <c r="A1828" s="108">
        <v>2009</v>
      </c>
      <c r="B1828" s="108">
        <v>51</v>
      </c>
      <c r="C1828" s="108" t="s">
        <v>138</v>
      </c>
      <c r="D1828" s="108">
        <v>3646.6034733248598</v>
      </c>
      <c r="E1828" s="108">
        <v>297.48881314868402</v>
      </c>
      <c r="F1828" s="108" t="s">
        <v>135</v>
      </c>
      <c r="G1828" s="108"/>
      <c r="H1828" s="108">
        <v>1</v>
      </c>
    </row>
    <row r="1829" spans="1:8" ht="14">
      <c r="A1829" s="108">
        <v>2009</v>
      </c>
      <c r="B1829" s="108">
        <v>51</v>
      </c>
      <c r="C1829" s="108" t="s">
        <v>138</v>
      </c>
      <c r="D1829" s="108">
        <v>21979.424526675099</v>
      </c>
      <c r="E1829" s="108">
        <v>1611.15318685131</v>
      </c>
      <c r="F1829" s="108" t="s">
        <v>136</v>
      </c>
      <c r="G1829" s="108"/>
      <c r="H1829" s="108">
        <v>1</v>
      </c>
    </row>
    <row r="1830" spans="1:8" ht="14">
      <c r="A1830" s="108">
        <v>2009</v>
      </c>
      <c r="B1830" s="108">
        <v>51</v>
      </c>
      <c r="C1830" s="108" t="s">
        <v>139</v>
      </c>
      <c r="D1830" s="108">
        <v>14847.478784430399</v>
      </c>
      <c r="E1830" s="108">
        <v>1646.3852591652301</v>
      </c>
      <c r="F1830" s="108" t="s">
        <v>136</v>
      </c>
      <c r="G1830" s="108"/>
      <c r="H1830" s="108">
        <v>1</v>
      </c>
    </row>
    <row r="1831" spans="1:8" ht="14">
      <c r="A1831" s="108">
        <v>2009</v>
      </c>
      <c r="B1831" s="108">
        <v>51</v>
      </c>
      <c r="C1831" s="108" t="s">
        <v>139</v>
      </c>
      <c r="D1831" s="108">
        <v>3707.1232155695898</v>
      </c>
      <c r="E1831" s="108">
        <v>297.807740834762</v>
      </c>
      <c r="F1831" s="108" t="s">
        <v>135</v>
      </c>
      <c r="G1831" s="108"/>
      <c r="H1831" s="108">
        <v>1</v>
      </c>
    </row>
    <row r="1832" spans="1:8" ht="14">
      <c r="A1832" s="108">
        <v>2009</v>
      </c>
      <c r="B1832" s="108">
        <v>52</v>
      </c>
      <c r="C1832" s="108" t="s">
        <v>30</v>
      </c>
      <c r="D1832" s="108">
        <v>0</v>
      </c>
      <c r="E1832" s="108">
        <v>4846.5378782586304</v>
      </c>
      <c r="F1832" s="108" t="s">
        <v>136</v>
      </c>
      <c r="G1832" s="108"/>
      <c r="H1832" s="108">
        <v>1</v>
      </c>
    </row>
    <row r="1833" spans="1:8" ht="14">
      <c r="A1833" s="108">
        <v>2009</v>
      </c>
      <c r="B1833" s="108">
        <v>52</v>
      </c>
      <c r="C1833" s="108" t="s">
        <v>30</v>
      </c>
      <c r="D1833" s="108">
        <v>0</v>
      </c>
      <c r="E1833" s="108">
        <v>1282.07112174136</v>
      </c>
      <c r="F1833" s="108" t="s">
        <v>135</v>
      </c>
      <c r="G1833" s="108"/>
      <c r="H1833" s="108">
        <v>1</v>
      </c>
    </row>
    <row r="1834" spans="1:8" ht="14">
      <c r="A1834" s="108">
        <v>2009</v>
      </c>
      <c r="B1834" s="108">
        <v>52</v>
      </c>
      <c r="C1834" s="108" t="s">
        <v>30</v>
      </c>
      <c r="D1834" s="108">
        <v>0</v>
      </c>
      <c r="E1834" s="108">
        <v>5.0000000000000001E-3</v>
      </c>
      <c r="F1834" s="108" t="s">
        <v>137</v>
      </c>
      <c r="G1834" s="108"/>
      <c r="H1834" s="108">
        <v>1</v>
      </c>
    </row>
    <row r="1835" spans="1:8" ht="14">
      <c r="A1835" s="108">
        <v>2009</v>
      </c>
      <c r="B1835" s="108">
        <v>52</v>
      </c>
      <c r="C1835" s="108" t="s">
        <v>138</v>
      </c>
      <c r="D1835" s="108">
        <v>0</v>
      </c>
      <c r="E1835" s="108">
        <v>2375.0044718732001</v>
      </c>
      <c r="F1835" s="108" t="s">
        <v>136</v>
      </c>
      <c r="G1835" s="108"/>
      <c r="H1835" s="108">
        <v>1</v>
      </c>
    </row>
    <row r="1836" spans="1:8" ht="14">
      <c r="A1836" s="108">
        <v>2009</v>
      </c>
      <c r="B1836" s="108">
        <v>52</v>
      </c>
      <c r="C1836" s="108" t="s">
        <v>138</v>
      </c>
      <c r="D1836" s="108">
        <v>0</v>
      </c>
      <c r="E1836" s="108">
        <v>633.72052812679499</v>
      </c>
      <c r="F1836" s="108" t="s">
        <v>135</v>
      </c>
      <c r="G1836" s="108"/>
      <c r="H1836" s="108">
        <v>1</v>
      </c>
    </row>
    <row r="1837" spans="1:8" ht="14">
      <c r="A1837" s="108">
        <v>2009</v>
      </c>
      <c r="B1837" s="108">
        <v>52</v>
      </c>
      <c r="C1837" s="108" t="s">
        <v>139</v>
      </c>
      <c r="D1837" s="108">
        <v>0</v>
      </c>
      <c r="E1837" s="108">
        <v>5.0000000000000001E-3</v>
      </c>
      <c r="F1837" s="108" t="s">
        <v>137</v>
      </c>
      <c r="G1837" s="108"/>
      <c r="H1837" s="108">
        <v>1</v>
      </c>
    </row>
    <row r="1838" spans="1:8" ht="14">
      <c r="A1838" s="108">
        <v>2009</v>
      </c>
      <c r="B1838" s="108">
        <v>52</v>
      </c>
      <c r="C1838" s="108" t="s">
        <v>139</v>
      </c>
      <c r="D1838" s="108">
        <v>0</v>
      </c>
      <c r="E1838" s="108">
        <v>2471.5334063854302</v>
      </c>
      <c r="F1838" s="108" t="s">
        <v>136</v>
      </c>
      <c r="G1838" s="108"/>
      <c r="H1838" s="108">
        <v>1</v>
      </c>
    </row>
    <row r="1839" spans="1:8" ht="14">
      <c r="A1839" s="108">
        <v>2009</v>
      </c>
      <c r="B1839" s="108">
        <v>52</v>
      </c>
      <c r="C1839" s="108" t="s">
        <v>139</v>
      </c>
      <c r="D1839" s="108">
        <v>0</v>
      </c>
      <c r="E1839" s="108">
        <v>648.35059361456695</v>
      </c>
      <c r="F1839" s="108" t="s">
        <v>135</v>
      </c>
      <c r="G1839" s="108"/>
      <c r="H1839" s="108">
        <v>1</v>
      </c>
    </row>
    <row r="1840" spans="1:8" ht="14">
      <c r="A1840" s="108">
        <v>2009</v>
      </c>
      <c r="B1840" s="108">
        <v>53</v>
      </c>
      <c r="C1840" s="108" t="s">
        <v>30</v>
      </c>
      <c r="D1840" s="108">
        <v>0</v>
      </c>
      <c r="E1840" s="108">
        <v>108.74999999999901</v>
      </c>
      <c r="F1840" s="108" t="s">
        <v>136</v>
      </c>
      <c r="G1840" s="108"/>
      <c r="H1840" s="108">
        <v>1</v>
      </c>
    </row>
    <row r="1841" spans="1:8" ht="14">
      <c r="A1841" s="108">
        <v>2009</v>
      </c>
      <c r="B1841" s="108">
        <v>53</v>
      </c>
      <c r="C1841" s="108" t="s">
        <v>30</v>
      </c>
      <c r="D1841" s="108">
        <v>0</v>
      </c>
      <c r="E1841" s="108">
        <v>29.12</v>
      </c>
      <c r="F1841" s="108" t="s">
        <v>135</v>
      </c>
      <c r="G1841" s="108"/>
      <c r="H1841" s="108">
        <v>1</v>
      </c>
    </row>
    <row r="1842" spans="1:8" ht="14">
      <c r="A1842" s="108">
        <v>2009</v>
      </c>
      <c r="B1842" s="108">
        <v>53</v>
      </c>
      <c r="C1842" s="108" t="s">
        <v>138</v>
      </c>
      <c r="D1842" s="108">
        <v>0</v>
      </c>
      <c r="E1842" s="108">
        <v>54.528999999999897</v>
      </c>
      <c r="F1842" s="108" t="s">
        <v>136</v>
      </c>
      <c r="G1842" s="108"/>
      <c r="H1842" s="108">
        <v>1</v>
      </c>
    </row>
    <row r="1843" spans="1:8" ht="14">
      <c r="A1843" s="108">
        <v>2009</v>
      </c>
      <c r="B1843" s="108">
        <v>53</v>
      </c>
      <c r="C1843" s="108" t="s">
        <v>138</v>
      </c>
      <c r="D1843" s="108">
        <v>0</v>
      </c>
      <c r="E1843" s="108">
        <v>15.006</v>
      </c>
      <c r="F1843" s="108" t="s">
        <v>135</v>
      </c>
      <c r="G1843" s="108"/>
      <c r="H1843" s="108">
        <v>1</v>
      </c>
    </row>
    <row r="1844" spans="1:8" ht="14">
      <c r="A1844" s="108">
        <v>2009</v>
      </c>
      <c r="B1844" s="108">
        <v>53</v>
      </c>
      <c r="C1844" s="108" t="s">
        <v>139</v>
      </c>
      <c r="D1844" s="108">
        <v>0</v>
      </c>
      <c r="E1844" s="108">
        <v>54.220999999999997</v>
      </c>
      <c r="F1844" s="108" t="s">
        <v>136</v>
      </c>
      <c r="G1844" s="108"/>
      <c r="H1844" s="108">
        <v>1</v>
      </c>
    </row>
    <row r="1845" spans="1:8" ht="14">
      <c r="A1845" s="108">
        <v>2009</v>
      </c>
      <c r="B1845" s="108">
        <v>53</v>
      </c>
      <c r="C1845" s="108" t="s">
        <v>139</v>
      </c>
      <c r="D1845" s="108">
        <v>0</v>
      </c>
      <c r="E1845" s="108">
        <v>14.1139999999999</v>
      </c>
      <c r="F1845" s="108" t="s">
        <v>135</v>
      </c>
      <c r="G1845" s="108"/>
      <c r="H1845" s="108">
        <v>1</v>
      </c>
    </row>
    <row r="1846" spans="1:8" ht="14">
      <c r="A1846" s="108">
        <v>2009</v>
      </c>
      <c r="B1846" s="108">
        <v>54</v>
      </c>
      <c r="C1846" s="108" t="s">
        <v>30</v>
      </c>
      <c r="D1846" s="108">
        <v>2.1999999999999999E-2</v>
      </c>
      <c r="E1846" s="108">
        <v>4.3999999999999997E-2</v>
      </c>
      <c r="F1846" s="108" t="s">
        <v>137</v>
      </c>
      <c r="G1846" s="108"/>
      <c r="H1846" s="108">
        <v>1</v>
      </c>
    </row>
    <row r="1847" spans="1:8" ht="14">
      <c r="A1847" s="108">
        <v>2009</v>
      </c>
      <c r="B1847" s="108">
        <v>54</v>
      </c>
      <c r="C1847" s="108" t="s">
        <v>30</v>
      </c>
      <c r="D1847" s="108">
        <v>150.756014719295</v>
      </c>
      <c r="E1847" s="108">
        <v>125.882963062044</v>
      </c>
      <c r="F1847" s="108" t="s">
        <v>135</v>
      </c>
      <c r="G1847" s="108"/>
      <c r="H1847" s="108">
        <v>1</v>
      </c>
    </row>
    <row r="1848" spans="1:8" ht="14">
      <c r="A1848" s="108">
        <v>2009</v>
      </c>
      <c r="B1848" s="108">
        <v>54</v>
      </c>
      <c r="C1848" s="108" t="s">
        <v>30</v>
      </c>
      <c r="D1848" s="108">
        <v>3852.9529852807</v>
      </c>
      <c r="E1848" s="108">
        <v>2677.3790369379499</v>
      </c>
      <c r="F1848" s="108" t="s">
        <v>136</v>
      </c>
      <c r="G1848" s="108"/>
      <c r="H1848" s="108">
        <v>1</v>
      </c>
    </row>
    <row r="1849" spans="1:8" ht="14">
      <c r="A1849" s="108">
        <v>2009</v>
      </c>
      <c r="B1849" s="108">
        <v>54</v>
      </c>
      <c r="C1849" s="108" t="s">
        <v>138</v>
      </c>
      <c r="D1849" s="108">
        <v>71.489921515821607</v>
      </c>
      <c r="E1849" s="108">
        <v>59.279769535936701</v>
      </c>
      <c r="F1849" s="108" t="s">
        <v>135</v>
      </c>
      <c r="G1849" s="108"/>
      <c r="H1849" s="108">
        <v>1</v>
      </c>
    </row>
    <row r="1850" spans="1:8" ht="14">
      <c r="A1850" s="108">
        <v>2009</v>
      </c>
      <c r="B1850" s="108">
        <v>54</v>
      </c>
      <c r="C1850" s="108" t="s">
        <v>138</v>
      </c>
      <c r="D1850" s="108">
        <v>2329.4360784841701</v>
      </c>
      <c r="E1850" s="108">
        <v>1748.09723046406</v>
      </c>
      <c r="F1850" s="108" t="s">
        <v>136</v>
      </c>
      <c r="G1850" s="108"/>
      <c r="H1850" s="108">
        <v>1</v>
      </c>
    </row>
    <row r="1851" spans="1:8" ht="14">
      <c r="A1851" s="108">
        <v>2009</v>
      </c>
      <c r="B1851" s="108">
        <v>54</v>
      </c>
      <c r="C1851" s="108" t="s">
        <v>139</v>
      </c>
      <c r="D1851" s="108">
        <v>1523.5169067965201</v>
      </c>
      <c r="E1851" s="108">
        <v>929.28180647389195</v>
      </c>
      <c r="F1851" s="108" t="s">
        <v>136</v>
      </c>
      <c r="G1851" s="108"/>
      <c r="H1851" s="108">
        <v>1</v>
      </c>
    </row>
    <row r="1852" spans="1:8" ht="14">
      <c r="A1852" s="108">
        <v>2009</v>
      </c>
      <c r="B1852" s="108">
        <v>54</v>
      </c>
      <c r="C1852" s="108" t="s">
        <v>139</v>
      </c>
      <c r="D1852" s="108">
        <v>2.1999999999999999E-2</v>
      </c>
      <c r="E1852" s="108">
        <v>4.3999999999999997E-2</v>
      </c>
      <c r="F1852" s="108" t="s">
        <v>137</v>
      </c>
      <c r="G1852" s="108"/>
      <c r="H1852" s="108">
        <v>1</v>
      </c>
    </row>
    <row r="1853" spans="1:8" ht="14">
      <c r="A1853" s="108">
        <v>2009</v>
      </c>
      <c r="B1853" s="108">
        <v>54</v>
      </c>
      <c r="C1853" s="108" t="s">
        <v>139</v>
      </c>
      <c r="D1853" s="108">
        <v>79.266093203473702</v>
      </c>
      <c r="E1853" s="108">
        <v>66.6031935261081</v>
      </c>
      <c r="F1853" s="108" t="s">
        <v>135</v>
      </c>
      <c r="G1853" s="108"/>
      <c r="H1853" s="108">
        <v>1</v>
      </c>
    </row>
    <row r="1854" spans="1:8" ht="14">
      <c r="A1854" s="108">
        <v>2009</v>
      </c>
      <c r="B1854" s="108">
        <v>59</v>
      </c>
      <c r="C1854" s="108" t="s">
        <v>30</v>
      </c>
      <c r="D1854" s="108">
        <v>56.758000000000003</v>
      </c>
      <c r="E1854" s="108">
        <v>7.5910000000000002</v>
      </c>
      <c r="F1854" s="108" t="s">
        <v>136</v>
      </c>
      <c r="G1854" s="108"/>
      <c r="H1854" s="108">
        <v>1</v>
      </c>
    </row>
    <row r="1855" spans="1:8" ht="14">
      <c r="A1855" s="108">
        <v>2009</v>
      </c>
      <c r="B1855" s="108">
        <v>59</v>
      </c>
      <c r="C1855" s="108" t="s">
        <v>30</v>
      </c>
      <c r="D1855" s="108">
        <v>3.2480000000000002</v>
      </c>
      <c r="E1855" s="108">
        <v>3.3570000000000002</v>
      </c>
      <c r="F1855" s="108" t="s">
        <v>135</v>
      </c>
      <c r="G1855" s="108"/>
      <c r="H1855" s="108">
        <v>1</v>
      </c>
    </row>
    <row r="1856" spans="1:8" ht="14">
      <c r="A1856" s="108">
        <v>2009</v>
      </c>
      <c r="B1856" s="108">
        <v>59</v>
      </c>
      <c r="C1856" s="108" t="s">
        <v>138</v>
      </c>
      <c r="D1856" s="108">
        <v>18.104999999999901</v>
      </c>
      <c r="E1856" s="108">
        <v>3.323</v>
      </c>
      <c r="F1856" s="108" t="s">
        <v>136</v>
      </c>
      <c r="G1856" s="108"/>
      <c r="H1856" s="108">
        <v>1</v>
      </c>
    </row>
    <row r="1857" spans="1:8" ht="14">
      <c r="A1857" s="108">
        <v>2009</v>
      </c>
      <c r="B1857" s="108">
        <v>59</v>
      </c>
      <c r="C1857" s="108" t="s">
        <v>138</v>
      </c>
      <c r="D1857" s="108">
        <v>2.585</v>
      </c>
      <c r="E1857" s="108">
        <v>2.2730000000000001</v>
      </c>
      <c r="F1857" s="108" t="s">
        <v>135</v>
      </c>
      <c r="G1857" s="108"/>
      <c r="H1857" s="108">
        <v>1</v>
      </c>
    </row>
    <row r="1858" spans="1:8" ht="14">
      <c r="A1858" s="108">
        <v>2009</v>
      </c>
      <c r="B1858" s="108">
        <v>59</v>
      </c>
      <c r="C1858" s="108" t="s">
        <v>139</v>
      </c>
      <c r="D1858" s="108">
        <v>38.652999999999999</v>
      </c>
      <c r="E1858" s="108">
        <v>4.2679999999999998</v>
      </c>
      <c r="F1858" s="108" t="s">
        <v>136</v>
      </c>
      <c r="G1858" s="108"/>
      <c r="H1858" s="108">
        <v>1</v>
      </c>
    </row>
    <row r="1859" spans="1:8" ht="14">
      <c r="A1859" s="108">
        <v>2009</v>
      </c>
      <c r="B1859" s="108">
        <v>59</v>
      </c>
      <c r="C1859" s="108" t="s">
        <v>139</v>
      </c>
      <c r="D1859" s="108">
        <v>0.66300000000000003</v>
      </c>
      <c r="E1859" s="108">
        <v>1.0840000000000001</v>
      </c>
      <c r="F1859" s="108" t="s">
        <v>135</v>
      </c>
      <c r="G1859" s="108"/>
      <c r="H1859" s="108">
        <v>1</v>
      </c>
    </row>
    <row r="1860" spans="1:8" ht="14">
      <c r="A1860" s="108">
        <v>2009</v>
      </c>
      <c r="B1860" s="108">
        <v>61</v>
      </c>
      <c r="C1860" s="108" t="s">
        <v>30</v>
      </c>
      <c r="D1860" s="108">
        <v>11981.906096226599</v>
      </c>
      <c r="E1860" s="108">
        <v>992.66425121537702</v>
      </c>
      <c r="F1860" s="108" t="s">
        <v>135</v>
      </c>
      <c r="G1860" s="108"/>
      <c r="H1860" s="108">
        <v>1</v>
      </c>
    </row>
    <row r="1861" spans="1:8" ht="14">
      <c r="A1861" s="108">
        <v>2009</v>
      </c>
      <c r="B1861" s="108">
        <v>61</v>
      </c>
      <c r="C1861" s="108" t="s">
        <v>30</v>
      </c>
      <c r="D1861" s="108">
        <v>21723.579903773301</v>
      </c>
      <c r="E1861" s="108">
        <v>1596.2227487846201</v>
      </c>
      <c r="F1861" s="108" t="s">
        <v>136</v>
      </c>
      <c r="G1861" s="108"/>
      <c r="H1861" s="108">
        <v>1</v>
      </c>
    </row>
    <row r="1862" spans="1:8" ht="14">
      <c r="A1862" s="108">
        <v>2009</v>
      </c>
      <c r="B1862" s="108">
        <v>61</v>
      </c>
      <c r="C1862" s="108" t="s">
        <v>138</v>
      </c>
      <c r="D1862" s="108">
        <v>13035.686135886301</v>
      </c>
      <c r="E1862" s="108">
        <v>804.74859900644901</v>
      </c>
      <c r="F1862" s="108" t="s">
        <v>136</v>
      </c>
      <c r="G1862" s="108"/>
      <c r="H1862" s="108">
        <v>1</v>
      </c>
    </row>
    <row r="1863" spans="1:8" ht="14">
      <c r="A1863" s="108">
        <v>2009</v>
      </c>
      <c r="B1863" s="108">
        <v>61</v>
      </c>
      <c r="C1863" s="108" t="s">
        <v>138</v>
      </c>
      <c r="D1863" s="108">
        <v>5851.7468641136902</v>
      </c>
      <c r="E1863" s="108">
        <v>498.47040099355002</v>
      </c>
      <c r="F1863" s="108" t="s">
        <v>135</v>
      </c>
      <c r="G1863" s="108"/>
      <c r="H1863" s="108">
        <v>1</v>
      </c>
    </row>
    <row r="1864" spans="1:8" ht="14">
      <c r="A1864" s="108">
        <v>2009</v>
      </c>
      <c r="B1864" s="108">
        <v>61</v>
      </c>
      <c r="C1864" s="108" t="s">
        <v>139</v>
      </c>
      <c r="D1864" s="108">
        <v>8687.8937678870097</v>
      </c>
      <c r="E1864" s="108">
        <v>791.47414977817198</v>
      </c>
      <c r="F1864" s="108" t="s">
        <v>136</v>
      </c>
      <c r="G1864" s="108"/>
      <c r="H1864" s="108">
        <v>1</v>
      </c>
    </row>
    <row r="1865" spans="1:8" ht="14">
      <c r="A1865" s="108">
        <v>2009</v>
      </c>
      <c r="B1865" s="108">
        <v>61</v>
      </c>
      <c r="C1865" s="108" t="s">
        <v>139</v>
      </c>
      <c r="D1865" s="108">
        <v>6130.1592321129801</v>
      </c>
      <c r="E1865" s="108">
        <v>494.19385022182701</v>
      </c>
      <c r="F1865" s="108" t="s">
        <v>135</v>
      </c>
      <c r="G1865" s="108"/>
      <c r="H1865" s="108">
        <v>1</v>
      </c>
    </row>
    <row r="1866" spans="1:8" ht="14">
      <c r="A1866" s="108">
        <v>2009</v>
      </c>
      <c r="B1866" s="108">
        <v>62</v>
      </c>
      <c r="C1866" s="108" t="s">
        <v>30</v>
      </c>
      <c r="D1866" s="108">
        <v>22.93</v>
      </c>
      <c r="E1866" s="108">
        <v>19.111999999999998</v>
      </c>
      <c r="F1866" s="108" t="s">
        <v>135</v>
      </c>
      <c r="G1866" s="108"/>
      <c r="H1866" s="108">
        <v>1</v>
      </c>
    </row>
    <row r="1867" spans="1:8" ht="14">
      <c r="A1867" s="108">
        <v>2009</v>
      </c>
      <c r="B1867" s="108">
        <v>62</v>
      </c>
      <c r="C1867" s="108" t="s">
        <v>30</v>
      </c>
      <c r="D1867" s="108">
        <v>0.27600000000000002</v>
      </c>
      <c r="E1867" s="108">
        <v>5.6000000000000001E-2</v>
      </c>
      <c r="F1867" s="108" t="s">
        <v>137</v>
      </c>
      <c r="G1867" s="108"/>
      <c r="H1867" s="108">
        <v>1</v>
      </c>
    </row>
    <row r="1868" spans="1:8" ht="14">
      <c r="A1868" s="108">
        <v>2009</v>
      </c>
      <c r="B1868" s="108">
        <v>62</v>
      </c>
      <c r="C1868" s="108" t="s">
        <v>30</v>
      </c>
      <c r="D1868" s="108">
        <v>710.86</v>
      </c>
      <c r="E1868" s="108">
        <v>52.606999999999999</v>
      </c>
      <c r="F1868" s="108" t="s">
        <v>136</v>
      </c>
      <c r="G1868" s="108"/>
      <c r="H1868" s="108">
        <v>1</v>
      </c>
    </row>
    <row r="1869" spans="1:8" ht="14">
      <c r="A1869" s="108">
        <v>2009</v>
      </c>
      <c r="B1869" s="108">
        <v>62</v>
      </c>
      <c r="C1869" s="108" t="s">
        <v>138</v>
      </c>
      <c r="D1869" s="108">
        <v>554.56199999999899</v>
      </c>
      <c r="E1869" s="108">
        <v>34.051000000000002</v>
      </c>
      <c r="F1869" s="108" t="s">
        <v>136</v>
      </c>
      <c r="G1869" s="108"/>
      <c r="H1869" s="108">
        <v>1</v>
      </c>
    </row>
    <row r="1870" spans="1:8" ht="14">
      <c r="A1870" s="108">
        <v>2009</v>
      </c>
      <c r="B1870" s="108">
        <v>62</v>
      </c>
      <c r="C1870" s="108" t="s">
        <v>138</v>
      </c>
      <c r="D1870" s="108">
        <v>10.535</v>
      </c>
      <c r="E1870" s="108">
        <v>8.1089999999999893</v>
      </c>
      <c r="F1870" s="108" t="s">
        <v>135</v>
      </c>
      <c r="G1870" s="108"/>
      <c r="H1870" s="108">
        <v>1</v>
      </c>
    </row>
    <row r="1871" spans="1:8" ht="14">
      <c r="A1871" s="108">
        <v>2009</v>
      </c>
      <c r="B1871" s="108">
        <v>62</v>
      </c>
      <c r="C1871" s="108" t="s">
        <v>139</v>
      </c>
      <c r="D1871" s="108">
        <v>12.395</v>
      </c>
      <c r="E1871" s="108">
        <v>11.003</v>
      </c>
      <c r="F1871" s="108" t="s">
        <v>135</v>
      </c>
      <c r="G1871" s="108"/>
      <c r="H1871" s="108">
        <v>1</v>
      </c>
    </row>
    <row r="1872" spans="1:8" ht="14">
      <c r="A1872" s="108">
        <v>2009</v>
      </c>
      <c r="B1872" s="108">
        <v>62</v>
      </c>
      <c r="C1872" s="108" t="s">
        <v>139</v>
      </c>
      <c r="D1872" s="108">
        <v>0.27600000000000002</v>
      </c>
      <c r="E1872" s="108">
        <v>5.6000000000000001E-2</v>
      </c>
      <c r="F1872" s="108" t="s">
        <v>137</v>
      </c>
      <c r="G1872" s="108"/>
      <c r="H1872" s="108">
        <v>1</v>
      </c>
    </row>
    <row r="1873" spans="1:8" ht="14">
      <c r="A1873" s="108">
        <v>2009</v>
      </c>
      <c r="B1873" s="108">
        <v>62</v>
      </c>
      <c r="C1873" s="108" t="s">
        <v>139</v>
      </c>
      <c r="D1873" s="108">
        <v>156.298</v>
      </c>
      <c r="E1873" s="108">
        <v>18.556000000000001</v>
      </c>
      <c r="F1873" s="108" t="s">
        <v>136</v>
      </c>
      <c r="G1873" s="108"/>
      <c r="H1873" s="108">
        <v>1</v>
      </c>
    </row>
    <row r="1874" spans="1:8" ht="14">
      <c r="A1874" s="108">
        <v>2009</v>
      </c>
      <c r="B1874" s="108">
        <v>63</v>
      </c>
      <c r="C1874" s="108" t="s">
        <v>30</v>
      </c>
      <c r="D1874" s="108">
        <v>11002.135</v>
      </c>
      <c r="E1874" s="108">
        <v>671.51893899509002</v>
      </c>
      <c r="F1874" s="108" t="s">
        <v>136</v>
      </c>
      <c r="G1874" s="108"/>
      <c r="H1874" s="108">
        <v>1</v>
      </c>
    </row>
    <row r="1875" spans="1:8" ht="14">
      <c r="A1875" s="108">
        <v>2009</v>
      </c>
      <c r="B1875" s="108">
        <v>63</v>
      </c>
      <c r="C1875" s="108" t="s">
        <v>30</v>
      </c>
      <c r="D1875" s="108">
        <v>21.322999999999901</v>
      </c>
      <c r="E1875" s="108">
        <v>4.8800610049096402</v>
      </c>
      <c r="F1875" s="108" t="s">
        <v>135</v>
      </c>
      <c r="G1875" s="108"/>
      <c r="H1875" s="108">
        <v>1</v>
      </c>
    </row>
    <row r="1876" spans="1:8" ht="14">
      <c r="A1876" s="108">
        <v>2009</v>
      </c>
      <c r="B1876" s="108">
        <v>63</v>
      </c>
      <c r="C1876" s="108" t="s">
        <v>138</v>
      </c>
      <c r="D1876" s="108">
        <v>13.598000000000001</v>
      </c>
      <c r="E1876" s="108">
        <v>1.841</v>
      </c>
      <c r="F1876" s="108" t="s">
        <v>135</v>
      </c>
      <c r="G1876" s="108"/>
      <c r="H1876" s="108">
        <v>1</v>
      </c>
    </row>
    <row r="1877" spans="1:8" ht="14">
      <c r="A1877" s="108">
        <v>2009</v>
      </c>
      <c r="B1877" s="108">
        <v>63</v>
      </c>
      <c r="C1877" s="108" t="s">
        <v>138</v>
      </c>
      <c r="D1877" s="108">
        <v>7795.4649999999901</v>
      </c>
      <c r="E1877" s="108">
        <v>345.88899999999899</v>
      </c>
      <c r="F1877" s="108" t="s">
        <v>136</v>
      </c>
      <c r="G1877" s="108"/>
      <c r="H1877" s="108">
        <v>1</v>
      </c>
    </row>
    <row r="1878" spans="1:8" ht="14">
      <c r="A1878" s="108">
        <v>2009</v>
      </c>
      <c r="B1878" s="108">
        <v>63</v>
      </c>
      <c r="C1878" s="108" t="s">
        <v>139</v>
      </c>
      <c r="D1878" s="108">
        <v>7.7249999999999899</v>
      </c>
      <c r="E1878" s="108">
        <v>3.03906100490964</v>
      </c>
      <c r="F1878" s="108" t="s">
        <v>135</v>
      </c>
      <c r="G1878" s="108"/>
      <c r="H1878" s="108">
        <v>1</v>
      </c>
    </row>
    <row r="1879" spans="1:8" ht="14">
      <c r="A1879" s="108">
        <v>2009</v>
      </c>
      <c r="B1879" s="108">
        <v>63</v>
      </c>
      <c r="C1879" s="108" t="s">
        <v>139</v>
      </c>
      <c r="D1879" s="108">
        <v>3206.6699999999901</v>
      </c>
      <c r="E1879" s="108">
        <v>325.62993899509001</v>
      </c>
      <c r="F1879" s="108" t="s">
        <v>136</v>
      </c>
      <c r="G1879" s="108"/>
      <c r="H1879" s="108">
        <v>1</v>
      </c>
    </row>
    <row r="1880" spans="1:8" ht="14">
      <c r="A1880" s="108">
        <v>2009</v>
      </c>
      <c r="B1880" s="108">
        <v>69</v>
      </c>
      <c r="C1880" s="108" t="s">
        <v>30</v>
      </c>
      <c r="D1880" s="108">
        <v>29.362866889061699</v>
      </c>
      <c r="E1880" s="108">
        <v>3.8663379484654499</v>
      </c>
      <c r="F1880" s="108" t="s">
        <v>136</v>
      </c>
      <c r="G1880" s="108"/>
      <c r="H1880" s="108">
        <v>1</v>
      </c>
    </row>
    <row r="1881" spans="1:8" ht="14">
      <c r="A1881" s="108">
        <v>2009</v>
      </c>
      <c r="B1881" s="108">
        <v>69</v>
      </c>
      <c r="C1881" s="108" t="s">
        <v>30</v>
      </c>
      <c r="D1881" s="108">
        <v>344.04713311093798</v>
      </c>
      <c r="E1881" s="108">
        <v>24.799662051534501</v>
      </c>
      <c r="F1881" s="108" t="s">
        <v>135</v>
      </c>
      <c r="G1881" s="108"/>
      <c r="H1881" s="108">
        <v>1</v>
      </c>
    </row>
    <row r="1882" spans="1:8" ht="14">
      <c r="A1882" s="108">
        <v>2009</v>
      </c>
      <c r="B1882" s="108">
        <v>69</v>
      </c>
      <c r="C1882" s="108" t="s">
        <v>138</v>
      </c>
      <c r="D1882" s="108">
        <v>18.7566100459692</v>
      </c>
      <c r="E1882" s="108">
        <v>1.9629423929098899</v>
      </c>
      <c r="F1882" s="108" t="s">
        <v>136</v>
      </c>
      <c r="G1882" s="108"/>
      <c r="H1882" s="108">
        <v>1</v>
      </c>
    </row>
    <row r="1883" spans="1:8" ht="14">
      <c r="A1883" s="108">
        <v>2009</v>
      </c>
      <c r="B1883" s="108">
        <v>69</v>
      </c>
      <c r="C1883" s="108" t="s">
        <v>138</v>
      </c>
      <c r="D1883" s="108">
        <v>168.16038995402999</v>
      </c>
      <c r="E1883" s="108">
        <v>12.1240576070901</v>
      </c>
      <c r="F1883" s="108" t="s">
        <v>135</v>
      </c>
      <c r="G1883" s="108"/>
      <c r="H1883" s="108">
        <v>1</v>
      </c>
    </row>
    <row r="1884" spans="1:8" ht="14">
      <c r="A1884" s="108">
        <v>2009</v>
      </c>
      <c r="B1884" s="108">
        <v>69</v>
      </c>
      <c r="C1884" s="108" t="s">
        <v>139</v>
      </c>
      <c r="D1884" s="108">
        <v>175.88674315690699</v>
      </c>
      <c r="E1884" s="108">
        <v>12.675604444444399</v>
      </c>
      <c r="F1884" s="108" t="s">
        <v>135</v>
      </c>
      <c r="G1884" s="108"/>
      <c r="H1884" s="108">
        <v>1</v>
      </c>
    </row>
    <row r="1885" spans="1:8" ht="14">
      <c r="A1885" s="108">
        <v>2009</v>
      </c>
      <c r="B1885" s="108">
        <v>69</v>
      </c>
      <c r="C1885" s="108" t="s">
        <v>139</v>
      </c>
      <c r="D1885" s="108">
        <v>10.6062568430924</v>
      </c>
      <c r="E1885" s="108">
        <v>1.90339555555555</v>
      </c>
      <c r="F1885" s="108" t="s">
        <v>136</v>
      </c>
      <c r="G1885" s="108"/>
      <c r="H1885" s="108">
        <v>1</v>
      </c>
    </row>
    <row r="1886" spans="1:8" ht="14">
      <c r="A1886" s="108">
        <v>2009</v>
      </c>
      <c r="B1886" s="108">
        <v>91</v>
      </c>
      <c r="C1886" s="108" t="s">
        <v>30</v>
      </c>
      <c r="D1886" s="108">
        <v>5153.7207994882701</v>
      </c>
      <c r="E1886" s="108">
        <v>0</v>
      </c>
      <c r="F1886" s="108" t="s">
        <v>136</v>
      </c>
      <c r="G1886" s="108"/>
      <c r="H1886" s="108">
        <v>1</v>
      </c>
    </row>
    <row r="1887" spans="1:8" ht="14">
      <c r="A1887" s="108">
        <v>2009</v>
      </c>
      <c r="B1887" s="108">
        <v>91</v>
      </c>
      <c r="C1887" s="108" t="s">
        <v>30</v>
      </c>
      <c r="D1887" s="108">
        <v>88.919200511726203</v>
      </c>
      <c r="E1887" s="108">
        <v>0</v>
      </c>
      <c r="F1887" s="108" t="s">
        <v>135</v>
      </c>
      <c r="G1887" s="108"/>
      <c r="H1887" s="108">
        <v>1</v>
      </c>
    </row>
    <row r="1888" spans="1:8" ht="14">
      <c r="A1888" s="108">
        <v>2009</v>
      </c>
      <c r="B1888" s="108">
        <v>91</v>
      </c>
      <c r="C1888" s="108" t="s">
        <v>138</v>
      </c>
      <c r="D1888" s="108">
        <v>82.435506554817195</v>
      </c>
      <c r="E1888" s="108">
        <v>0</v>
      </c>
      <c r="F1888" s="108" t="s">
        <v>135</v>
      </c>
      <c r="G1888" s="108"/>
      <c r="H1888" s="108">
        <v>1</v>
      </c>
    </row>
    <row r="1889" spans="1:8" ht="14">
      <c r="A1889" s="108">
        <v>2009</v>
      </c>
      <c r="B1889" s="108">
        <v>91</v>
      </c>
      <c r="C1889" s="108" t="s">
        <v>138</v>
      </c>
      <c r="D1889" s="108">
        <v>5046.7454934451798</v>
      </c>
      <c r="E1889" s="108">
        <v>0</v>
      </c>
      <c r="F1889" s="108" t="s">
        <v>136</v>
      </c>
      <c r="G1889" s="108"/>
      <c r="H1889" s="108">
        <v>1</v>
      </c>
    </row>
    <row r="1890" spans="1:8" ht="14">
      <c r="A1890" s="108">
        <v>2009</v>
      </c>
      <c r="B1890" s="108">
        <v>91</v>
      </c>
      <c r="C1890" s="108" t="s">
        <v>139</v>
      </c>
      <c r="D1890" s="108">
        <v>106.975306043091</v>
      </c>
      <c r="E1890" s="108">
        <v>0</v>
      </c>
      <c r="F1890" s="108" t="s">
        <v>136</v>
      </c>
      <c r="G1890" s="108"/>
      <c r="H1890" s="108">
        <v>1</v>
      </c>
    </row>
    <row r="1891" spans="1:8" ht="14">
      <c r="A1891" s="108">
        <v>2009</v>
      </c>
      <c r="B1891" s="108">
        <v>91</v>
      </c>
      <c r="C1891" s="108" t="s">
        <v>139</v>
      </c>
      <c r="D1891" s="108">
        <v>6.48369395690895</v>
      </c>
      <c r="E1891" s="108">
        <v>0</v>
      </c>
      <c r="F1891" s="108" t="s">
        <v>135</v>
      </c>
      <c r="G1891" s="108"/>
      <c r="H1891" s="108">
        <v>1</v>
      </c>
    </row>
    <row r="1892" spans="1:8" ht="14">
      <c r="A1892" s="108">
        <v>2009</v>
      </c>
      <c r="B1892" s="108">
        <v>92</v>
      </c>
      <c r="C1892" s="108" t="s">
        <v>30</v>
      </c>
      <c r="D1892" s="108">
        <v>2.3170000000000002</v>
      </c>
      <c r="E1892" s="108">
        <v>0</v>
      </c>
      <c r="F1892" s="108" t="s">
        <v>137</v>
      </c>
      <c r="G1892" s="108"/>
      <c r="H1892" s="108">
        <v>1</v>
      </c>
    </row>
    <row r="1893" spans="1:8" ht="14">
      <c r="A1893" s="108">
        <v>2009</v>
      </c>
      <c r="B1893" s="108">
        <v>92</v>
      </c>
      <c r="C1893" s="108" t="s">
        <v>30</v>
      </c>
      <c r="D1893" s="108">
        <v>6049.1953801074496</v>
      </c>
      <c r="E1893" s="108">
        <v>0</v>
      </c>
      <c r="F1893" s="108" t="s">
        <v>136</v>
      </c>
      <c r="G1893" s="108"/>
      <c r="H1893" s="108">
        <v>1</v>
      </c>
    </row>
    <row r="1894" spans="1:8" ht="14">
      <c r="A1894" s="108">
        <v>2009</v>
      </c>
      <c r="B1894" s="108">
        <v>92</v>
      </c>
      <c r="C1894" s="108" t="s">
        <v>30</v>
      </c>
      <c r="D1894" s="108">
        <v>130.68961989254299</v>
      </c>
      <c r="E1894" s="108">
        <v>0</v>
      </c>
      <c r="F1894" s="108" t="s">
        <v>135</v>
      </c>
      <c r="G1894" s="108"/>
      <c r="H1894" s="108">
        <v>1</v>
      </c>
    </row>
    <row r="1895" spans="1:8" ht="14">
      <c r="A1895" s="108">
        <v>2009</v>
      </c>
      <c r="B1895" s="108">
        <v>92</v>
      </c>
      <c r="C1895" s="108" t="s">
        <v>138</v>
      </c>
      <c r="D1895" s="108">
        <v>63.020260302761002</v>
      </c>
      <c r="E1895" s="108">
        <v>0</v>
      </c>
      <c r="F1895" s="108" t="s">
        <v>135</v>
      </c>
      <c r="G1895" s="108"/>
      <c r="H1895" s="108">
        <v>1</v>
      </c>
    </row>
    <row r="1896" spans="1:8" ht="14">
      <c r="A1896" s="108">
        <v>2009</v>
      </c>
      <c r="B1896" s="108">
        <v>92</v>
      </c>
      <c r="C1896" s="108" t="s">
        <v>138</v>
      </c>
      <c r="D1896" s="108">
        <v>2837.7387396972299</v>
      </c>
      <c r="E1896" s="108">
        <v>0</v>
      </c>
      <c r="F1896" s="108" t="s">
        <v>136</v>
      </c>
      <c r="G1896" s="108"/>
      <c r="H1896" s="108">
        <v>1</v>
      </c>
    </row>
    <row r="1897" spans="1:8" ht="14">
      <c r="A1897" s="108">
        <v>2009</v>
      </c>
      <c r="B1897" s="108">
        <v>92</v>
      </c>
      <c r="C1897" s="108" t="s">
        <v>139</v>
      </c>
      <c r="D1897" s="108">
        <v>3211.4566404102102</v>
      </c>
      <c r="E1897" s="108">
        <v>0</v>
      </c>
      <c r="F1897" s="108" t="s">
        <v>136</v>
      </c>
      <c r="G1897" s="108"/>
      <c r="H1897" s="108">
        <v>1</v>
      </c>
    </row>
    <row r="1898" spans="1:8" ht="14">
      <c r="A1898" s="108">
        <v>2009</v>
      </c>
      <c r="B1898" s="108">
        <v>92</v>
      </c>
      <c r="C1898" s="108" t="s">
        <v>139</v>
      </c>
      <c r="D1898" s="108">
        <v>67.669359589782601</v>
      </c>
      <c r="E1898" s="108">
        <v>0</v>
      </c>
      <c r="F1898" s="108" t="s">
        <v>135</v>
      </c>
      <c r="G1898" s="108"/>
      <c r="H1898" s="108">
        <v>1</v>
      </c>
    </row>
    <row r="1899" spans="1:8" ht="14">
      <c r="A1899" s="108">
        <v>2009</v>
      </c>
      <c r="B1899" s="108">
        <v>92</v>
      </c>
      <c r="C1899" s="108" t="s">
        <v>139</v>
      </c>
      <c r="D1899" s="108">
        <v>2.3170000000000002</v>
      </c>
      <c r="E1899" s="108">
        <v>0</v>
      </c>
      <c r="F1899" s="108" t="s">
        <v>137</v>
      </c>
      <c r="G1899" s="108"/>
      <c r="H1899" s="108">
        <v>1</v>
      </c>
    </row>
    <row r="1900" spans="1:8" ht="14">
      <c r="A1900" s="108">
        <v>2009</v>
      </c>
      <c r="B1900" s="108">
        <v>99</v>
      </c>
      <c r="C1900" s="108" t="s">
        <v>30</v>
      </c>
      <c r="D1900" s="108">
        <v>0</v>
      </c>
      <c r="E1900" s="108">
        <v>0</v>
      </c>
      <c r="F1900" s="108" t="s">
        <v>137</v>
      </c>
      <c r="G1900" s="108"/>
      <c r="H1900" s="108">
        <v>1</v>
      </c>
    </row>
    <row r="1901" spans="1:8" ht="14">
      <c r="A1901" s="108">
        <v>2009</v>
      </c>
      <c r="B1901" s="108">
        <v>99</v>
      </c>
      <c r="C1901" s="108" t="s">
        <v>30</v>
      </c>
      <c r="D1901" s="108">
        <v>2282.5431162659202</v>
      </c>
      <c r="E1901" s="108">
        <v>0</v>
      </c>
      <c r="F1901" s="108" t="s">
        <v>135</v>
      </c>
      <c r="G1901" s="108"/>
      <c r="H1901" s="108">
        <v>1</v>
      </c>
    </row>
    <row r="1902" spans="1:8" ht="14">
      <c r="A1902" s="108">
        <v>2009</v>
      </c>
      <c r="B1902" s="108">
        <v>99</v>
      </c>
      <c r="C1902" s="108" t="s">
        <v>30</v>
      </c>
      <c r="D1902" s="108">
        <v>3168.91288373407</v>
      </c>
      <c r="E1902" s="108">
        <v>0</v>
      </c>
      <c r="F1902" s="108" t="s">
        <v>136</v>
      </c>
      <c r="G1902" s="108"/>
      <c r="H1902" s="108">
        <v>1</v>
      </c>
    </row>
    <row r="1903" spans="1:8" ht="14">
      <c r="A1903" s="108">
        <v>2009</v>
      </c>
      <c r="B1903" s="108">
        <v>99</v>
      </c>
      <c r="C1903" s="108" t="s">
        <v>138</v>
      </c>
      <c r="D1903" s="108">
        <v>718.27872109105897</v>
      </c>
      <c r="E1903" s="108">
        <v>0</v>
      </c>
      <c r="F1903" s="108" t="s">
        <v>135</v>
      </c>
      <c r="G1903" s="108"/>
      <c r="H1903" s="108">
        <v>1</v>
      </c>
    </row>
    <row r="1904" spans="1:8" ht="14">
      <c r="A1904" s="108">
        <v>2009</v>
      </c>
      <c r="B1904" s="108">
        <v>99</v>
      </c>
      <c r="C1904" s="108" t="s">
        <v>138</v>
      </c>
      <c r="D1904" s="108">
        <v>2238.9172789089398</v>
      </c>
      <c r="E1904" s="108">
        <v>0</v>
      </c>
      <c r="F1904" s="108" t="s">
        <v>136</v>
      </c>
      <c r="G1904" s="108"/>
      <c r="H1904" s="108">
        <v>1</v>
      </c>
    </row>
    <row r="1905" spans="1:8" ht="14">
      <c r="A1905" s="108">
        <v>2009</v>
      </c>
      <c r="B1905" s="108">
        <v>99</v>
      </c>
      <c r="C1905" s="108" t="s">
        <v>138</v>
      </c>
      <c r="D1905" s="108">
        <v>0</v>
      </c>
      <c r="E1905" s="108">
        <v>0</v>
      </c>
      <c r="F1905" s="108" t="s">
        <v>137</v>
      </c>
      <c r="G1905" s="108"/>
      <c r="H1905" s="108">
        <v>1</v>
      </c>
    </row>
    <row r="1906" spans="1:8" ht="14">
      <c r="A1906" s="108">
        <v>2009</v>
      </c>
      <c r="B1906" s="108">
        <v>99</v>
      </c>
      <c r="C1906" s="108" t="s">
        <v>139</v>
      </c>
      <c r="D1906" s="108">
        <v>929.99560482513004</v>
      </c>
      <c r="E1906" s="108">
        <v>0</v>
      </c>
      <c r="F1906" s="108" t="s">
        <v>136</v>
      </c>
      <c r="G1906" s="108"/>
      <c r="H1906" s="108">
        <v>1</v>
      </c>
    </row>
    <row r="1907" spans="1:8" ht="14">
      <c r="A1907" s="108">
        <v>2009</v>
      </c>
      <c r="B1907" s="108">
        <v>99</v>
      </c>
      <c r="C1907" s="108" t="s">
        <v>139</v>
      </c>
      <c r="D1907" s="108">
        <v>1564.2643951748601</v>
      </c>
      <c r="E1907" s="108">
        <v>0</v>
      </c>
      <c r="F1907" s="108" t="s">
        <v>135</v>
      </c>
      <c r="G1907" s="108"/>
      <c r="H1907" s="108">
        <v>1</v>
      </c>
    </row>
    <row r="1908" spans="1:8" ht="14">
      <c r="A1908" s="108">
        <v>2010</v>
      </c>
      <c r="B1908" s="108">
        <v>11</v>
      </c>
      <c r="C1908" s="108" t="s">
        <v>30</v>
      </c>
      <c r="D1908" s="108">
        <v>19075.4063163752</v>
      </c>
      <c r="E1908" s="108">
        <v>0</v>
      </c>
      <c r="F1908" s="108" t="s">
        <v>136</v>
      </c>
      <c r="G1908" s="108"/>
      <c r="H1908" s="108">
        <v>1</v>
      </c>
    </row>
    <row r="1909" spans="1:8" ht="14">
      <c r="A1909" s="108">
        <v>2010</v>
      </c>
      <c r="B1909" s="108">
        <v>11</v>
      </c>
      <c r="C1909" s="108" t="s">
        <v>30</v>
      </c>
      <c r="D1909" s="108">
        <v>2164.6476836247498</v>
      </c>
      <c r="E1909" s="108">
        <v>0</v>
      </c>
      <c r="F1909" s="108" t="s">
        <v>135</v>
      </c>
      <c r="G1909" s="108"/>
      <c r="H1909" s="108">
        <v>1</v>
      </c>
    </row>
    <row r="1910" spans="1:8" ht="14">
      <c r="A1910" s="108">
        <v>2010</v>
      </c>
      <c r="B1910" s="108">
        <v>11</v>
      </c>
      <c r="C1910" s="108" t="s">
        <v>138</v>
      </c>
      <c r="D1910" s="108">
        <v>15524.670539197799</v>
      </c>
      <c r="E1910" s="108">
        <v>0</v>
      </c>
      <c r="F1910" s="108" t="s">
        <v>136</v>
      </c>
      <c r="G1910" s="108"/>
      <c r="H1910" s="108">
        <v>1</v>
      </c>
    </row>
    <row r="1911" spans="1:8" ht="14">
      <c r="A1911" s="108">
        <v>2010</v>
      </c>
      <c r="B1911" s="108">
        <v>11</v>
      </c>
      <c r="C1911" s="108" t="s">
        <v>138</v>
      </c>
      <c r="D1911" s="108">
        <v>944.55546080215197</v>
      </c>
      <c r="E1911" s="108">
        <v>0</v>
      </c>
      <c r="F1911" s="108" t="s">
        <v>135</v>
      </c>
      <c r="G1911" s="108"/>
      <c r="H1911" s="108">
        <v>1</v>
      </c>
    </row>
    <row r="1912" spans="1:8" ht="14">
      <c r="A1912" s="108">
        <v>2010</v>
      </c>
      <c r="B1912" s="108">
        <v>11</v>
      </c>
      <c r="C1912" s="108" t="s">
        <v>139</v>
      </c>
      <c r="D1912" s="108">
        <v>3550.73577717739</v>
      </c>
      <c r="E1912" s="108">
        <v>0</v>
      </c>
      <c r="F1912" s="108" t="s">
        <v>136</v>
      </c>
      <c r="G1912" s="108"/>
      <c r="H1912" s="108">
        <v>1</v>
      </c>
    </row>
    <row r="1913" spans="1:8" ht="14">
      <c r="A1913" s="108">
        <v>2010</v>
      </c>
      <c r="B1913" s="108">
        <v>11</v>
      </c>
      <c r="C1913" s="108" t="s">
        <v>139</v>
      </c>
      <c r="D1913" s="108">
        <v>1220.0922228226</v>
      </c>
      <c r="E1913" s="108">
        <v>0</v>
      </c>
      <c r="F1913" s="108" t="s">
        <v>135</v>
      </c>
      <c r="G1913" s="108"/>
      <c r="H1913" s="108">
        <v>1</v>
      </c>
    </row>
    <row r="1914" spans="1:8" ht="14">
      <c r="A1914" s="108">
        <v>2010</v>
      </c>
      <c r="B1914" s="108">
        <v>12</v>
      </c>
      <c r="C1914" s="108" t="s">
        <v>30</v>
      </c>
      <c r="D1914" s="108">
        <v>88.745338463429107</v>
      </c>
      <c r="E1914" s="108">
        <v>0</v>
      </c>
      <c r="F1914" s="108" t="s">
        <v>137</v>
      </c>
      <c r="G1914" s="108"/>
      <c r="H1914" s="108">
        <v>1</v>
      </c>
    </row>
    <row r="1915" spans="1:8" ht="14">
      <c r="A1915" s="108">
        <v>2010</v>
      </c>
      <c r="B1915" s="108">
        <v>12</v>
      </c>
      <c r="C1915" s="108" t="s">
        <v>30</v>
      </c>
      <c r="D1915" s="108">
        <v>75273.055382327497</v>
      </c>
      <c r="E1915" s="108">
        <v>0</v>
      </c>
      <c r="F1915" s="108" t="s">
        <v>136</v>
      </c>
      <c r="G1915" s="108"/>
      <c r="H1915" s="108">
        <v>1</v>
      </c>
    </row>
    <row r="1916" spans="1:8" ht="14">
      <c r="A1916" s="108">
        <v>2010</v>
      </c>
      <c r="B1916" s="108">
        <v>12</v>
      </c>
      <c r="C1916" s="108" t="s">
        <v>30</v>
      </c>
      <c r="D1916" s="108">
        <v>42827.040279209003</v>
      </c>
      <c r="E1916" s="108">
        <v>0</v>
      </c>
      <c r="F1916" s="108" t="s">
        <v>135</v>
      </c>
      <c r="G1916" s="108"/>
      <c r="H1916" s="108">
        <v>1</v>
      </c>
    </row>
    <row r="1917" spans="1:8" ht="14">
      <c r="A1917" s="108">
        <v>2010</v>
      </c>
      <c r="B1917" s="108">
        <v>12</v>
      </c>
      <c r="C1917" s="108" t="s">
        <v>138</v>
      </c>
      <c r="D1917" s="108">
        <v>24760.859934584401</v>
      </c>
      <c r="E1917" s="108">
        <v>0</v>
      </c>
      <c r="F1917" s="108" t="s">
        <v>135</v>
      </c>
      <c r="G1917" s="108"/>
      <c r="H1917" s="108">
        <v>1</v>
      </c>
    </row>
    <row r="1918" spans="1:8" ht="14">
      <c r="A1918" s="108">
        <v>2010</v>
      </c>
      <c r="B1918" s="108">
        <v>12</v>
      </c>
      <c r="C1918" s="108" t="s">
        <v>138</v>
      </c>
      <c r="D1918" s="108">
        <v>88.745338463429107</v>
      </c>
      <c r="E1918" s="108">
        <v>0</v>
      </c>
      <c r="F1918" s="108" t="s">
        <v>137</v>
      </c>
      <c r="G1918" s="108"/>
      <c r="H1918" s="108">
        <v>1</v>
      </c>
    </row>
    <row r="1919" spans="1:8" ht="14">
      <c r="A1919" s="108">
        <v>2010</v>
      </c>
      <c r="B1919" s="108">
        <v>12</v>
      </c>
      <c r="C1919" s="108" t="s">
        <v>138</v>
      </c>
      <c r="D1919" s="108">
        <v>39817.961726952097</v>
      </c>
      <c r="E1919" s="108">
        <v>0</v>
      </c>
      <c r="F1919" s="108" t="s">
        <v>136</v>
      </c>
      <c r="G1919" s="108"/>
      <c r="H1919" s="108">
        <v>1</v>
      </c>
    </row>
    <row r="1920" spans="1:8" ht="14">
      <c r="A1920" s="108">
        <v>2010</v>
      </c>
      <c r="B1920" s="108">
        <v>12</v>
      </c>
      <c r="C1920" s="108" t="s">
        <v>139</v>
      </c>
      <c r="D1920" s="108">
        <v>18066.180344624601</v>
      </c>
      <c r="E1920" s="108">
        <v>0</v>
      </c>
      <c r="F1920" s="108" t="s">
        <v>135</v>
      </c>
      <c r="G1920" s="108"/>
      <c r="H1920" s="108">
        <v>1</v>
      </c>
    </row>
    <row r="1921" spans="1:8" ht="14">
      <c r="A1921" s="108">
        <v>2010</v>
      </c>
      <c r="B1921" s="108">
        <v>12</v>
      </c>
      <c r="C1921" s="108" t="s">
        <v>139</v>
      </c>
      <c r="D1921" s="108">
        <v>35455.093655375298</v>
      </c>
      <c r="E1921" s="108">
        <v>0</v>
      </c>
      <c r="F1921" s="108" t="s">
        <v>136</v>
      </c>
      <c r="G1921" s="108"/>
      <c r="H1921" s="108">
        <v>1</v>
      </c>
    </row>
    <row r="1922" spans="1:8" ht="14">
      <c r="A1922" s="108">
        <v>2010</v>
      </c>
      <c r="B1922" s="108">
        <v>13</v>
      </c>
      <c r="C1922" s="108" t="s">
        <v>30</v>
      </c>
      <c r="D1922" s="108">
        <v>61106.924607477202</v>
      </c>
      <c r="E1922" s="108">
        <v>0</v>
      </c>
      <c r="F1922" s="108" t="s">
        <v>136</v>
      </c>
      <c r="G1922" s="108"/>
      <c r="H1922" s="108">
        <v>1</v>
      </c>
    </row>
    <row r="1923" spans="1:8" ht="14">
      <c r="A1923" s="108">
        <v>2010</v>
      </c>
      <c r="B1923" s="108">
        <v>13</v>
      </c>
      <c r="C1923" s="108" t="s">
        <v>30</v>
      </c>
      <c r="D1923" s="108">
        <v>18308.3423925227</v>
      </c>
      <c r="E1923" s="108">
        <v>0</v>
      </c>
      <c r="F1923" s="108" t="s">
        <v>135</v>
      </c>
      <c r="G1923" s="108"/>
      <c r="H1923" s="108">
        <v>1</v>
      </c>
    </row>
    <row r="1924" spans="1:8" ht="14">
      <c r="A1924" s="108">
        <v>2010</v>
      </c>
      <c r="B1924" s="108">
        <v>13</v>
      </c>
      <c r="C1924" s="108" t="s">
        <v>138</v>
      </c>
      <c r="D1924" s="108">
        <v>9393.0382737404198</v>
      </c>
      <c r="E1924" s="108">
        <v>0</v>
      </c>
      <c r="F1924" s="108" t="s">
        <v>135</v>
      </c>
      <c r="G1924" s="108"/>
      <c r="H1924" s="108">
        <v>1</v>
      </c>
    </row>
    <row r="1925" spans="1:8" ht="14">
      <c r="A1925" s="108">
        <v>2010</v>
      </c>
      <c r="B1925" s="108">
        <v>13</v>
      </c>
      <c r="C1925" s="108" t="s">
        <v>138</v>
      </c>
      <c r="D1925" s="108">
        <v>32439.475726259501</v>
      </c>
      <c r="E1925" s="108">
        <v>0</v>
      </c>
      <c r="F1925" s="108" t="s">
        <v>136</v>
      </c>
      <c r="G1925" s="108"/>
      <c r="H1925" s="108">
        <v>1</v>
      </c>
    </row>
    <row r="1926" spans="1:8" ht="14">
      <c r="A1926" s="108">
        <v>2010</v>
      </c>
      <c r="B1926" s="108">
        <v>13</v>
      </c>
      <c r="C1926" s="108" t="s">
        <v>139</v>
      </c>
      <c r="D1926" s="108">
        <v>28667.448881217599</v>
      </c>
      <c r="E1926" s="108">
        <v>0</v>
      </c>
      <c r="F1926" s="108" t="s">
        <v>136</v>
      </c>
      <c r="G1926" s="108"/>
      <c r="H1926" s="108">
        <v>1</v>
      </c>
    </row>
    <row r="1927" spans="1:8" ht="14">
      <c r="A1927" s="108">
        <v>2010</v>
      </c>
      <c r="B1927" s="108">
        <v>13</v>
      </c>
      <c r="C1927" s="108" t="s">
        <v>139</v>
      </c>
      <c r="D1927" s="108">
        <v>8915.3041187823601</v>
      </c>
      <c r="E1927" s="108">
        <v>0</v>
      </c>
      <c r="F1927" s="108" t="s">
        <v>135</v>
      </c>
      <c r="G1927" s="108"/>
      <c r="H1927" s="108">
        <v>1</v>
      </c>
    </row>
    <row r="1928" spans="1:8" ht="14">
      <c r="A1928" s="108">
        <v>2010</v>
      </c>
      <c r="B1928" s="108">
        <v>19</v>
      </c>
      <c r="C1928" s="108" t="s">
        <v>30</v>
      </c>
      <c r="D1928" s="108">
        <v>0.02</v>
      </c>
      <c r="E1928" s="108">
        <v>0</v>
      </c>
      <c r="F1928" s="108" t="s">
        <v>137</v>
      </c>
      <c r="G1928" s="108"/>
      <c r="H1928" s="108">
        <v>1</v>
      </c>
    </row>
    <row r="1929" spans="1:8" ht="14">
      <c r="A1929" s="108">
        <v>2010</v>
      </c>
      <c r="B1929" s="108">
        <v>19</v>
      </c>
      <c r="C1929" s="108" t="s">
        <v>30</v>
      </c>
      <c r="D1929" s="108">
        <v>10522.818062082801</v>
      </c>
      <c r="E1929" s="108">
        <v>0</v>
      </c>
      <c r="F1929" s="108" t="s">
        <v>136</v>
      </c>
      <c r="G1929" s="108"/>
      <c r="H1929" s="108">
        <v>1</v>
      </c>
    </row>
    <row r="1930" spans="1:8" ht="14">
      <c r="A1930" s="108">
        <v>2010</v>
      </c>
      <c r="B1930" s="108">
        <v>19</v>
      </c>
      <c r="C1930" s="108" t="s">
        <v>30</v>
      </c>
      <c r="D1930" s="108">
        <v>2242.28793791717</v>
      </c>
      <c r="E1930" s="108">
        <v>0</v>
      </c>
      <c r="F1930" s="108" t="s">
        <v>135</v>
      </c>
      <c r="G1930" s="108"/>
      <c r="H1930" s="108">
        <v>1</v>
      </c>
    </row>
    <row r="1931" spans="1:8" ht="14">
      <c r="A1931" s="108">
        <v>2010</v>
      </c>
      <c r="B1931" s="108">
        <v>19</v>
      </c>
      <c r="C1931" s="108" t="s">
        <v>138</v>
      </c>
      <c r="D1931" s="108">
        <v>5928.0154062773599</v>
      </c>
      <c r="E1931" s="108">
        <v>0</v>
      </c>
      <c r="F1931" s="108" t="s">
        <v>136</v>
      </c>
      <c r="G1931" s="108"/>
      <c r="H1931" s="108">
        <v>1</v>
      </c>
    </row>
    <row r="1932" spans="1:8" ht="14">
      <c r="A1932" s="108">
        <v>2010</v>
      </c>
      <c r="B1932" s="108">
        <v>19</v>
      </c>
      <c r="C1932" s="108" t="s">
        <v>138</v>
      </c>
      <c r="D1932" s="108">
        <v>981.16959372263602</v>
      </c>
      <c r="E1932" s="108">
        <v>0</v>
      </c>
      <c r="F1932" s="108" t="s">
        <v>135</v>
      </c>
      <c r="G1932" s="108"/>
      <c r="H1932" s="108">
        <v>1</v>
      </c>
    </row>
    <row r="1933" spans="1:8" ht="14">
      <c r="A1933" s="108">
        <v>2010</v>
      </c>
      <c r="B1933" s="108">
        <v>19</v>
      </c>
      <c r="C1933" s="108" t="s">
        <v>139</v>
      </c>
      <c r="D1933" s="108">
        <v>0.02</v>
      </c>
      <c r="E1933" s="108">
        <v>0</v>
      </c>
      <c r="F1933" s="108" t="s">
        <v>137</v>
      </c>
      <c r="G1933" s="108"/>
      <c r="H1933" s="108">
        <v>1</v>
      </c>
    </row>
    <row r="1934" spans="1:8" ht="14">
      <c r="A1934" s="108">
        <v>2010</v>
      </c>
      <c r="B1934" s="108">
        <v>19</v>
      </c>
      <c r="C1934" s="108" t="s">
        <v>139</v>
      </c>
      <c r="D1934" s="108">
        <v>1261.11834419453</v>
      </c>
      <c r="E1934" s="108">
        <v>0</v>
      </c>
      <c r="F1934" s="108" t="s">
        <v>135</v>
      </c>
      <c r="G1934" s="108"/>
      <c r="H1934" s="108">
        <v>1</v>
      </c>
    </row>
    <row r="1935" spans="1:8" ht="14">
      <c r="A1935" s="108">
        <v>2010</v>
      </c>
      <c r="B1935" s="108">
        <v>19</v>
      </c>
      <c r="C1935" s="108" t="s">
        <v>139</v>
      </c>
      <c r="D1935" s="108">
        <v>4594.8026558054598</v>
      </c>
      <c r="E1935" s="108">
        <v>0</v>
      </c>
      <c r="F1935" s="108" t="s">
        <v>136</v>
      </c>
      <c r="G1935" s="108"/>
      <c r="H1935" s="108">
        <v>1</v>
      </c>
    </row>
    <row r="1936" spans="1:8" ht="14">
      <c r="A1936" s="108">
        <v>2010</v>
      </c>
      <c r="B1936" s="108">
        <v>21</v>
      </c>
      <c r="C1936" s="108" t="s">
        <v>30</v>
      </c>
      <c r="D1936" s="108">
        <v>17699.929557223499</v>
      </c>
      <c r="E1936" s="108">
        <v>0</v>
      </c>
      <c r="F1936" s="108" t="s">
        <v>136</v>
      </c>
      <c r="G1936" s="108"/>
      <c r="H1936" s="108">
        <v>1</v>
      </c>
    </row>
    <row r="1937" spans="1:8" ht="14">
      <c r="A1937" s="108">
        <v>2010</v>
      </c>
      <c r="B1937" s="108">
        <v>21</v>
      </c>
      <c r="C1937" s="108" t="s">
        <v>30</v>
      </c>
      <c r="D1937" s="108">
        <v>535.15944277650306</v>
      </c>
      <c r="E1937" s="108">
        <v>0</v>
      </c>
      <c r="F1937" s="108" t="s">
        <v>135</v>
      </c>
      <c r="G1937" s="108"/>
      <c r="H1937" s="108">
        <v>1</v>
      </c>
    </row>
    <row r="1938" spans="1:8" ht="14">
      <c r="A1938" s="108">
        <v>2010</v>
      </c>
      <c r="B1938" s="108">
        <v>21</v>
      </c>
      <c r="C1938" s="108" t="s">
        <v>138</v>
      </c>
      <c r="D1938" s="108">
        <v>337.15066600223099</v>
      </c>
      <c r="E1938" s="108">
        <v>0</v>
      </c>
      <c r="F1938" s="108" t="s">
        <v>135</v>
      </c>
      <c r="G1938" s="108"/>
      <c r="H1938" s="108">
        <v>1</v>
      </c>
    </row>
    <row r="1939" spans="1:8" ht="14">
      <c r="A1939" s="108">
        <v>2010</v>
      </c>
      <c r="B1939" s="108">
        <v>21</v>
      </c>
      <c r="C1939" s="108" t="s">
        <v>138</v>
      </c>
      <c r="D1939" s="108">
        <v>12496.5683339977</v>
      </c>
      <c r="E1939" s="108">
        <v>0</v>
      </c>
      <c r="F1939" s="108" t="s">
        <v>136</v>
      </c>
      <c r="G1939" s="108"/>
      <c r="H1939" s="108">
        <v>1</v>
      </c>
    </row>
    <row r="1940" spans="1:8" ht="14">
      <c r="A1940" s="108">
        <v>2010</v>
      </c>
      <c r="B1940" s="108">
        <v>21</v>
      </c>
      <c r="C1940" s="108" t="s">
        <v>139</v>
      </c>
      <c r="D1940" s="108">
        <v>198.00877677427101</v>
      </c>
      <c r="E1940" s="108">
        <v>0</v>
      </c>
      <c r="F1940" s="108" t="s">
        <v>135</v>
      </c>
      <c r="G1940" s="108"/>
      <c r="H1940" s="108">
        <v>1</v>
      </c>
    </row>
    <row r="1941" spans="1:8" ht="14">
      <c r="A1941" s="108">
        <v>2010</v>
      </c>
      <c r="B1941" s="108">
        <v>21</v>
      </c>
      <c r="C1941" s="108" t="s">
        <v>139</v>
      </c>
      <c r="D1941" s="108">
        <v>5203.3612232257201</v>
      </c>
      <c r="E1941" s="108">
        <v>0</v>
      </c>
      <c r="F1941" s="108" t="s">
        <v>136</v>
      </c>
      <c r="G1941" s="108"/>
      <c r="H1941" s="108">
        <v>1</v>
      </c>
    </row>
    <row r="1942" spans="1:8" ht="14">
      <c r="A1942" s="108">
        <v>2010</v>
      </c>
      <c r="B1942" s="108">
        <v>22</v>
      </c>
      <c r="C1942" s="108" t="s">
        <v>30</v>
      </c>
      <c r="D1942" s="108">
        <v>3888.50663885414</v>
      </c>
      <c r="E1942" s="108">
        <v>0</v>
      </c>
      <c r="F1942" s="108" t="s">
        <v>135</v>
      </c>
      <c r="G1942" s="108"/>
      <c r="H1942" s="108">
        <v>1</v>
      </c>
    </row>
    <row r="1943" spans="1:8" ht="14">
      <c r="A1943" s="108">
        <v>2010</v>
      </c>
      <c r="B1943" s="108">
        <v>22</v>
      </c>
      <c r="C1943" s="108" t="s">
        <v>30</v>
      </c>
      <c r="D1943" s="108">
        <v>25963.519361145802</v>
      </c>
      <c r="E1943" s="108">
        <v>0</v>
      </c>
      <c r="F1943" s="108" t="s">
        <v>136</v>
      </c>
      <c r="G1943" s="108"/>
      <c r="H1943" s="108">
        <v>1</v>
      </c>
    </row>
    <row r="1944" spans="1:8" ht="14">
      <c r="A1944" s="108">
        <v>2010</v>
      </c>
      <c r="B1944" s="108">
        <v>22</v>
      </c>
      <c r="C1944" s="108" t="s">
        <v>138</v>
      </c>
      <c r="D1944" s="108">
        <v>24805.169170315599</v>
      </c>
      <c r="E1944" s="108">
        <v>0</v>
      </c>
      <c r="F1944" s="108" t="s">
        <v>136</v>
      </c>
      <c r="G1944" s="108"/>
      <c r="H1944" s="108">
        <v>1</v>
      </c>
    </row>
    <row r="1945" spans="1:8" ht="14">
      <c r="A1945" s="108">
        <v>2010</v>
      </c>
      <c r="B1945" s="108">
        <v>22</v>
      </c>
      <c r="C1945" s="108" t="s">
        <v>138</v>
      </c>
      <c r="D1945" s="108">
        <v>1879.5918296843599</v>
      </c>
      <c r="E1945" s="108">
        <v>0</v>
      </c>
      <c r="F1945" s="108" t="s">
        <v>135</v>
      </c>
      <c r="G1945" s="108"/>
      <c r="H1945" s="108">
        <v>1</v>
      </c>
    </row>
    <row r="1946" spans="1:8" ht="14">
      <c r="A1946" s="108">
        <v>2010</v>
      </c>
      <c r="B1946" s="108">
        <v>22</v>
      </c>
      <c r="C1946" s="108" t="s">
        <v>139</v>
      </c>
      <c r="D1946" s="108">
        <v>1158.3501908302101</v>
      </c>
      <c r="E1946" s="108">
        <v>0</v>
      </c>
      <c r="F1946" s="108" t="s">
        <v>136</v>
      </c>
      <c r="G1946" s="108"/>
      <c r="H1946" s="108">
        <v>1</v>
      </c>
    </row>
    <row r="1947" spans="1:8" ht="14">
      <c r="A1947" s="108">
        <v>2010</v>
      </c>
      <c r="B1947" s="108">
        <v>22</v>
      </c>
      <c r="C1947" s="108" t="s">
        <v>139</v>
      </c>
      <c r="D1947" s="108">
        <v>2008.91480916978</v>
      </c>
      <c r="E1947" s="108">
        <v>0</v>
      </c>
      <c r="F1947" s="108" t="s">
        <v>135</v>
      </c>
      <c r="G1947" s="108"/>
      <c r="H1947" s="108">
        <v>1</v>
      </c>
    </row>
    <row r="1948" spans="1:8" ht="14">
      <c r="A1948" s="108">
        <v>2010</v>
      </c>
      <c r="B1948" s="108">
        <v>23</v>
      </c>
      <c r="C1948" s="108" t="s">
        <v>30</v>
      </c>
      <c r="D1948" s="108">
        <v>1720.1048840949099</v>
      </c>
      <c r="E1948" s="108">
        <v>0</v>
      </c>
      <c r="F1948" s="108" t="s">
        <v>135</v>
      </c>
      <c r="G1948" s="108"/>
      <c r="H1948" s="108">
        <v>1</v>
      </c>
    </row>
    <row r="1949" spans="1:8" ht="14">
      <c r="A1949" s="108">
        <v>2010</v>
      </c>
      <c r="B1949" s="108">
        <v>23</v>
      </c>
      <c r="C1949" s="108" t="s">
        <v>30</v>
      </c>
      <c r="D1949" s="108">
        <v>13304.120115905</v>
      </c>
      <c r="E1949" s="108">
        <v>0</v>
      </c>
      <c r="F1949" s="108" t="s">
        <v>136</v>
      </c>
      <c r="G1949" s="108"/>
      <c r="H1949" s="108">
        <v>1</v>
      </c>
    </row>
    <row r="1950" spans="1:8" ht="14">
      <c r="A1950" s="108">
        <v>2010</v>
      </c>
      <c r="B1950" s="108">
        <v>23</v>
      </c>
      <c r="C1950" s="108" t="s">
        <v>138</v>
      </c>
      <c r="D1950" s="108">
        <v>896.90971661466699</v>
      </c>
      <c r="E1950" s="108">
        <v>0</v>
      </c>
      <c r="F1950" s="108" t="s">
        <v>135</v>
      </c>
      <c r="G1950" s="108"/>
      <c r="H1950" s="108">
        <v>1</v>
      </c>
    </row>
    <row r="1951" spans="1:8" ht="14">
      <c r="A1951" s="108">
        <v>2010</v>
      </c>
      <c r="B1951" s="108">
        <v>23</v>
      </c>
      <c r="C1951" s="108" t="s">
        <v>138</v>
      </c>
      <c r="D1951" s="108">
        <v>8570.4572833853308</v>
      </c>
      <c r="E1951" s="108">
        <v>0</v>
      </c>
      <c r="F1951" s="108" t="s">
        <v>136</v>
      </c>
      <c r="G1951" s="108"/>
      <c r="H1951" s="108">
        <v>1</v>
      </c>
    </row>
    <row r="1952" spans="1:8" ht="14">
      <c r="A1952" s="108">
        <v>2010</v>
      </c>
      <c r="B1952" s="108">
        <v>23</v>
      </c>
      <c r="C1952" s="108" t="s">
        <v>139</v>
      </c>
      <c r="D1952" s="108">
        <v>4733.6628325197498</v>
      </c>
      <c r="E1952" s="108">
        <v>0</v>
      </c>
      <c r="F1952" s="108" t="s">
        <v>136</v>
      </c>
      <c r="G1952" s="108"/>
      <c r="H1952" s="108">
        <v>1</v>
      </c>
    </row>
    <row r="1953" spans="1:8" ht="14">
      <c r="A1953" s="108">
        <v>2010</v>
      </c>
      <c r="B1953" s="108">
        <v>23</v>
      </c>
      <c r="C1953" s="108" t="s">
        <v>139</v>
      </c>
      <c r="D1953" s="108">
        <v>823.19516748024705</v>
      </c>
      <c r="E1953" s="108">
        <v>0</v>
      </c>
      <c r="F1953" s="108" t="s">
        <v>135</v>
      </c>
      <c r="G1953" s="108"/>
      <c r="H1953" s="108">
        <v>1</v>
      </c>
    </row>
    <row r="1954" spans="1:8" ht="14">
      <c r="A1954" s="108">
        <v>2010</v>
      </c>
      <c r="B1954" s="108">
        <v>29</v>
      </c>
      <c r="C1954" s="108" t="s">
        <v>30</v>
      </c>
      <c r="D1954" s="108">
        <v>17052.963586378901</v>
      </c>
      <c r="E1954" s="108">
        <v>0</v>
      </c>
      <c r="F1954" s="108" t="s">
        <v>135</v>
      </c>
      <c r="G1954" s="108"/>
      <c r="H1954" s="108">
        <v>1</v>
      </c>
    </row>
    <row r="1955" spans="1:8" ht="14">
      <c r="A1955" s="108">
        <v>2010</v>
      </c>
      <c r="B1955" s="108">
        <v>29</v>
      </c>
      <c r="C1955" s="108" t="s">
        <v>30</v>
      </c>
      <c r="D1955" s="108">
        <v>17242.619413621</v>
      </c>
      <c r="E1955" s="108">
        <v>0</v>
      </c>
      <c r="F1955" s="108" t="s">
        <v>136</v>
      </c>
      <c r="G1955" s="108"/>
      <c r="H1955" s="108">
        <v>1</v>
      </c>
    </row>
    <row r="1956" spans="1:8" ht="14">
      <c r="A1956" s="108">
        <v>2010</v>
      </c>
      <c r="B1956" s="108">
        <v>29</v>
      </c>
      <c r="C1956" s="108" t="s">
        <v>138</v>
      </c>
      <c r="D1956" s="108">
        <v>9794.2044487615494</v>
      </c>
      <c r="E1956" s="108">
        <v>0</v>
      </c>
      <c r="F1956" s="108" t="s">
        <v>136</v>
      </c>
      <c r="G1956" s="108"/>
      <c r="H1956" s="108">
        <v>1</v>
      </c>
    </row>
    <row r="1957" spans="1:8" ht="14">
      <c r="A1957" s="108">
        <v>2010</v>
      </c>
      <c r="B1957" s="108">
        <v>29</v>
      </c>
      <c r="C1957" s="108" t="s">
        <v>138</v>
      </c>
      <c r="D1957" s="108">
        <v>13602.0115512384</v>
      </c>
      <c r="E1957" s="108">
        <v>0</v>
      </c>
      <c r="F1957" s="108" t="s">
        <v>135</v>
      </c>
      <c r="G1957" s="108"/>
      <c r="H1957" s="108">
        <v>1</v>
      </c>
    </row>
    <row r="1958" spans="1:8" ht="14">
      <c r="A1958" s="108">
        <v>2010</v>
      </c>
      <c r="B1958" s="108">
        <v>29</v>
      </c>
      <c r="C1958" s="108" t="s">
        <v>139</v>
      </c>
      <c r="D1958" s="108">
        <v>3450.9520351405399</v>
      </c>
      <c r="E1958" s="108">
        <v>0</v>
      </c>
      <c r="F1958" s="108" t="s">
        <v>135</v>
      </c>
      <c r="G1958" s="108"/>
      <c r="H1958" s="108">
        <v>1</v>
      </c>
    </row>
    <row r="1959" spans="1:8" ht="14">
      <c r="A1959" s="108">
        <v>2010</v>
      </c>
      <c r="B1959" s="108">
        <v>29</v>
      </c>
      <c r="C1959" s="108" t="s">
        <v>139</v>
      </c>
      <c r="D1959" s="108">
        <v>7448.4149648594503</v>
      </c>
      <c r="E1959" s="108">
        <v>0</v>
      </c>
      <c r="F1959" s="108" t="s">
        <v>136</v>
      </c>
      <c r="G1959" s="108"/>
      <c r="H1959" s="108">
        <v>1</v>
      </c>
    </row>
    <row r="1960" spans="1:8" ht="14">
      <c r="A1960" s="108">
        <v>2010</v>
      </c>
      <c r="B1960" s="108">
        <v>31</v>
      </c>
      <c r="C1960" s="108" t="s">
        <v>30</v>
      </c>
      <c r="D1960" s="108">
        <v>1.9090211748200301</v>
      </c>
      <c r="E1960" s="108">
        <v>42.340187863543399</v>
      </c>
      <c r="F1960" s="108" t="s">
        <v>137</v>
      </c>
      <c r="G1960" s="108">
        <v>42.340193638000002</v>
      </c>
      <c r="H1960" s="108">
        <v>1</v>
      </c>
    </row>
    <row r="1961" spans="1:8" ht="14">
      <c r="A1961" s="108">
        <v>2010</v>
      </c>
      <c r="B1961" s="108">
        <v>31</v>
      </c>
      <c r="C1961" s="108" t="s">
        <v>30</v>
      </c>
      <c r="D1961" s="108">
        <v>18144.4609958004</v>
      </c>
      <c r="E1961" s="108">
        <v>1449.08557133661</v>
      </c>
      <c r="F1961" s="108" t="s">
        <v>136</v>
      </c>
      <c r="G1961" s="108">
        <v>1449.08554669399</v>
      </c>
      <c r="H1961" s="108">
        <v>1</v>
      </c>
    </row>
    <row r="1962" spans="1:8" ht="14">
      <c r="A1962" s="108">
        <v>2010</v>
      </c>
      <c r="B1962" s="108">
        <v>31</v>
      </c>
      <c r="C1962" s="108" t="s">
        <v>30</v>
      </c>
      <c r="D1962" s="108">
        <v>1164.54598302472</v>
      </c>
      <c r="E1962" s="108">
        <v>173.43724079983701</v>
      </c>
      <c r="F1962" s="108" t="s">
        <v>135</v>
      </c>
      <c r="G1962" s="108">
        <v>173.437283546</v>
      </c>
      <c r="H1962" s="108">
        <v>1</v>
      </c>
    </row>
    <row r="1963" spans="1:8" ht="14">
      <c r="A1963" s="108">
        <v>2010</v>
      </c>
      <c r="B1963" s="108">
        <v>31</v>
      </c>
      <c r="C1963" s="108" t="s">
        <v>138</v>
      </c>
      <c r="D1963" s="108">
        <v>10641.892717173399</v>
      </c>
      <c r="E1963" s="108">
        <v>759.17081418149598</v>
      </c>
      <c r="F1963" s="108" t="s">
        <v>136</v>
      </c>
      <c r="G1963" s="108">
        <v>759.17079695299799</v>
      </c>
      <c r="H1963" s="108">
        <v>1</v>
      </c>
    </row>
    <row r="1964" spans="1:8" ht="14">
      <c r="A1964" s="108">
        <v>2010</v>
      </c>
      <c r="B1964" s="108">
        <v>31</v>
      </c>
      <c r="C1964" s="108" t="s">
        <v>138</v>
      </c>
      <c r="D1964" s="108">
        <v>478.68818785670402</v>
      </c>
      <c r="E1964" s="108">
        <v>85.275787591643095</v>
      </c>
      <c r="F1964" s="108" t="s">
        <v>135</v>
      </c>
      <c r="G1964" s="108">
        <v>85.275805840000004</v>
      </c>
      <c r="H1964" s="108">
        <v>1</v>
      </c>
    </row>
    <row r="1965" spans="1:8" ht="14">
      <c r="A1965" s="108">
        <v>2010</v>
      </c>
      <c r="B1965" s="108">
        <v>31</v>
      </c>
      <c r="C1965" s="108" t="s">
        <v>138</v>
      </c>
      <c r="D1965" s="108">
        <v>0.82509496986076103</v>
      </c>
      <c r="E1965" s="108">
        <v>0.35339822685718603</v>
      </c>
      <c r="F1965" s="108" t="s">
        <v>137</v>
      </c>
      <c r="G1965" s="108">
        <v>0.35339821399999999</v>
      </c>
      <c r="H1965" s="108">
        <v>1</v>
      </c>
    </row>
    <row r="1966" spans="1:8" ht="14">
      <c r="A1966" s="108">
        <v>2010</v>
      </c>
      <c r="B1966" s="108">
        <v>31</v>
      </c>
      <c r="C1966" s="108" t="s">
        <v>139</v>
      </c>
      <c r="D1966" s="108">
        <v>7502.5682786270099</v>
      </c>
      <c r="E1966" s="108">
        <v>689.91475715511899</v>
      </c>
      <c r="F1966" s="108" t="s">
        <v>136</v>
      </c>
      <c r="G1966" s="108">
        <v>689.91474974099901</v>
      </c>
      <c r="H1966" s="108">
        <v>1</v>
      </c>
    </row>
    <row r="1967" spans="1:8" ht="14">
      <c r="A1967" s="108">
        <v>2010</v>
      </c>
      <c r="B1967" s="108">
        <v>31</v>
      </c>
      <c r="C1967" s="108" t="s">
        <v>139</v>
      </c>
      <c r="D1967" s="108">
        <v>1.0839262049592699</v>
      </c>
      <c r="E1967" s="108">
        <v>41.986789636686197</v>
      </c>
      <c r="F1967" s="108" t="s">
        <v>137</v>
      </c>
      <c r="G1967" s="108">
        <v>41.986795424</v>
      </c>
      <c r="H1967" s="108">
        <v>1</v>
      </c>
    </row>
    <row r="1968" spans="1:8" ht="14">
      <c r="A1968" s="108">
        <v>2010</v>
      </c>
      <c r="B1968" s="108">
        <v>31</v>
      </c>
      <c r="C1968" s="108" t="s">
        <v>139</v>
      </c>
      <c r="D1968" s="108">
        <v>685.85779516802302</v>
      </c>
      <c r="E1968" s="108">
        <v>88.161453208193905</v>
      </c>
      <c r="F1968" s="108" t="s">
        <v>135</v>
      </c>
      <c r="G1968" s="108">
        <v>88.161477705999999</v>
      </c>
      <c r="H1968" s="108">
        <v>1</v>
      </c>
    </row>
    <row r="1969" spans="1:8" ht="14">
      <c r="A1969" s="108">
        <v>2010</v>
      </c>
      <c r="B1969" s="108">
        <v>32</v>
      </c>
      <c r="C1969" s="108" t="s">
        <v>30</v>
      </c>
      <c r="D1969" s="108">
        <v>3.2626106695561399</v>
      </c>
      <c r="E1969" s="108">
        <v>67.175192215636798</v>
      </c>
      <c r="F1969" s="108" t="s">
        <v>137</v>
      </c>
      <c r="G1969" s="108">
        <v>134.35039483</v>
      </c>
      <c r="H1969" s="108">
        <v>1</v>
      </c>
    </row>
    <row r="1970" spans="1:8" ht="14">
      <c r="A1970" s="108">
        <v>2010</v>
      </c>
      <c r="B1970" s="108">
        <v>32</v>
      </c>
      <c r="C1970" s="108" t="s">
        <v>30</v>
      </c>
      <c r="D1970" s="108">
        <v>2224.7110906221401</v>
      </c>
      <c r="E1970" s="108">
        <v>192.30012080556901</v>
      </c>
      <c r="F1970" s="108" t="s">
        <v>135</v>
      </c>
      <c r="G1970" s="108">
        <v>384.60022398000001</v>
      </c>
      <c r="H1970" s="108">
        <v>1</v>
      </c>
    </row>
    <row r="1971" spans="1:8" ht="14">
      <c r="A1971" s="108">
        <v>2010</v>
      </c>
      <c r="B1971" s="108">
        <v>32</v>
      </c>
      <c r="C1971" s="108" t="s">
        <v>30</v>
      </c>
      <c r="D1971" s="108">
        <v>30605.421298708301</v>
      </c>
      <c r="E1971" s="108">
        <v>2656.96568697878</v>
      </c>
      <c r="F1971" s="108" t="s">
        <v>136</v>
      </c>
      <c r="G1971" s="108">
        <v>5313.9308921600104</v>
      </c>
      <c r="H1971" s="108">
        <v>1</v>
      </c>
    </row>
    <row r="1972" spans="1:8" ht="14">
      <c r="A1972" s="108">
        <v>2010</v>
      </c>
      <c r="B1972" s="108">
        <v>32</v>
      </c>
      <c r="C1972" s="108" t="s">
        <v>138</v>
      </c>
      <c r="D1972" s="108">
        <v>1087.21216998761</v>
      </c>
      <c r="E1972" s="108">
        <v>102.318597428652</v>
      </c>
      <c r="F1972" s="108" t="s">
        <v>135</v>
      </c>
      <c r="G1972" s="108">
        <v>204.63719558999901</v>
      </c>
      <c r="H1972" s="108">
        <v>1</v>
      </c>
    </row>
    <row r="1973" spans="1:8" ht="14">
      <c r="A1973" s="108">
        <v>2010</v>
      </c>
      <c r="B1973" s="108">
        <v>32</v>
      </c>
      <c r="C1973" s="108" t="s">
        <v>138</v>
      </c>
      <c r="D1973" s="108">
        <v>17854.227000815401</v>
      </c>
      <c r="E1973" s="108">
        <v>1377.12179362404</v>
      </c>
      <c r="F1973" s="108" t="s">
        <v>136</v>
      </c>
      <c r="G1973" s="108">
        <v>2754.2435487499902</v>
      </c>
      <c r="H1973" s="108">
        <v>1</v>
      </c>
    </row>
    <row r="1974" spans="1:8" ht="14">
      <c r="A1974" s="108">
        <v>2010</v>
      </c>
      <c r="B1974" s="108">
        <v>32</v>
      </c>
      <c r="C1974" s="108" t="s">
        <v>138</v>
      </c>
      <c r="D1974" s="108">
        <v>1.81382919697997</v>
      </c>
      <c r="E1974" s="108">
        <v>1.1586089473021099</v>
      </c>
      <c r="F1974" s="108" t="s">
        <v>137</v>
      </c>
      <c r="G1974" s="108">
        <v>2.31721756</v>
      </c>
      <c r="H1974" s="108">
        <v>1</v>
      </c>
    </row>
    <row r="1975" spans="1:8" ht="14">
      <c r="A1975" s="108">
        <v>2010</v>
      </c>
      <c r="B1975" s="108">
        <v>32</v>
      </c>
      <c r="C1975" s="108" t="s">
        <v>139</v>
      </c>
      <c r="D1975" s="108">
        <v>12751.1942978929</v>
      </c>
      <c r="E1975" s="108">
        <v>1279.84389335474</v>
      </c>
      <c r="F1975" s="108" t="s">
        <v>136</v>
      </c>
      <c r="G1975" s="108">
        <v>2559.6873434099898</v>
      </c>
      <c r="H1975" s="108">
        <v>1</v>
      </c>
    </row>
    <row r="1976" spans="1:8" ht="14">
      <c r="A1976" s="108">
        <v>2010</v>
      </c>
      <c r="B1976" s="108">
        <v>32</v>
      </c>
      <c r="C1976" s="108" t="s">
        <v>139</v>
      </c>
      <c r="D1976" s="108">
        <v>1.4487814725761701</v>
      </c>
      <c r="E1976" s="108">
        <v>66.016583268334699</v>
      </c>
      <c r="F1976" s="108" t="s">
        <v>137</v>
      </c>
      <c r="G1976" s="108">
        <v>132.03317727000001</v>
      </c>
      <c r="H1976" s="108">
        <v>1</v>
      </c>
    </row>
    <row r="1977" spans="1:8" ht="14">
      <c r="A1977" s="108">
        <v>2010</v>
      </c>
      <c r="B1977" s="108">
        <v>32</v>
      </c>
      <c r="C1977" s="108" t="s">
        <v>139</v>
      </c>
      <c r="D1977" s="108">
        <v>1137.4989206345299</v>
      </c>
      <c r="E1977" s="108">
        <v>89.981523376917593</v>
      </c>
      <c r="F1977" s="108" t="s">
        <v>135</v>
      </c>
      <c r="G1977" s="108">
        <v>179.96302839000001</v>
      </c>
      <c r="H1977" s="108">
        <v>1</v>
      </c>
    </row>
    <row r="1978" spans="1:8" ht="14">
      <c r="A1978" s="108">
        <v>2010</v>
      </c>
      <c r="B1978" s="108">
        <v>33</v>
      </c>
      <c r="C1978" s="108" t="s">
        <v>30</v>
      </c>
      <c r="D1978" s="108">
        <v>929.04094761364399</v>
      </c>
      <c r="E1978" s="108">
        <v>74.374245639081096</v>
      </c>
      <c r="F1978" s="108" t="s">
        <v>136</v>
      </c>
      <c r="G1978" s="108">
        <v>111.561368613</v>
      </c>
      <c r="H1978" s="108">
        <v>1</v>
      </c>
    </row>
    <row r="1979" spans="1:8" ht="14">
      <c r="A1979" s="108">
        <v>2010</v>
      </c>
      <c r="B1979" s="108">
        <v>33</v>
      </c>
      <c r="C1979" s="108" t="s">
        <v>30</v>
      </c>
      <c r="D1979" s="108">
        <v>30.167052386355198</v>
      </c>
      <c r="E1979" s="108">
        <v>2.7457543609188502</v>
      </c>
      <c r="F1979" s="108" t="s">
        <v>135</v>
      </c>
      <c r="G1979" s="108">
        <v>4.1186320899999904</v>
      </c>
      <c r="H1979" s="108">
        <v>1</v>
      </c>
    </row>
    <row r="1980" spans="1:8" ht="14">
      <c r="A1980" s="108">
        <v>2010</v>
      </c>
      <c r="B1980" s="108">
        <v>33</v>
      </c>
      <c r="C1980" s="108" t="s">
        <v>138</v>
      </c>
      <c r="D1980" s="108">
        <v>601.948074536646</v>
      </c>
      <c r="E1980" s="108">
        <v>33.946895261256302</v>
      </c>
      <c r="F1980" s="108" t="s">
        <v>136</v>
      </c>
      <c r="G1980" s="108">
        <v>50.920337829999902</v>
      </c>
      <c r="H1980" s="108">
        <v>1</v>
      </c>
    </row>
    <row r="1981" spans="1:8" ht="14">
      <c r="A1981" s="108">
        <v>2010</v>
      </c>
      <c r="B1981" s="108">
        <v>33</v>
      </c>
      <c r="C1981" s="108" t="s">
        <v>138</v>
      </c>
      <c r="D1981" s="108">
        <v>23.903925463353001</v>
      </c>
      <c r="E1981" s="108">
        <v>1.0951047387436801</v>
      </c>
      <c r="F1981" s="108" t="s">
        <v>135</v>
      </c>
      <c r="G1981" s="108">
        <v>1.64265734</v>
      </c>
      <c r="H1981" s="108">
        <v>1</v>
      </c>
    </row>
    <row r="1982" spans="1:8" ht="14">
      <c r="A1982" s="108">
        <v>2010</v>
      </c>
      <c r="B1982" s="108">
        <v>33</v>
      </c>
      <c r="C1982" s="108" t="s">
        <v>139</v>
      </c>
      <c r="D1982" s="108">
        <v>6.2631269230021802</v>
      </c>
      <c r="E1982" s="108">
        <v>1.6506496221751601</v>
      </c>
      <c r="F1982" s="108" t="s">
        <v>135</v>
      </c>
      <c r="G1982" s="108">
        <v>2.4759747499999998</v>
      </c>
      <c r="H1982" s="108">
        <v>1</v>
      </c>
    </row>
    <row r="1983" spans="1:8" ht="14">
      <c r="A1983" s="108">
        <v>2010</v>
      </c>
      <c r="B1983" s="108">
        <v>33</v>
      </c>
      <c r="C1983" s="108" t="s">
        <v>139</v>
      </c>
      <c r="D1983" s="108">
        <v>327.09287307699702</v>
      </c>
      <c r="E1983" s="108">
        <v>40.427350377824801</v>
      </c>
      <c r="F1983" s="108" t="s">
        <v>136</v>
      </c>
      <c r="G1983" s="108">
        <v>60.641030782999998</v>
      </c>
      <c r="H1983" s="108">
        <v>1</v>
      </c>
    </row>
    <row r="1984" spans="1:8" ht="14">
      <c r="A1984" s="108">
        <v>2010</v>
      </c>
      <c r="B1984" s="108">
        <v>34</v>
      </c>
      <c r="C1984" s="108" t="s">
        <v>30</v>
      </c>
      <c r="D1984" s="108">
        <v>166.644143786596</v>
      </c>
      <c r="E1984" s="108">
        <v>13.579202111335499</v>
      </c>
      <c r="F1984" s="108" t="s">
        <v>135</v>
      </c>
      <c r="G1984" s="108">
        <v>30.553209769999999</v>
      </c>
      <c r="H1984" s="108">
        <v>1</v>
      </c>
    </row>
    <row r="1985" spans="1:8" ht="14">
      <c r="A1985" s="108">
        <v>2010</v>
      </c>
      <c r="B1985" s="108">
        <v>34</v>
      </c>
      <c r="C1985" s="108" t="s">
        <v>30</v>
      </c>
      <c r="D1985" s="108">
        <v>7.5982477174213706E-2</v>
      </c>
      <c r="E1985" s="108">
        <v>7.0724217433134007E-2</v>
      </c>
      <c r="F1985" s="108" t="s">
        <v>137</v>
      </c>
      <c r="G1985" s="108">
        <v>0.15912942999999999</v>
      </c>
      <c r="H1985" s="108">
        <v>1</v>
      </c>
    </row>
    <row r="1986" spans="1:8" ht="14">
      <c r="A1986" s="108">
        <v>2010</v>
      </c>
      <c r="B1986" s="108">
        <v>34</v>
      </c>
      <c r="C1986" s="108" t="s">
        <v>30</v>
      </c>
      <c r="D1986" s="108">
        <v>3403.4098737362301</v>
      </c>
      <c r="E1986" s="108">
        <v>256.84707367123099</v>
      </c>
      <c r="F1986" s="108" t="s">
        <v>136</v>
      </c>
      <c r="G1986" s="108">
        <v>577.90593819999901</v>
      </c>
      <c r="H1986" s="108">
        <v>1</v>
      </c>
    </row>
    <row r="1987" spans="1:8" ht="14">
      <c r="A1987" s="108">
        <v>2010</v>
      </c>
      <c r="B1987" s="108">
        <v>34</v>
      </c>
      <c r="C1987" s="108" t="s">
        <v>138</v>
      </c>
      <c r="D1987" s="108">
        <v>76.982501390177902</v>
      </c>
      <c r="E1987" s="108">
        <v>7.4128512753107403</v>
      </c>
      <c r="F1987" s="108" t="s">
        <v>135</v>
      </c>
      <c r="G1987" s="108">
        <v>16.678913339999902</v>
      </c>
      <c r="H1987" s="108">
        <v>1</v>
      </c>
    </row>
    <row r="1988" spans="1:8" ht="14">
      <c r="A1988" s="108">
        <v>2010</v>
      </c>
      <c r="B1988" s="108">
        <v>34</v>
      </c>
      <c r="C1988" s="108" t="s">
        <v>138</v>
      </c>
      <c r="D1988" s="108">
        <v>7.5982477174213706E-2</v>
      </c>
      <c r="E1988" s="108">
        <v>6.0559247769762597E-2</v>
      </c>
      <c r="F1988" s="108" t="s">
        <v>137</v>
      </c>
      <c r="G1988" s="108">
        <v>0.13625824</v>
      </c>
      <c r="H1988" s="108">
        <v>1</v>
      </c>
    </row>
    <row r="1989" spans="1:8" ht="14">
      <c r="A1989" s="108">
        <v>2010</v>
      </c>
      <c r="B1989" s="108">
        <v>34</v>
      </c>
      <c r="C1989" s="108" t="s">
        <v>138</v>
      </c>
      <c r="D1989" s="108">
        <v>2307.3725161326402</v>
      </c>
      <c r="E1989" s="108">
        <v>131.999589476919</v>
      </c>
      <c r="F1989" s="108" t="s">
        <v>136</v>
      </c>
      <c r="G1989" s="108">
        <v>296.99908357999999</v>
      </c>
      <c r="H1989" s="108">
        <v>1</v>
      </c>
    </row>
    <row r="1990" spans="1:8" ht="14">
      <c r="A1990" s="108">
        <v>2010</v>
      </c>
      <c r="B1990" s="108">
        <v>34</v>
      </c>
      <c r="C1990" s="108" t="s">
        <v>139</v>
      </c>
      <c r="D1990" s="108">
        <v>1096.0373576035799</v>
      </c>
      <c r="E1990" s="108">
        <v>124.84748419431099</v>
      </c>
      <c r="F1990" s="108" t="s">
        <v>136</v>
      </c>
      <c r="G1990" s="108">
        <v>280.90685461999999</v>
      </c>
      <c r="H1990" s="108">
        <v>1</v>
      </c>
    </row>
    <row r="1991" spans="1:8" ht="14">
      <c r="A1991" s="108">
        <v>2010</v>
      </c>
      <c r="B1991" s="108">
        <v>34</v>
      </c>
      <c r="C1991" s="108" t="s">
        <v>139</v>
      </c>
      <c r="D1991" s="108">
        <v>89.661642396418799</v>
      </c>
      <c r="E1991" s="108">
        <v>6.1663508360248498</v>
      </c>
      <c r="F1991" s="108" t="s">
        <v>135</v>
      </c>
      <c r="G1991" s="108">
        <v>13.874296429999999</v>
      </c>
      <c r="H1991" s="108">
        <v>1</v>
      </c>
    </row>
    <row r="1992" spans="1:8" ht="14">
      <c r="A1992" s="108">
        <v>2010</v>
      </c>
      <c r="B1992" s="108">
        <v>34</v>
      </c>
      <c r="C1992" s="108" t="s">
        <v>139</v>
      </c>
      <c r="D1992" s="108">
        <v>0</v>
      </c>
      <c r="E1992" s="108">
        <v>1.0164969663371401E-2</v>
      </c>
      <c r="F1992" s="108" t="s">
        <v>137</v>
      </c>
      <c r="G1992" s="108">
        <v>2.287119E-2</v>
      </c>
      <c r="H1992" s="108">
        <v>1</v>
      </c>
    </row>
    <row r="1993" spans="1:8" ht="14">
      <c r="A1993" s="108">
        <v>2010</v>
      </c>
      <c r="B1993" s="108">
        <v>51</v>
      </c>
      <c r="C1993" s="108" t="s">
        <v>30</v>
      </c>
      <c r="D1993" s="108">
        <v>35282.702921400502</v>
      </c>
      <c r="E1993" s="108">
        <v>3042.38537109149</v>
      </c>
      <c r="F1993" s="108" t="s">
        <v>136</v>
      </c>
      <c r="G1993" s="108"/>
      <c r="H1993" s="108">
        <v>1</v>
      </c>
    </row>
    <row r="1994" spans="1:8" ht="14">
      <c r="A1994" s="108">
        <v>2010</v>
      </c>
      <c r="B1994" s="108">
        <v>51</v>
      </c>
      <c r="C1994" s="108" t="s">
        <v>30</v>
      </c>
      <c r="D1994" s="108">
        <v>7121.8910785994403</v>
      </c>
      <c r="E1994" s="108">
        <v>589.44862890850402</v>
      </c>
      <c r="F1994" s="108" t="s">
        <v>135</v>
      </c>
      <c r="G1994" s="108"/>
      <c r="H1994" s="108">
        <v>1</v>
      </c>
    </row>
    <row r="1995" spans="1:8" ht="14">
      <c r="A1995" s="108">
        <v>2010</v>
      </c>
      <c r="B1995" s="108">
        <v>51</v>
      </c>
      <c r="C1995" s="108" t="s">
        <v>138</v>
      </c>
      <c r="D1995" s="108">
        <v>20632.817267727602</v>
      </c>
      <c r="E1995" s="108">
        <v>1509.81425434329</v>
      </c>
      <c r="F1995" s="108" t="s">
        <v>136</v>
      </c>
      <c r="G1995" s="108"/>
      <c r="H1995" s="108">
        <v>1</v>
      </c>
    </row>
    <row r="1996" spans="1:8" ht="14">
      <c r="A1996" s="108">
        <v>2010</v>
      </c>
      <c r="B1996" s="108">
        <v>51</v>
      </c>
      <c r="C1996" s="108" t="s">
        <v>138</v>
      </c>
      <c r="D1996" s="108">
        <v>3567.9777322723398</v>
      </c>
      <c r="E1996" s="108">
        <v>298.81574565671002</v>
      </c>
      <c r="F1996" s="108" t="s">
        <v>135</v>
      </c>
      <c r="G1996" s="108"/>
      <c r="H1996" s="108">
        <v>1</v>
      </c>
    </row>
    <row r="1997" spans="1:8" ht="14">
      <c r="A1997" s="108">
        <v>2010</v>
      </c>
      <c r="B1997" s="108">
        <v>51</v>
      </c>
      <c r="C1997" s="108" t="s">
        <v>139</v>
      </c>
      <c r="D1997" s="108">
        <v>3553.9133463271</v>
      </c>
      <c r="E1997" s="108">
        <v>290.632883251794</v>
      </c>
      <c r="F1997" s="108" t="s">
        <v>135</v>
      </c>
      <c r="G1997" s="108"/>
      <c r="H1997" s="108">
        <v>1</v>
      </c>
    </row>
    <row r="1998" spans="1:8" ht="14">
      <c r="A1998" s="108">
        <v>2010</v>
      </c>
      <c r="B1998" s="108">
        <v>51</v>
      </c>
      <c r="C1998" s="108" t="s">
        <v>139</v>
      </c>
      <c r="D1998" s="108">
        <v>14649.8856536728</v>
      </c>
      <c r="E1998" s="108">
        <v>1532.5711167482</v>
      </c>
      <c r="F1998" s="108" t="s">
        <v>136</v>
      </c>
      <c r="G1998" s="108"/>
      <c r="H1998" s="108">
        <v>1</v>
      </c>
    </row>
    <row r="1999" spans="1:8" ht="14">
      <c r="A1999" s="108">
        <v>2010</v>
      </c>
      <c r="B1999" s="108">
        <v>52</v>
      </c>
      <c r="C1999" s="108" t="s">
        <v>30</v>
      </c>
      <c r="D1999" s="108">
        <v>0</v>
      </c>
      <c r="E1999" s="108">
        <v>4867.0423008936796</v>
      </c>
      <c r="F1999" s="108" t="s">
        <v>136</v>
      </c>
      <c r="G1999" s="108"/>
      <c r="H1999" s="108">
        <v>1</v>
      </c>
    </row>
    <row r="2000" spans="1:8" ht="14">
      <c r="A2000" s="108">
        <v>2010</v>
      </c>
      <c r="B2000" s="108">
        <v>52</v>
      </c>
      <c r="C2000" s="108" t="s">
        <v>30</v>
      </c>
      <c r="D2000" s="108">
        <v>0</v>
      </c>
      <c r="E2000" s="108">
        <v>1291.86869910632</v>
      </c>
      <c r="F2000" s="108" t="s">
        <v>135</v>
      </c>
      <c r="G2000" s="108"/>
      <c r="H2000" s="108">
        <v>1</v>
      </c>
    </row>
    <row r="2001" spans="1:8" ht="14">
      <c r="A2001" s="108">
        <v>2010</v>
      </c>
      <c r="B2001" s="108">
        <v>52</v>
      </c>
      <c r="C2001" s="108" t="s">
        <v>138</v>
      </c>
      <c r="D2001" s="108">
        <v>0</v>
      </c>
      <c r="E2001" s="108">
        <v>648.25082683474898</v>
      </c>
      <c r="F2001" s="108" t="s">
        <v>135</v>
      </c>
      <c r="G2001" s="108"/>
      <c r="H2001" s="108">
        <v>1</v>
      </c>
    </row>
    <row r="2002" spans="1:8" ht="14">
      <c r="A2002" s="108">
        <v>2010</v>
      </c>
      <c r="B2002" s="108">
        <v>52</v>
      </c>
      <c r="C2002" s="108" t="s">
        <v>138</v>
      </c>
      <c r="D2002" s="108">
        <v>0</v>
      </c>
      <c r="E2002" s="108">
        <v>2401.76317316525</v>
      </c>
      <c r="F2002" s="108" t="s">
        <v>136</v>
      </c>
      <c r="G2002" s="108"/>
      <c r="H2002" s="108">
        <v>1</v>
      </c>
    </row>
    <row r="2003" spans="1:8" ht="14">
      <c r="A2003" s="108">
        <v>2010</v>
      </c>
      <c r="B2003" s="108">
        <v>52</v>
      </c>
      <c r="C2003" s="108" t="s">
        <v>139</v>
      </c>
      <c r="D2003" s="108">
        <v>0</v>
      </c>
      <c r="E2003" s="108">
        <v>643.61787227157004</v>
      </c>
      <c r="F2003" s="108" t="s">
        <v>135</v>
      </c>
      <c r="G2003" s="108"/>
      <c r="H2003" s="108">
        <v>1</v>
      </c>
    </row>
    <row r="2004" spans="1:8" ht="14">
      <c r="A2004" s="108">
        <v>2010</v>
      </c>
      <c r="B2004" s="108">
        <v>52</v>
      </c>
      <c r="C2004" s="108" t="s">
        <v>139</v>
      </c>
      <c r="D2004" s="108">
        <v>0</v>
      </c>
      <c r="E2004" s="108">
        <v>2465.27912772842</v>
      </c>
      <c r="F2004" s="108" t="s">
        <v>136</v>
      </c>
      <c r="G2004" s="108"/>
      <c r="H2004" s="108">
        <v>1</v>
      </c>
    </row>
    <row r="2005" spans="1:8" ht="14">
      <c r="A2005" s="108">
        <v>2010</v>
      </c>
      <c r="B2005" s="108">
        <v>53</v>
      </c>
      <c r="C2005" s="108" t="s">
        <v>30</v>
      </c>
      <c r="D2005" s="108">
        <v>0</v>
      </c>
      <c r="E2005" s="108">
        <v>113.485999999999</v>
      </c>
      <c r="F2005" s="108" t="s">
        <v>136</v>
      </c>
      <c r="G2005" s="108"/>
      <c r="H2005" s="108">
        <v>1</v>
      </c>
    </row>
    <row r="2006" spans="1:8" ht="14">
      <c r="A2006" s="108">
        <v>2010</v>
      </c>
      <c r="B2006" s="108">
        <v>53</v>
      </c>
      <c r="C2006" s="108" t="s">
        <v>30</v>
      </c>
      <c r="D2006" s="108">
        <v>0</v>
      </c>
      <c r="E2006" s="108">
        <v>30.7959999999999</v>
      </c>
      <c r="F2006" s="108" t="s">
        <v>135</v>
      </c>
      <c r="G2006" s="108"/>
      <c r="H2006" s="108">
        <v>1</v>
      </c>
    </row>
    <row r="2007" spans="1:8" ht="14">
      <c r="A2007" s="108">
        <v>2010</v>
      </c>
      <c r="B2007" s="108">
        <v>53</v>
      </c>
      <c r="C2007" s="108" t="s">
        <v>138</v>
      </c>
      <c r="D2007" s="108">
        <v>0</v>
      </c>
      <c r="E2007" s="108">
        <v>15.63</v>
      </c>
      <c r="F2007" s="108" t="s">
        <v>135</v>
      </c>
      <c r="G2007" s="108"/>
      <c r="H2007" s="108">
        <v>1</v>
      </c>
    </row>
    <row r="2008" spans="1:8" ht="14">
      <c r="A2008" s="108">
        <v>2010</v>
      </c>
      <c r="B2008" s="108">
        <v>53</v>
      </c>
      <c r="C2008" s="108" t="s">
        <v>138</v>
      </c>
      <c r="D2008" s="108">
        <v>0</v>
      </c>
      <c r="E2008" s="108">
        <v>57.549999999999898</v>
      </c>
      <c r="F2008" s="108" t="s">
        <v>136</v>
      </c>
      <c r="G2008" s="108"/>
      <c r="H2008" s="108">
        <v>1</v>
      </c>
    </row>
    <row r="2009" spans="1:8" ht="14">
      <c r="A2009" s="108">
        <v>2010</v>
      </c>
      <c r="B2009" s="108">
        <v>53</v>
      </c>
      <c r="C2009" s="108" t="s">
        <v>139</v>
      </c>
      <c r="D2009" s="108">
        <v>0</v>
      </c>
      <c r="E2009" s="108">
        <v>15.166</v>
      </c>
      <c r="F2009" s="108" t="s">
        <v>135</v>
      </c>
      <c r="G2009" s="108"/>
      <c r="H2009" s="108">
        <v>1</v>
      </c>
    </row>
    <row r="2010" spans="1:8" ht="14">
      <c r="A2010" s="108">
        <v>2010</v>
      </c>
      <c r="B2010" s="108">
        <v>53</v>
      </c>
      <c r="C2010" s="108" t="s">
        <v>139</v>
      </c>
      <c r="D2010" s="108">
        <v>0</v>
      </c>
      <c r="E2010" s="108">
        <v>55.9359999999999</v>
      </c>
      <c r="F2010" s="108" t="s">
        <v>136</v>
      </c>
      <c r="G2010" s="108"/>
      <c r="H2010" s="108">
        <v>1</v>
      </c>
    </row>
    <row r="2011" spans="1:8" ht="14">
      <c r="A2011" s="108">
        <v>2010</v>
      </c>
      <c r="B2011" s="108">
        <v>54</v>
      </c>
      <c r="C2011" s="108" t="s">
        <v>30</v>
      </c>
      <c r="D2011" s="108">
        <v>146.94900674733799</v>
      </c>
      <c r="E2011" s="108">
        <v>124.37069270105</v>
      </c>
      <c r="F2011" s="108" t="s">
        <v>135</v>
      </c>
      <c r="G2011" s="108"/>
      <c r="H2011" s="108">
        <v>1</v>
      </c>
    </row>
    <row r="2012" spans="1:8" ht="14">
      <c r="A2012" s="108">
        <v>2010</v>
      </c>
      <c r="B2012" s="108">
        <v>54</v>
      </c>
      <c r="C2012" s="108" t="s">
        <v>30</v>
      </c>
      <c r="D2012" s="108">
        <v>4559.5339932526604</v>
      </c>
      <c r="E2012" s="108">
        <v>3137.2943072989401</v>
      </c>
      <c r="F2012" s="108" t="s">
        <v>136</v>
      </c>
      <c r="G2012" s="108"/>
      <c r="H2012" s="108">
        <v>1</v>
      </c>
    </row>
    <row r="2013" spans="1:8" ht="14">
      <c r="A2013" s="108">
        <v>2010</v>
      </c>
      <c r="B2013" s="108">
        <v>54</v>
      </c>
      <c r="C2013" s="108" t="s">
        <v>138</v>
      </c>
      <c r="D2013" s="108">
        <v>2607.0574029013701</v>
      </c>
      <c r="E2013" s="108">
        <v>1995.28313394154</v>
      </c>
      <c r="F2013" s="108" t="s">
        <v>136</v>
      </c>
      <c r="G2013" s="108"/>
      <c r="H2013" s="108">
        <v>1</v>
      </c>
    </row>
    <row r="2014" spans="1:8" ht="14">
      <c r="A2014" s="108">
        <v>2010</v>
      </c>
      <c r="B2014" s="108">
        <v>54</v>
      </c>
      <c r="C2014" s="108" t="s">
        <v>138</v>
      </c>
      <c r="D2014" s="108">
        <v>71.371597098620398</v>
      </c>
      <c r="E2014" s="108">
        <v>58.562866058458297</v>
      </c>
      <c r="F2014" s="108" t="s">
        <v>135</v>
      </c>
      <c r="G2014" s="108"/>
      <c r="H2014" s="108">
        <v>1</v>
      </c>
    </row>
    <row r="2015" spans="1:8" ht="14">
      <c r="A2015" s="108">
        <v>2010</v>
      </c>
      <c r="B2015" s="108">
        <v>54</v>
      </c>
      <c r="C2015" s="108" t="s">
        <v>139</v>
      </c>
      <c r="D2015" s="108">
        <v>75.577409648717605</v>
      </c>
      <c r="E2015" s="108">
        <v>65.807826642592403</v>
      </c>
      <c r="F2015" s="108" t="s">
        <v>135</v>
      </c>
      <c r="G2015" s="108"/>
      <c r="H2015" s="108">
        <v>1</v>
      </c>
    </row>
    <row r="2016" spans="1:8" ht="14">
      <c r="A2016" s="108">
        <v>2010</v>
      </c>
      <c r="B2016" s="108">
        <v>54</v>
      </c>
      <c r="C2016" s="108" t="s">
        <v>139</v>
      </c>
      <c r="D2016" s="108">
        <v>1952.47659035128</v>
      </c>
      <c r="E2016" s="108">
        <v>1142.0111733573999</v>
      </c>
      <c r="F2016" s="108" t="s">
        <v>136</v>
      </c>
      <c r="G2016" s="108"/>
      <c r="H2016" s="108">
        <v>1</v>
      </c>
    </row>
    <row r="2017" spans="1:8" ht="14">
      <c r="A2017" s="108">
        <v>2010</v>
      </c>
      <c r="B2017" s="108">
        <v>59</v>
      </c>
      <c r="C2017" s="108" t="s">
        <v>30</v>
      </c>
      <c r="D2017" s="108">
        <v>5.4950000000000001</v>
      </c>
      <c r="E2017" s="108">
        <v>3.5276385141739901</v>
      </c>
      <c r="F2017" s="108" t="s">
        <v>135</v>
      </c>
      <c r="G2017" s="108"/>
      <c r="H2017" s="108">
        <v>1</v>
      </c>
    </row>
    <row r="2018" spans="1:8" ht="14">
      <c r="A2018" s="108">
        <v>2010</v>
      </c>
      <c r="B2018" s="108">
        <v>59</v>
      </c>
      <c r="C2018" s="108" t="s">
        <v>30</v>
      </c>
      <c r="D2018" s="108">
        <v>122.173</v>
      </c>
      <c r="E2018" s="108">
        <v>15.158361485825999</v>
      </c>
      <c r="F2018" s="108" t="s">
        <v>136</v>
      </c>
      <c r="G2018" s="108"/>
      <c r="H2018" s="108">
        <v>1</v>
      </c>
    </row>
    <row r="2019" spans="1:8" ht="14">
      <c r="A2019" s="108">
        <v>2010</v>
      </c>
      <c r="B2019" s="108">
        <v>59</v>
      </c>
      <c r="C2019" s="108" t="s">
        <v>138</v>
      </c>
      <c r="D2019" s="108">
        <v>4.2439999999999998</v>
      </c>
      <c r="E2019" s="108">
        <v>2.43533548387096</v>
      </c>
      <c r="F2019" s="108" t="s">
        <v>135</v>
      </c>
      <c r="G2019" s="108"/>
      <c r="H2019" s="108">
        <v>1</v>
      </c>
    </row>
    <row r="2020" spans="1:8" ht="14">
      <c r="A2020" s="108">
        <v>2010</v>
      </c>
      <c r="B2020" s="108">
        <v>59</v>
      </c>
      <c r="C2020" s="108" t="s">
        <v>138</v>
      </c>
      <c r="D2020" s="108">
        <v>30.854999999999901</v>
      </c>
      <c r="E2020" s="108">
        <v>4.5446645161290302</v>
      </c>
      <c r="F2020" s="108" t="s">
        <v>136</v>
      </c>
      <c r="G2020" s="108"/>
      <c r="H2020" s="108">
        <v>1</v>
      </c>
    </row>
    <row r="2021" spans="1:8" ht="14">
      <c r="A2021" s="108">
        <v>2010</v>
      </c>
      <c r="B2021" s="108">
        <v>59</v>
      </c>
      <c r="C2021" s="108" t="s">
        <v>139</v>
      </c>
      <c r="D2021" s="108">
        <v>1.2509999999999999</v>
      </c>
      <c r="E2021" s="108">
        <v>1.0923030303030301</v>
      </c>
      <c r="F2021" s="108" t="s">
        <v>135</v>
      </c>
      <c r="G2021" s="108"/>
      <c r="H2021" s="108">
        <v>1</v>
      </c>
    </row>
    <row r="2022" spans="1:8" ht="14">
      <c r="A2022" s="108">
        <v>2010</v>
      </c>
      <c r="B2022" s="108">
        <v>59</v>
      </c>
      <c r="C2022" s="108" t="s">
        <v>139</v>
      </c>
      <c r="D2022" s="108">
        <v>91.317999999999998</v>
      </c>
      <c r="E2022" s="108">
        <v>10.6136969696969</v>
      </c>
      <c r="F2022" s="108" t="s">
        <v>136</v>
      </c>
      <c r="G2022" s="108"/>
      <c r="H2022" s="108">
        <v>1</v>
      </c>
    </row>
    <row r="2023" spans="1:8" ht="14">
      <c r="A2023" s="108">
        <v>2010</v>
      </c>
      <c r="B2023" s="108">
        <v>61</v>
      </c>
      <c r="C2023" s="108" t="s">
        <v>30</v>
      </c>
      <c r="D2023" s="108">
        <v>13203.6370110479</v>
      </c>
      <c r="E2023" s="108">
        <v>994.62467469517401</v>
      </c>
      <c r="F2023" s="108" t="s">
        <v>135</v>
      </c>
      <c r="G2023" s="108"/>
      <c r="H2023" s="108">
        <v>1</v>
      </c>
    </row>
    <row r="2024" spans="1:8" ht="14">
      <c r="A2024" s="108">
        <v>2010</v>
      </c>
      <c r="B2024" s="108">
        <v>61</v>
      </c>
      <c r="C2024" s="108" t="s">
        <v>30</v>
      </c>
      <c r="D2024" s="108">
        <v>23336.530988951999</v>
      </c>
      <c r="E2024" s="108">
        <v>1717.5943253048199</v>
      </c>
      <c r="F2024" s="108" t="s">
        <v>136</v>
      </c>
      <c r="G2024" s="108"/>
      <c r="H2024" s="108">
        <v>1</v>
      </c>
    </row>
    <row r="2025" spans="1:8" ht="14">
      <c r="A2025" s="108">
        <v>2010</v>
      </c>
      <c r="B2025" s="108">
        <v>61</v>
      </c>
      <c r="C2025" s="108" t="s">
        <v>138</v>
      </c>
      <c r="D2025" s="108">
        <v>6370.9348474492099</v>
      </c>
      <c r="E2025" s="108">
        <v>490.950554614841</v>
      </c>
      <c r="F2025" s="108" t="s">
        <v>135</v>
      </c>
      <c r="G2025" s="108"/>
      <c r="H2025" s="108">
        <v>1</v>
      </c>
    </row>
    <row r="2026" spans="1:8" ht="14">
      <c r="A2026" s="108">
        <v>2010</v>
      </c>
      <c r="B2026" s="108">
        <v>61</v>
      </c>
      <c r="C2026" s="108" t="s">
        <v>138</v>
      </c>
      <c r="D2026" s="108">
        <v>13806.1891525507</v>
      </c>
      <c r="E2026" s="108">
        <v>852.30044538515801</v>
      </c>
      <c r="F2026" s="108" t="s">
        <v>136</v>
      </c>
      <c r="G2026" s="108"/>
      <c r="H2026" s="108">
        <v>1</v>
      </c>
    </row>
    <row r="2027" spans="1:8" ht="14">
      <c r="A2027" s="108">
        <v>2010</v>
      </c>
      <c r="B2027" s="108">
        <v>61</v>
      </c>
      <c r="C2027" s="108" t="s">
        <v>139</v>
      </c>
      <c r="D2027" s="108">
        <v>6832.7021635987103</v>
      </c>
      <c r="E2027" s="108">
        <v>503.67412008033199</v>
      </c>
      <c r="F2027" s="108" t="s">
        <v>135</v>
      </c>
      <c r="G2027" s="108"/>
      <c r="H2027" s="108">
        <v>1</v>
      </c>
    </row>
    <row r="2028" spans="1:8" ht="14">
      <c r="A2028" s="108">
        <v>2010</v>
      </c>
      <c r="B2028" s="108">
        <v>61</v>
      </c>
      <c r="C2028" s="108" t="s">
        <v>139</v>
      </c>
      <c r="D2028" s="108">
        <v>9530.3418364012796</v>
      </c>
      <c r="E2028" s="108">
        <v>865.29387991966598</v>
      </c>
      <c r="F2028" s="108" t="s">
        <v>136</v>
      </c>
      <c r="G2028" s="108"/>
      <c r="H2028" s="108">
        <v>1</v>
      </c>
    </row>
    <row r="2029" spans="1:8" ht="14">
      <c r="A2029" s="108">
        <v>2010</v>
      </c>
      <c r="B2029" s="108">
        <v>62</v>
      </c>
      <c r="C2029" s="108" t="s">
        <v>30</v>
      </c>
      <c r="D2029" s="108">
        <v>577.62378238095198</v>
      </c>
      <c r="E2029" s="108">
        <v>44.616265550239198</v>
      </c>
      <c r="F2029" s="108" t="s">
        <v>136</v>
      </c>
      <c r="G2029" s="108"/>
      <c r="H2029" s="108">
        <v>1</v>
      </c>
    </row>
    <row r="2030" spans="1:8" ht="14">
      <c r="A2030" s="108">
        <v>2010</v>
      </c>
      <c r="B2030" s="108">
        <v>62</v>
      </c>
      <c r="C2030" s="108" t="s">
        <v>30</v>
      </c>
      <c r="D2030" s="108">
        <v>47.949217619047602</v>
      </c>
      <c r="E2030" s="108">
        <v>22.801734449760701</v>
      </c>
      <c r="F2030" s="108" t="s">
        <v>135</v>
      </c>
      <c r="G2030" s="108"/>
      <c r="H2030" s="108">
        <v>1</v>
      </c>
    </row>
    <row r="2031" spans="1:8" ht="14">
      <c r="A2031" s="108">
        <v>2010</v>
      </c>
      <c r="B2031" s="108">
        <v>62</v>
      </c>
      <c r="C2031" s="108" t="s">
        <v>138</v>
      </c>
      <c r="D2031" s="108">
        <v>512.23707999999999</v>
      </c>
      <c r="E2031" s="108">
        <v>31.496818181818099</v>
      </c>
      <c r="F2031" s="108" t="s">
        <v>136</v>
      </c>
      <c r="G2031" s="108"/>
      <c r="H2031" s="108">
        <v>1</v>
      </c>
    </row>
    <row r="2032" spans="1:8" ht="14">
      <c r="A2032" s="108">
        <v>2010</v>
      </c>
      <c r="B2032" s="108">
        <v>62</v>
      </c>
      <c r="C2032" s="108" t="s">
        <v>138</v>
      </c>
      <c r="D2032" s="108">
        <v>23.868919999999999</v>
      </c>
      <c r="E2032" s="108">
        <v>10.8731818181818</v>
      </c>
      <c r="F2032" s="108" t="s">
        <v>135</v>
      </c>
      <c r="G2032" s="108"/>
      <c r="H2032" s="108">
        <v>1</v>
      </c>
    </row>
    <row r="2033" spans="1:8" ht="14">
      <c r="A2033" s="108">
        <v>2010</v>
      </c>
      <c r="B2033" s="108">
        <v>62</v>
      </c>
      <c r="C2033" s="108" t="s">
        <v>139</v>
      </c>
      <c r="D2033" s="108">
        <v>65.3867023809523</v>
      </c>
      <c r="E2033" s="108">
        <v>13.119447368421</v>
      </c>
      <c r="F2033" s="108" t="s">
        <v>136</v>
      </c>
      <c r="G2033" s="108"/>
      <c r="H2033" s="108">
        <v>1</v>
      </c>
    </row>
    <row r="2034" spans="1:8" ht="14">
      <c r="A2034" s="108">
        <v>2010</v>
      </c>
      <c r="B2034" s="108">
        <v>62</v>
      </c>
      <c r="C2034" s="108" t="s">
        <v>139</v>
      </c>
      <c r="D2034" s="108">
        <v>24.080297619047599</v>
      </c>
      <c r="E2034" s="108">
        <v>11.928552631578899</v>
      </c>
      <c r="F2034" s="108" t="s">
        <v>135</v>
      </c>
      <c r="G2034" s="108"/>
      <c r="H2034" s="108">
        <v>1</v>
      </c>
    </row>
    <row r="2035" spans="1:8" ht="14">
      <c r="A2035" s="108">
        <v>2010</v>
      </c>
      <c r="B2035" s="108">
        <v>63</v>
      </c>
      <c r="C2035" s="108" t="s">
        <v>30</v>
      </c>
      <c r="D2035" s="108">
        <v>13.071999999999999</v>
      </c>
      <c r="E2035" s="108">
        <v>4.2930000000000001</v>
      </c>
      <c r="F2035" s="108" t="s">
        <v>135</v>
      </c>
      <c r="G2035" s="108"/>
      <c r="H2035" s="108">
        <v>1</v>
      </c>
    </row>
    <row r="2036" spans="1:8" ht="14">
      <c r="A2036" s="108">
        <v>2010</v>
      </c>
      <c r="B2036" s="108">
        <v>63</v>
      </c>
      <c r="C2036" s="108" t="s">
        <v>30</v>
      </c>
      <c r="D2036" s="108">
        <v>11191.627</v>
      </c>
      <c r="E2036" s="108">
        <v>718.83299999999997</v>
      </c>
      <c r="F2036" s="108" t="s">
        <v>136</v>
      </c>
      <c r="G2036" s="108"/>
      <c r="H2036" s="108">
        <v>1</v>
      </c>
    </row>
    <row r="2037" spans="1:8" ht="14">
      <c r="A2037" s="108">
        <v>2010</v>
      </c>
      <c r="B2037" s="108">
        <v>63</v>
      </c>
      <c r="C2037" s="108" t="s">
        <v>138</v>
      </c>
      <c r="D2037" s="108">
        <v>12.891</v>
      </c>
      <c r="E2037" s="108">
        <v>2.738</v>
      </c>
      <c r="F2037" s="108" t="s">
        <v>135</v>
      </c>
      <c r="G2037" s="108"/>
      <c r="H2037" s="108">
        <v>1</v>
      </c>
    </row>
    <row r="2038" spans="1:8" ht="14">
      <c r="A2038" s="108">
        <v>2010</v>
      </c>
      <c r="B2038" s="108">
        <v>63</v>
      </c>
      <c r="C2038" s="108" t="s">
        <v>138</v>
      </c>
      <c r="D2038" s="108">
        <v>8604.1709999999894</v>
      </c>
      <c r="E2038" s="108">
        <v>362.82799999999901</v>
      </c>
      <c r="F2038" s="108" t="s">
        <v>136</v>
      </c>
      <c r="G2038" s="108"/>
      <c r="H2038" s="108">
        <v>1</v>
      </c>
    </row>
    <row r="2039" spans="1:8" ht="14">
      <c r="A2039" s="108">
        <v>2010</v>
      </c>
      <c r="B2039" s="108">
        <v>63</v>
      </c>
      <c r="C2039" s="108" t="s">
        <v>139</v>
      </c>
      <c r="D2039" s="108">
        <v>0.18099999999999999</v>
      </c>
      <c r="E2039" s="108">
        <v>1.5549999999999999</v>
      </c>
      <c r="F2039" s="108" t="s">
        <v>135</v>
      </c>
      <c r="G2039" s="108"/>
      <c r="H2039" s="108">
        <v>1</v>
      </c>
    </row>
    <row r="2040" spans="1:8" ht="14">
      <c r="A2040" s="108">
        <v>2010</v>
      </c>
      <c r="B2040" s="108">
        <v>63</v>
      </c>
      <c r="C2040" s="108" t="s">
        <v>139</v>
      </c>
      <c r="D2040" s="108">
        <v>2587.4560000000001</v>
      </c>
      <c r="E2040" s="108">
        <v>356.005</v>
      </c>
      <c r="F2040" s="108" t="s">
        <v>136</v>
      </c>
      <c r="G2040" s="108"/>
      <c r="H2040" s="108">
        <v>1</v>
      </c>
    </row>
    <row r="2041" spans="1:8" ht="14">
      <c r="A2041" s="108">
        <v>2010</v>
      </c>
      <c r="B2041" s="108">
        <v>69</v>
      </c>
      <c r="C2041" s="108" t="s">
        <v>30</v>
      </c>
      <c r="D2041" s="108">
        <v>29.543463023272199</v>
      </c>
      <c r="E2041" s="108">
        <v>4.9547286972105198</v>
      </c>
      <c r="F2041" s="108" t="s">
        <v>136</v>
      </c>
      <c r="G2041" s="108"/>
      <c r="H2041" s="108">
        <v>1</v>
      </c>
    </row>
    <row r="2042" spans="1:8" ht="14">
      <c r="A2042" s="108">
        <v>2010</v>
      </c>
      <c r="B2042" s="108">
        <v>69</v>
      </c>
      <c r="C2042" s="108" t="s">
        <v>30</v>
      </c>
      <c r="D2042" s="108">
        <v>376.111536976727</v>
      </c>
      <c r="E2042" s="108">
        <v>26.176271302789399</v>
      </c>
      <c r="F2042" s="108" t="s">
        <v>135</v>
      </c>
      <c r="G2042" s="108"/>
      <c r="H2042" s="108">
        <v>1</v>
      </c>
    </row>
    <row r="2043" spans="1:8" ht="14">
      <c r="A2043" s="108">
        <v>2010</v>
      </c>
      <c r="B2043" s="108">
        <v>69</v>
      </c>
      <c r="C2043" s="108" t="s">
        <v>138</v>
      </c>
      <c r="D2043" s="108">
        <v>185.29744549220001</v>
      </c>
      <c r="E2043" s="108">
        <v>12.860589581689</v>
      </c>
      <c r="F2043" s="108" t="s">
        <v>135</v>
      </c>
      <c r="G2043" s="108"/>
      <c r="H2043" s="108">
        <v>1</v>
      </c>
    </row>
    <row r="2044" spans="1:8" ht="14">
      <c r="A2044" s="108">
        <v>2010</v>
      </c>
      <c r="B2044" s="108">
        <v>69</v>
      </c>
      <c r="C2044" s="108" t="s">
        <v>138</v>
      </c>
      <c r="D2044" s="108">
        <v>18.679554507799399</v>
      </c>
      <c r="E2044" s="108">
        <v>1.7464104183109701</v>
      </c>
      <c r="F2044" s="108" t="s">
        <v>136</v>
      </c>
      <c r="G2044" s="108"/>
      <c r="H2044" s="108">
        <v>1</v>
      </c>
    </row>
    <row r="2045" spans="1:8" ht="14">
      <c r="A2045" s="108">
        <v>2010</v>
      </c>
      <c r="B2045" s="108">
        <v>69</v>
      </c>
      <c r="C2045" s="108" t="s">
        <v>139</v>
      </c>
      <c r="D2045" s="108">
        <v>190.81409148452701</v>
      </c>
      <c r="E2045" s="108">
        <v>13.3156817211004</v>
      </c>
      <c r="F2045" s="108" t="s">
        <v>135</v>
      </c>
      <c r="G2045" s="108"/>
      <c r="H2045" s="108">
        <v>1</v>
      </c>
    </row>
    <row r="2046" spans="1:8" ht="14">
      <c r="A2046" s="108">
        <v>2010</v>
      </c>
      <c r="B2046" s="108">
        <v>69</v>
      </c>
      <c r="C2046" s="108" t="s">
        <v>139</v>
      </c>
      <c r="D2046" s="108">
        <v>10.863908515472801</v>
      </c>
      <c r="E2046" s="108">
        <v>3.2083182788995401</v>
      </c>
      <c r="F2046" s="108" t="s">
        <v>136</v>
      </c>
      <c r="G2046" s="108"/>
      <c r="H2046" s="108">
        <v>1</v>
      </c>
    </row>
    <row r="2047" spans="1:8" ht="14">
      <c r="A2047" s="108">
        <v>2010</v>
      </c>
      <c r="B2047" s="108">
        <v>91</v>
      </c>
      <c r="C2047" s="108" t="s">
        <v>30</v>
      </c>
      <c r="D2047" s="108">
        <v>5477.3193840787999</v>
      </c>
      <c r="E2047" s="108">
        <v>0</v>
      </c>
      <c r="F2047" s="108" t="s">
        <v>136</v>
      </c>
      <c r="G2047" s="108"/>
      <c r="H2047" s="108">
        <v>1</v>
      </c>
    </row>
    <row r="2048" spans="1:8" ht="14">
      <c r="A2048" s="108">
        <v>2010</v>
      </c>
      <c r="B2048" s="108">
        <v>91</v>
      </c>
      <c r="C2048" s="108" t="s">
        <v>30</v>
      </c>
      <c r="D2048" s="108">
        <v>111.096615921195</v>
      </c>
      <c r="E2048" s="108">
        <v>0</v>
      </c>
      <c r="F2048" s="108" t="s">
        <v>135</v>
      </c>
      <c r="G2048" s="108"/>
      <c r="H2048" s="108">
        <v>1</v>
      </c>
    </row>
    <row r="2049" spans="1:8" ht="14">
      <c r="A2049" s="108">
        <v>2010</v>
      </c>
      <c r="B2049" s="108">
        <v>91</v>
      </c>
      <c r="C2049" s="108" t="s">
        <v>138</v>
      </c>
      <c r="D2049" s="108">
        <v>106.27788066716499</v>
      </c>
      <c r="E2049" s="108">
        <v>0</v>
      </c>
      <c r="F2049" s="108" t="s">
        <v>135</v>
      </c>
      <c r="G2049" s="108"/>
      <c r="H2049" s="108">
        <v>1</v>
      </c>
    </row>
    <row r="2050" spans="1:8" ht="14">
      <c r="A2050" s="108">
        <v>2010</v>
      </c>
      <c r="B2050" s="108">
        <v>91</v>
      </c>
      <c r="C2050" s="108" t="s">
        <v>138</v>
      </c>
      <c r="D2050" s="108">
        <v>5236.0451193328299</v>
      </c>
      <c r="E2050" s="108">
        <v>0</v>
      </c>
      <c r="F2050" s="108" t="s">
        <v>136</v>
      </c>
      <c r="G2050" s="108"/>
      <c r="H2050" s="108">
        <v>1</v>
      </c>
    </row>
    <row r="2051" spans="1:8" ht="14">
      <c r="A2051" s="108">
        <v>2010</v>
      </c>
      <c r="B2051" s="108">
        <v>91</v>
      </c>
      <c r="C2051" s="108" t="s">
        <v>139</v>
      </c>
      <c r="D2051" s="108">
        <v>241.27426474596899</v>
      </c>
      <c r="E2051" s="108">
        <v>0</v>
      </c>
      <c r="F2051" s="108" t="s">
        <v>136</v>
      </c>
      <c r="G2051" s="108"/>
      <c r="H2051" s="108">
        <v>1</v>
      </c>
    </row>
    <row r="2052" spans="1:8" ht="14">
      <c r="A2052" s="108">
        <v>2010</v>
      </c>
      <c r="B2052" s="108">
        <v>91</v>
      </c>
      <c r="C2052" s="108" t="s">
        <v>139</v>
      </c>
      <c r="D2052" s="108">
        <v>4.8187352540301198</v>
      </c>
      <c r="E2052" s="108">
        <v>0</v>
      </c>
      <c r="F2052" s="108" t="s">
        <v>135</v>
      </c>
      <c r="G2052" s="108"/>
      <c r="H2052" s="108">
        <v>1</v>
      </c>
    </row>
    <row r="2053" spans="1:8" ht="14">
      <c r="A2053" s="108">
        <v>2010</v>
      </c>
      <c r="B2053" s="108">
        <v>92</v>
      </c>
      <c r="C2053" s="108" t="s">
        <v>30</v>
      </c>
      <c r="D2053" s="108">
        <v>104.563502054547</v>
      </c>
      <c r="E2053" s="108">
        <v>0</v>
      </c>
      <c r="F2053" s="108" t="s">
        <v>135</v>
      </c>
      <c r="G2053" s="108"/>
      <c r="H2053" s="108">
        <v>1</v>
      </c>
    </row>
    <row r="2054" spans="1:8" ht="14">
      <c r="A2054" s="108">
        <v>2010</v>
      </c>
      <c r="B2054" s="108">
        <v>92</v>
      </c>
      <c r="C2054" s="108" t="s">
        <v>30</v>
      </c>
      <c r="D2054" s="108">
        <v>6023.0074979454503</v>
      </c>
      <c r="E2054" s="108">
        <v>0</v>
      </c>
      <c r="F2054" s="108" t="s">
        <v>136</v>
      </c>
      <c r="G2054" s="108"/>
      <c r="H2054" s="108">
        <v>1</v>
      </c>
    </row>
    <row r="2055" spans="1:8" ht="14">
      <c r="A2055" s="108">
        <v>2010</v>
      </c>
      <c r="B2055" s="108">
        <v>92</v>
      </c>
      <c r="C2055" s="108" t="s">
        <v>138</v>
      </c>
      <c r="D2055" s="108">
        <v>41.250761000360001</v>
      </c>
      <c r="E2055" s="108">
        <v>0</v>
      </c>
      <c r="F2055" s="108" t="s">
        <v>135</v>
      </c>
      <c r="G2055" s="108"/>
      <c r="H2055" s="108">
        <v>1</v>
      </c>
    </row>
    <row r="2056" spans="1:8" ht="14">
      <c r="A2056" s="108">
        <v>2010</v>
      </c>
      <c r="B2056" s="108">
        <v>92</v>
      </c>
      <c r="C2056" s="108" t="s">
        <v>138</v>
      </c>
      <c r="D2056" s="108">
        <v>4217.4112389996399</v>
      </c>
      <c r="E2056" s="108">
        <v>0</v>
      </c>
      <c r="F2056" s="108" t="s">
        <v>136</v>
      </c>
      <c r="G2056" s="108"/>
      <c r="H2056" s="108">
        <v>1</v>
      </c>
    </row>
    <row r="2057" spans="1:8" ht="14">
      <c r="A2057" s="108">
        <v>2010</v>
      </c>
      <c r="B2057" s="108">
        <v>92</v>
      </c>
      <c r="C2057" s="108" t="s">
        <v>139</v>
      </c>
      <c r="D2057" s="108">
        <v>63.312741054187697</v>
      </c>
      <c r="E2057" s="108">
        <v>0</v>
      </c>
      <c r="F2057" s="108" t="s">
        <v>135</v>
      </c>
      <c r="G2057" s="108"/>
      <c r="H2057" s="108">
        <v>1</v>
      </c>
    </row>
    <row r="2058" spans="1:8" ht="14">
      <c r="A2058" s="108">
        <v>2010</v>
      </c>
      <c r="B2058" s="108">
        <v>92</v>
      </c>
      <c r="C2058" s="108" t="s">
        <v>139</v>
      </c>
      <c r="D2058" s="108">
        <v>1805.59625894581</v>
      </c>
      <c r="E2058" s="108">
        <v>0</v>
      </c>
      <c r="F2058" s="108" t="s">
        <v>136</v>
      </c>
      <c r="G2058" s="108"/>
      <c r="H2058" s="108">
        <v>1</v>
      </c>
    </row>
    <row r="2059" spans="1:8" ht="14">
      <c r="A2059" s="108">
        <v>2010</v>
      </c>
      <c r="B2059" s="108">
        <v>99</v>
      </c>
      <c r="C2059" s="108" t="s">
        <v>30</v>
      </c>
      <c r="D2059" s="108">
        <v>3313.2762567325499</v>
      </c>
      <c r="E2059" s="108">
        <v>0</v>
      </c>
      <c r="F2059" s="108" t="s">
        <v>136</v>
      </c>
      <c r="G2059" s="108"/>
      <c r="H2059" s="108">
        <v>1</v>
      </c>
    </row>
    <row r="2060" spans="1:8" ht="14">
      <c r="A2060" s="108">
        <v>2010</v>
      </c>
      <c r="B2060" s="108">
        <v>99</v>
      </c>
      <c r="C2060" s="108" t="s">
        <v>30</v>
      </c>
      <c r="D2060" s="108">
        <v>1754.5097432674399</v>
      </c>
      <c r="E2060" s="108">
        <v>0</v>
      </c>
      <c r="F2060" s="108" t="s">
        <v>135</v>
      </c>
      <c r="G2060" s="108"/>
      <c r="H2060" s="108">
        <v>1</v>
      </c>
    </row>
    <row r="2061" spans="1:8" ht="14">
      <c r="A2061" s="108">
        <v>2010</v>
      </c>
      <c r="B2061" s="108">
        <v>99</v>
      </c>
      <c r="C2061" s="108" t="s">
        <v>30</v>
      </c>
      <c r="D2061" s="108">
        <v>8.0000000000000002E-3</v>
      </c>
      <c r="E2061" s="108">
        <v>0</v>
      </c>
      <c r="F2061" s="108" t="s">
        <v>137</v>
      </c>
      <c r="G2061" s="108"/>
      <c r="H2061" s="108">
        <v>1</v>
      </c>
    </row>
    <row r="2062" spans="1:8" ht="14">
      <c r="A2062" s="108">
        <v>2010</v>
      </c>
      <c r="B2062" s="108">
        <v>99</v>
      </c>
      <c r="C2062" s="108" t="s">
        <v>138</v>
      </c>
      <c r="D2062" s="108">
        <v>0</v>
      </c>
      <c r="E2062" s="108">
        <v>0</v>
      </c>
      <c r="F2062" s="108" t="s">
        <v>137</v>
      </c>
      <c r="G2062" s="108"/>
      <c r="H2062" s="108">
        <v>1</v>
      </c>
    </row>
    <row r="2063" spans="1:8" ht="14">
      <c r="A2063" s="108">
        <v>2010</v>
      </c>
      <c r="B2063" s="108">
        <v>99</v>
      </c>
      <c r="C2063" s="108" t="s">
        <v>138</v>
      </c>
      <c r="D2063" s="108">
        <v>660.40855157912495</v>
      </c>
      <c r="E2063" s="108">
        <v>0</v>
      </c>
      <c r="F2063" s="108" t="s">
        <v>135</v>
      </c>
      <c r="G2063" s="108"/>
      <c r="H2063" s="108">
        <v>1</v>
      </c>
    </row>
    <row r="2064" spans="1:8" ht="14">
      <c r="A2064" s="108">
        <v>2010</v>
      </c>
      <c r="B2064" s="108">
        <v>99</v>
      </c>
      <c r="C2064" s="108" t="s">
        <v>138</v>
      </c>
      <c r="D2064" s="108">
        <v>2372.96344842087</v>
      </c>
      <c r="E2064" s="108">
        <v>0</v>
      </c>
      <c r="F2064" s="108" t="s">
        <v>136</v>
      </c>
      <c r="G2064" s="108"/>
      <c r="H2064" s="108">
        <v>1</v>
      </c>
    </row>
    <row r="2065" spans="1:8" ht="14">
      <c r="A2065" s="108">
        <v>2010</v>
      </c>
      <c r="B2065" s="108">
        <v>99</v>
      </c>
      <c r="C2065" s="108" t="s">
        <v>139</v>
      </c>
      <c r="D2065" s="108">
        <v>940.31280831167999</v>
      </c>
      <c r="E2065" s="108">
        <v>0</v>
      </c>
      <c r="F2065" s="108" t="s">
        <v>136</v>
      </c>
      <c r="G2065" s="108"/>
      <c r="H2065" s="108">
        <v>1</v>
      </c>
    </row>
    <row r="2066" spans="1:8" ht="14">
      <c r="A2066" s="108">
        <v>2010</v>
      </c>
      <c r="B2066" s="108">
        <v>99</v>
      </c>
      <c r="C2066" s="108" t="s">
        <v>139</v>
      </c>
      <c r="D2066" s="108">
        <v>8.0000000000000002E-3</v>
      </c>
      <c r="E2066" s="108">
        <v>0</v>
      </c>
      <c r="F2066" s="108" t="s">
        <v>137</v>
      </c>
      <c r="G2066" s="108"/>
      <c r="H2066" s="108">
        <v>1</v>
      </c>
    </row>
    <row r="2067" spans="1:8" ht="14">
      <c r="A2067" s="108">
        <v>2010</v>
      </c>
      <c r="B2067" s="108">
        <v>99</v>
      </c>
      <c r="C2067" s="108" t="s">
        <v>139</v>
      </c>
      <c r="D2067" s="108">
        <v>1094.1011916883101</v>
      </c>
      <c r="E2067" s="108">
        <v>0</v>
      </c>
      <c r="F2067" s="108" t="s">
        <v>135</v>
      </c>
      <c r="G2067" s="108"/>
      <c r="H2067" s="108">
        <v>1</v>
      </c>
    </row>
    <row r="2068" spans="1:8" ht="14">
      <c r="A2068" s="108">
        <v>2011</v>
      </c>
      <c r="B2068" s="108">
        <v>11</v>
      </c>
      <c r="C2068" s="108" t="s">
        <v>30</v>
      </c>
      <c r="D2068" s="108">
        <v>1503.69248055309</v>
      </c>
      <c r="E2068" s="108">
        <v>0</v>
      </c>
      <c r="F2068" s="108" t="s">
        <v>135</v>
      </c>
      <c r="G2068" s="108"/>
      <c r="H2068" s="108">
        <v>1</v>
      </c>
    </row>
    <row r="2069" spans="1:8" ht="14">
      <c r="A2069" s="108">
        <v>2011</v>
      </c>
      <c r="B2069" s="108">
        <v>11</v>
      </c>
      <c r="C2069" s="108" t="s">
        <v>30</v>
      </c>
      <c r="D2069" s="108">
        <v>22584.723519446899</v>
      </c>
      <c r="E2069" s="108">
        <v>0</v>
      </c>
      <c r="F2069" s="108" t="s">
        <v>136</v>
      </c>
      <c r="G2069" s="108"/>
      <c r="H2069" s="108">
        <v>1</v>
      </c>
    </row>
    <row r="2070" spans="1:8" ht="14">
      <c r="A2070" s="108">
        <v>2011</v>
      </c>
      <c r="B2070" s="108">
        <v>11</v>
      </c>
      <c r="C2070" s="108" t="s">
        <v>138</v>
      </c>
      <c r="D2070" s="108">
        <v>19961.782660105899</v>
      </c>
      <c r="E2070" s="108">
        <v>0</v>
      </c>
      <c r="F2070" s="108" t="s">
        <v>136</v>
      </c>
      <c r="G2070" s="108"/>
      <c r="H2070" s="108">
        <v>1</v>
      </c>
    </row>
    <row r="2071" spans="1:8" ht="14">
      <c r="A2071" s="108">
        <v>2011</v>
      </c>
      <c r="B2071" s="108">
        <v>11</v>
      </c>
      <c r="C2071" s="108" t="s">
        <v>138</v>
      </c>
      <c r="D2071" s="108">
        <v>687.80833989405403</v>
      </c>
      <c r="E2071" s="108">
        <v>0</v>
      </c>
      <c r="F2071" s="108" t="s">
        <v>135</v>
      </c>
      <c r="G2071" s="108"/>
      <c r="H2071" s="108">
        <v>1</v>
      </c>
    </row>
    <row r="2072" spans="1:8" ht="14">
      <c r="A2072" s="108">
        <v>2011</v>
      </c>
      <c r="B2072" s="108">
        <v>11</v>
      </c>
      <c r="C2072" s="108" t="s">
        <v>139</v>
      </c>
      <c r="D2072" s="108">
        <v>2622.9408593409598</v>
      </c>
      <c r="E2072" s="108">
        <v>0</v>
      </c>
      <c r="F2072" s="108" t="s">
        <v>136</v>
      </c>
      <c r="G2072" s="108"/>
      <c r="H2072" s="108">
        <v>1</v>
      </c>
    </row>
    <row r="2073" spans="1:8" ht="14">
      <c r="A2073" s="108">
        <v>2011</v>
      </c>
      <c r="B2073" s="108">
        <v>11</v>
      </c>
      <c r="C2073" s="108" t="s">
        <v>139</v>
      </c>
      <c r="D2073" s="108">
        <v>815.88414065903703</v>
      </c>
      <c r="E2073" s="108">
        <v>0</v>
      </c>
      <c r="F2073" s="108" t="s">
        <v>135</v>
      </c>
      <c r="G2073" s="108"/>
      <c r="H2073" s="108">
        <v>1</v>
      </c>
    </row>
    <row r="2074" spans="1:8" ht="14">
      <c r="A2074" s="108">
        <v>2011</v>
      </c>
      <c r="B2074" s="108">
        <v>12</v>
      </c>
      <c r="C2074" s="108" t="s">
        <v>30</v>
      </c>
      <c r="D2074" s="108">
        <v>237.26321416090599</v>
      </c>
      <c r="E2074" s="108">
        <v>0</v>
      </c>
      <c r="F2074" s="108" t="s">
        <v>137</v>
      </c>
      <c r="G2074" s="108"/>
      <c r="H2074" s="108">
        <v>1</v>
      </c>
    </row>
    <row r="2075" spans="1:8" ht="14">
      <c r="A2075" s="108">
        <v>2011</v>
      </c>
      <c r="B2075" s="108">
        <v>12</v>
      </c>
      <c r="C2075" s="108" t="s">
        <v>30</v>
      </c>
      <c r="D2075" s="108">
        <v>68079.883726854896</v>
      </c>
      <c r="E2075" s="108">
        <v>0</v>
      </c>
      <c r="F2075" s="108" t="s">
        <v>136</v>
      </c>
      <c r="G2075" s="108"/>
      <c r="H2075" s="108">
        <v>1</v>
      </c>
    </row>
    <row r="2076" spans="1:8" ht="14">
      <c r="A2076" s="108">
        <v>2011</v>
      </c>
      <c r="B2076" s="108">
        <v>12</v>
      </c>
      <c r="C2076" s="108" t="s">
        <v>30</v>
      </c>
      <c r="D2076" s="108">
        <v>44728.296058984102</v>
      </c>
      <c r="E2076" s="108">
        <v>0</v>
      </c>
      <c r="F2076" s="108" t="s">
        <v>135</v>
      </c>
      <c r="G2076" s="108"/>
      <c r="H2076" s="108">
        <v>1</v>
      </c>
    </row>
    <row r="2077" spans="1:8" ht="14">
      <c r="A2077" s="108">
        <v>2011</v>
      </c>
      <c r="B2077" s="108">
        <v>12</v>
      </c>
      <c r="C2077" s="108" t="s">
        <v>138</v>
      </c>
      <c r="D2077" s="108">
        <v>237.26321416090599</v>
      </c>
      <c r="E2077" s="108">
        <v>0</v>
      </c>
      <c r="F2077" s="108" t="s">
        <v>137</v>
      </c>
      <c r="G2077" s="108"/>
      <c r="H2077" s="108">
        <v>1</v>
      </c>
    </row>
    <row r="2078" spans="1:8" ht="14">
      <c r="A2078" s="108">
        <v>2011</v>
      </c>
      <c r="B2078" s="108">
        <v>12</v>
      </c>
      <c r="C2078" s="108" t="s">
        <v>138</v>
      </c>
      <c r="D2078" s="108">
        <v>25629.907374263199</v>
      </c>
      <c r="E2078" s="108">
        <v>0</v>
      </c>
      <c r="F2078" s="108" t="s">
        <v>135</v>
      </c>
      <c r="G2078" s="108"/>
      <c r="H2078" s="108">
        <v>1</v>
      </c>
    </row>
    <row r="2079" spans="1:8" ht="14">
      <c r="A2079" s="108">
        <v>2011</v>
      </c>
      <c r="B2079" s="108">
        <v>12</v>
      </c>
      <c r="C2079" s="108" t="s">
        <v>138</v>
      </c>
      <c r="D2079" s="108">
        <v>40734.886411575797</v>
      </c>
      <c r="E2079" s="108">
        <v>0</v>
      </c>
      <c r="F2079" s="108" t="s">
        <v>136</v>
      </c>
      <c r="G2079" s="108"/>
      <c r="H2079" s="108">
        <v>1</v>
      </c>
    </row>
    <row r="2080" spans="1:8" ht="14">
      <c r="A2080" s="108">
        <v>2011</v>
      </c>
      <c r="B2080" s="108">
        <v>12</v>
      </c>
      <c r="C2080" s="108" t="s">
        <v>139</v>
      </c>
      <c r="D2080" s="108">
        <v>27344.997315279099</v>
      </c>
      <c r="E2080" s="108">
        <v>0</v>
      </c>
      <c r="F2080" s="108" t="s">
        <v>136</v>
      </c>
      <c r="G2080" s="108"/>
      <c r="H2080" s="108">
        <v>1</v>
      </c>
    </row>
    <row r="2081" spans="1:8" ht="14">
      <c r="A2081" s="108">
        <v>2011</v>
      </c>
      <c r="B2081" s="108">
        <v>12</v>
      </c>
      <c r="C2081" s="108" t="s">
        <v>139</v>
      </c>
      <c r="D2081" s="108">
        <v>19098.388684720801</v>
      </c>
      <c r="E2081" s="108">
        <v>0</v>
      </c>
      <c r="F2081" s="108" t="s">
        <v>135</v>
      </c>
      <c r="G2081" s="108"/>
      <c r="H2081" s="108">
        <v>1</v>
      </c>
    </row>
    <row r="2082" spans="1:8" ht="14">
      <c r="A2082" s="108">
        <v>2011</v>
      </c>
      <c r="B2082" s="108">
        <v>13</v>
      </c>
      <c r="C2082" s="108" t="s">
        <v>30</v>
      </c>
      <c r="D2082" s="108">
        <v>16768.259214908299</v>
      </c>
      <c r="E2082" s="108">
        <v>0</v>
      </c>
      <c r="F2082" s="108" t="s">
        <v>135</v>
      </c>
      <c r="G2082" s="108"/>
      <c r="H2082" s="108">
        <v>1</v>
      </c>
    </row>
    <row r="2083" spans="1:8" ht="14">
      <c r="A2083" s="108">
        <v>2011</v>
      </c>
      <c r="B2083" s="108">
        <v>13</v>
      </c>
      <c r="C2083" s="108" t="s">
        <v>30</v>
      </c>
      <c r="D2083" s="108">
        <v>64645.317785091604</v>
      </c>
      <c r="E2083" s="108">
        <v>0</v>
      </c>
      <c r="F2083" s="108" t="s">
        <v>136</v>
      </c>
      <c r="G2083" s="108"/>
      <c r="H2083" s="108">
        <v>1</v>
      </c>
    </row>
    <row r="2084" spans="1:8" ht="14">
      <c r="A2084" s="108">
        <v>2011</v>
      </c>
      <c r="B2084" s="108">
        <v>13</v>
      </c>
      <c r="C2084" s="108" t="s">
        <v>138</v>
      </c>
      <c r="D2084" s="108">
        <v>8232.1080783530997</v>
      </c>
      <c r="E2084" s="108">
        <v>0</v>
      </c>
      <c r="F2084" s="108" t="s">
        <v>135</v>
      </c>
      <c r="G2084" s="108"/>
      <c r="H2084" s="108">
        <v>1</v>
      </c>
    </row>
    <row r="2085" spans="1:8" ht="14">
      <c r="A2085" s="108">
        <v>2011</v>
      </c>
      <c r="B2085" s="108">
        <v>13</v>
      </c>
      <c r="C2085" s="108" t="s">
        <v>138</v>
      </c>
      <c r="D2085" s="108">
        <v>34474.439921646801</v>
      </c>
      <c r="E2085" s="108">
        <v>0</v>
      </c>
      <c r="F2085" s="108" t="s">
        <v>136</v>
      </c>
      <c r="G2085" s="108"/>
      <c r="H2085" s="108">
        <v>1</v>
      </c>
    </row>
    <row r="2086" spans="1:8" ht="14">
      <c r="A2086" s="108">
        <v>2011</v>
      </c>
      <c r="B2086" s="108">
        <v>13</v>
      </c>
      <c r="C2086" s="108" t="s">
        <v>139</v>
      </c>
      <c r="D2086" s="108">
        <v>8536.1511365552506</v>
      </c>
      <c r="E2086" s="108">
        <v>0</v>
      </c>
      <c r="F2086" s="108" t="s">
        <v>135</v>
      </c>
      <c r="G2086" s="108"/>
      <c r="H2086" s="108">
        <v>1</v>
      </c>
    </row>
    <row r="2087" spans="1:8" ht="14">
      <c r="A2087" s="108">
        <v>2011</v>
      </c>
      <c r="B2087" s="108">
        <v>13</v>
      </c>
      <c r="C2087" s="108" t="s">
        <v>139</v>
      </c>
      <c r="D2087" s="108">
        <v>30170.877863444701</v>
      </c>
      <c r="E2087" s="108">
        <v>0</v>
      </c>
      <c r="F2087" s="108" t="s">
        <v>136</v>
      </c>
      <c r="G2087" s="108"/>
      <c r="H2087" s="108">
        <v>1</v>
      </c>
    </row>
    <row r="2088" spans="1:8" ht="14">
      <c r="A2088" s="108">
        <v>2011</v>
      </c>
      <c r="B2088" s="108">
        <v>19</v>
      </c>
      <c r="C2088" s="108" t="s">
        <v>30</v>
      </c>
      <c r="D2088" s="108">
        <v>9471.2649425584605</v>
      </c>
      <c r="E2088" s="108">
        <v>0</v>
      </c>
      <c r="F2088" s="108" t="s">
        <v>136</v>
      </c>
      <c r="G2088" s="108"/>
      <c r="H2088" s="108">
        <v>1</v>
      </c>
    </row>
    <row r="2089" spans="1:8" ht="14">
      <c r="A2089" s="108">
        <v>2011</v>
      </c>
      <c r="B2089" s="108">
        <v>19</v>
      </c>
      <c r="C2089" s="108" t="s">
        <v>30</v>
      </c>
      <c r="D2089" s="108">
        <v>2539.5870574415299</v>
      </c>
      <c r="E2089" s="108">
        <v>0</v>
      </c>
      <c r="F2089" s="108" t="s">
        <v>135</v>
      </c>
      <c r="G2089" s="108"/>
      <c r="H2089" s="108">
        <v>1</v>
      </c>
    </row>
    <row r="2090" spans="1:8" ht="14">
      <c r="A2090" s="108">
        <v>2011</v>
      </c>
      <c r="B2090" s="108">
        <v>19</v>
      </c>
      <c r="C2090" s="108" t="s">
        <v>138</v>
      </c>
      <c r="D2090" s="108">
        <v>5382.8487032625399</v>
      </c>
      <c r="E2090" s="108">
        <v>0</v>
      </c>
      <c r="F2090" s="108" t="s">
        <v>136</v>
      </c>
      <c r="G2090" s="108"/>
      <c r="H2090" s="108">
        <v>1</v>
      </c>
    </row>
    <row r="2091" spans="1:8" ht="14">
      <c r="A2091" s="108">
        <v>2011</v>
      </c>
      <c r="B2091" s="108">
        <v>19</v>
      </c>
      <c r="C2091" s="108" t="s">
        <v>138</v>
      </c>
      <c r="D2091" s="108">
        <v>992.67229673745601</v>
      </c>
      <c r="E2091" s="108">
        <v>0</v>
      </c>
      <c r="F2091" s="108" t="s">
        <v>135</v>
      </c>
      <c r="G2091" s="108"/>
      <c r="H2091" s="108">
        <v>1</v>
      </c>
    </row>
    <row r="2092" spans="1:8" ht="14">
      <c r="A2092" s="108">
        <v>2011</v>
      </c>
      <c r="B2092" s="108">
        <v>19</v>
      </c>
      <c r="C2092" s="108" t="s">
        <v>139</v>
      </c>
      <c r="D2092" s="108">
        <v>1546.91476070407</v>
      </c>
      <c r="E2092" s="108">
        <v>0</v>
      </c>
      <c r="F2092" s="108" t="s">
        <v>135</v>
      </c>
      <c r="G2092" s="108"/>
      <c r="H2092" s="108">
        <v>1</v>
      </c>
    </row>
    <row r="2093" spans="1:8" ht="14">
      <c r="A2093" s="108">
        <v>2011</v>
      </c>
      <c r="B2093" s="108">
        <v>19</v>
      </c>
      <c r="C2093" s="108" t="s">
        <v>139</v>
      </c>
      <c r="D2093" s="108">
        <v>4088.4162392959201</v>
      </c>
      <c r="E2093" s="108">
        <v>0</v>
      </c>
      <c r="F2093" s="108" t="s">
        <v>136</v>
      </c>
      <c r="G2093" s="108"/>
      <c r="H2093" s="108">
        <v>1</v>
      </c>
    </row>
    <row r="2094" spans="1:8" ht="14">
      <c r="A2094" s="108">
        <v>2011</v>
      </c>
      <c r="B2094" s="108">
        <v>21</v>
      </c>
      <c r="C2094" s="108" t="s">
        <v>30</v>
      </c>
      <c r="D2094" s="108">
        <v>16069.9205415378</v>
      </c>
      <c r="E2094" s="108">
        <v>0</v>
      </c>
      <c r="F2094" s="108" t="s">
        <v>136</v>
      </c>
      <c r="G2094" s="108"/>
      <c r="H2094" s="108">
        <v>1</v>
      </c>
    </row>
    <row r="2095" spans="1:8" ht="14">
      <c r="A2095" s="108">
        <v>2011</v>
      </c>
      <c r="B2095" s="108">
        <v>21</v>
      </c>
      <c r="C2095" s="108" t="s">
        <v>30</v>
      </c>
      <c r="D2095" s="108">
        <v>632.09445846217898</v>
      </c>
      <c r="E2095" s="108">
        <v>0</v>
      </c>
      <c r="F2095" s="108" t="s">
        <v>135</v>
      </c>
      <c r="G2095" s="108"/>
      <c r="H2095" s="108">
        <v>1</v>
      </c>
    </row>
    <row r="2096" spans="1:8" ht="14">
      <c r="A2096" s="108">
        <v>2011</v>
      </c>
      <c r="B2096" s="108">
        <v>21</v>
      </c>
      <c r="C2096" s="108" t="s">
        <v>138</v>
      </c>
      <c r="D2096" s="108">
        <v>413.27967572218199</v>
      </c>
      <c r="E2096" s="108">
        <v>0</v>
      </c>
      <c r="F2096" s="108" t="s">
        <v>135</v>
      </c>
      <c r="G2096" s="108"/>
      <c r="H2096" s="108">
        <v>1</v>
      </c>
    </row>
    <row r="2097" spans="1:8" ht="14">
      <c r="A2097" s="108">
        <v>2011</v>
      </c>
      <c r="B2097" s="108">
        <v>21</v>
      </c>
      <c r="C2097" s="108" t="s">
        <v>138</v>
      </c>
      <c r="D2097" s="108">
        <v>11113.182324277799</v>
      </c>
      <c r="E2097" s="108">
        <v>0</v>
      </c>
      <c r="F2097" s="108" t="s">
        <v>136</v>
      </c>
      <c r="G2097" s="108"/>
      <c r="H2097" s="108">
        <v>1</v>
      </c>
    </row>
    <row r="2098" spans="1:8" ht="14">
      <c r="A2098" s="108">
        <v>2011</v>
      </c>
      <c r="B2098" s="108">
        <v>21</v>
      </c>
      <c r="C2098" s="108" t="s">
        <v>139</v>
      </c>
      <c r="D2098" s="108">
        <v>218.81478273999701</v>
      </c>
      <c r="E2098" s="108">
        <v>0</v>
      </c>
      <c r="F2098" s="108" t="s">
        <v>135</v>
      </c>
      <c r="G2098" s="108"/>
      <c r="H2098" s="108">
        <v>1</v>
      </c>
    </row>
    <row r="2099" spans="1:8" ht="14">
      <c r="A2099" s="108">
        <v>2011</v>
      </c>
      <c r="B2099" s="108">
        <v>21</v>
      </c>
      <c r="C2099" s="108" t="s">
        <v>139</v>
      </c>
      <c r="D2099" s="108">
        <v>4956.7382172600001</v>
      </c>
      <c r="E2099" s="108">
        <v>0</v>
      </c>
      <c r="F2099" s="108" t="s">
        <v>136</v>
      </c>
      <c r="G2099" s="108"/>
      <c r="H2099" s="108">
        <v>1</v>
      </c>
    </row>
    <row r="2100" spans="1:8" ht="14">
      <c r="A2100" s="108">
        <v>2011</v>
      </c>
      <c r="B2100" s="108">
        <v>22</v>
      </c>
      <c r="C2100" s="108" t="s">
        <v>30</v>
      </c>
      <c r="D2100" s="108">
        <v>34034.742246610702</v>
      </c>
      <c r="E2100" s="108">
        <v>0</v>
      </c>
      <c r="F2100" s="108" t="s">
        <v>136</v>
      </c>
      <c r="G2100" s="108"/>
      <c r="H2100" s="108">
        <v>1</v>
      </c>
    </row>
    <row r="2101" spans="1:8" ht="14">
      <c r="A2101" s="108">
        <v>2011</v>
      </c>
      <c r="B2101" s="108">
        <v>22</v>
      </c>
      <c r="C2101" s="108" t="s">
        <v>30</v>
      </c>
      <c r="D2101" s="108">
        <v>2874.85375338923</v>
      </c>
      <c r="E2101" s="108">
        <v>0</v>
      </c>
      <c r="F2101" s="108" t="s">
        <v>135</v>
      </c>
      <c r="G2101" s="108"/>
      <c r="H2101" s="108">
        <v>1</v>
      </c>
    </row>
    <row r="2102" spans="1:8" ht="14">
      <c r="A2102" s="108">
        <v>2011</v>
      </c>
      <c r="B2102" s="108">
        <v>22</v>
      </c>
      <c r="C2102" s="108" t="s">
        <v>138</v>
      </c>
      <c r="D2102" s="108">
        <v>32516.875653423798</v>
      </c>
      <c r="E2102" s="108">
        <v>0</v>
      </c>
      <c r="F2102" s="108" t="s">
        <v>136</v>
      </c>
      <c r="G2102" s="108"/>
      <c r="H2102" s="108">
        <v>1</v>
      </c>
    </row>
    <row r="2103" spans="1:8" ht="14">
      <c r="A2103" s="108">
        <v>2011</v>
      </c>
      <c r="B2103" s="108">
        <v>22</v>
      </c>
      <c r="C2103" s="108" t="s">
        <v>138</v>
      </c>
      <c r="D2103" s="108">
        <v>1521.4793465761099</v>
      </c>
      <c r="E2103" s="108">
        <v>0</v>
      </c>
      <c r="F2103" s="108" t="s">
        <v>135</v>
      </c>
      <c r="G2103" s="108"/>
      <c r="H2103" s="108">
        <v>1</v>
      </c>
    </row>
    <row r="2104" spans="1:8" ht="14">
      <c r="A2104" s="108">
        <v>2011</v>
      </c>
      <c r="B2104" s="108">
        <v>22</v>
      </c>
      <c r="C2104" s="108" t="s">
        <v>139</v>
      </c>
      <c r="D2104" s="108">
        <v>1517.86659318687</v>
      </c>
      <c r="E2104" s="108">
        <v>0</v>
      </c>
      <c r="F2104" s="108" t="s">
        <v>136</v>
      </c>
      <c r="G2104" s="108"/>
      <c r="H2104" s="108">
        <v>1</v>
      </c>
    </row>
    <row r="2105" spans="1:8" ht="14">
      <c r="A2105" s="108">
        <v>2011</v>
      </c>
      <c r="B2105" s="108">
        <v>22</v>
      </c>
      <c r="C2105" s="108" t="s">
        <v>139</v>
      </c>
      <c r="D2105" s="108">
        <v>1353.37440681312</v>
      </c>
      <c r="E2105" s="108">
        <v>0</v>
      </c>
      <c r="F2105" s="108" t="s">
        <v>135</v>
      </c>
      <c r="G2105" s="108"/>
      <c r="H2105" s="108">
        <v>1</v>
      </c>
    </row>
    <row r="2106" spans="1:8" ht="14">
      <c r="A2106" s="108">
        <v>2011</v>
      </c>
      <c r="B2106" s="108">
        <v>23</v>
      </c>
      <c r="C2106" s="108" t="s">
        <v>30</v>
      </c>
      <c r="D2106" s="108">
        <v>11812.207744084501</v>
      </c>
      <c r="E2106" s="108">
        <v>0</v>
      </c>
      <c r="F2106" s="108" t="s">
        <v>136</v>
      </c>
      <c r="G2106" s="108"/>
      <c r="H2106" s="108">
        <v>1</v>
      </c>
    </row>
    <row r="2107" spans="1:8" ht="14">
      <c r="A2107" s="108">
        <v>2011</v>
      </c>
      <c r="B2107" s="108">
        <v>23</v>
      </c>
      <c r="C2107" s="108" t="s">
        <v>30</v>
      </c>
      <c r="D2107" s="108">
        <v>1635.39625591548</v>
      </c>
      <c r="E2107" s="108">
        <v>0</v>
      </c>
      <c r="F2107" s="108" t="s">
        <v>135</v>
      </c>
      <c r="G2107" s="108"/>
      <c r="H2107" s="108">
        <v>1</v>
      </c>
    </row>
    <row r="2108" spans="1:8" ht="14">
      <c r="A2108" s="108">
        <v>2011</v>
      </c>
      <c r="B2108" s="108">
        <v>23</v>
      </c>
      <c r="C2108" s="108" t="s">
        <v>138</v>
      </c>
      <c r="D2108" s="108">
        <v>772.34280724254904</v>
      </c>
      <c r="E2108" s="108">
        <v>0</v>
      </c>
      <c r="F2108" s="108" t="s">
        <v>135</v>
      </c>
      <c r="G2108" s="108"/>
      <c r="H2108" s="108">
        <v>1</v>
      </c>
    </row>
    <row r="2109" spans="1:8" ht="14">
      <c r="A2109" s="108">
        <v>2011</v>
      </c>
      <c r="B2109" s="108">
        <v>23</v>
      </c>
      <c r="C2109" s="108" t="s">
        <v>138</v>
      </c>
      <c r="D2109" s="108">
        <v>8113.9431927574396</v>
      </c>
      <c r="E2109" s="108">
        <v>0</v>
      </c>
      <c r="F2109" s="108" t="s">
        <v>136</v>
      </c>
      <c r="G2109" s="108"/>
      <c r="H2109" s="108">
        <v>1</v>
      </c>
    </row>
    <row r="2110" spans="1:8" ht="14">
      <c r="A2110" s="108">
        <v>2011</v>
      </c>
      <c r="B2110" s="108">
        <v>23</v>
      </c>
      <c r="C2110" s="108" t="s">
        <v>139</v>
      </c>
      <c r="D2110" s="108">
        <v>3698.26455132706</v>
      </c>
      <c r="E2110" s="108">
        <v>0</v>
      </c>
      <c r="F2110" s="108" t="s">
        <v>136</v>
      </c>
      <c r="G2110" s="108"/>
      <c r="H2110" s="108">
        <v>1</v>
      </c>
    </row>
    <row r="2111" spans="1:8" ht="14">
      <c r="A2111" s="108">
        <v>2011</v>
      </c>
      <c r="B2111" s="108">
        <v>23</v>
      </c>
      <c r="C2111" s="108" t="s">
        <v>139</v>
      </c>
      <c r="D2111" s="108">
        <v>863.05344867293002</v>
      </c>
      <c r="E2111" s="108">
        <v>0</v>
      </c>
      <c r="F2111" s="108" t="s">
        <v>135</v>
      </c>
      <c r="G2111" s="108"/>
      <c r="H2111" s="108">
        <v>1</v>
      </c>
    </row>
    <row r="2112" spans="1:8" ht="14">
      <c r="A2112" s="108">
        <v>2011</v>
      </c>
      <c r="B2112" s="108">
        <v>29</v>
      </c>
      <c r="C2112" s="108" t="s">
        <v>30</v>
      </c>
      <c r="D2112" s="108">
        <v>18032.327196898201</v>
      </c>
      <c r="E2112" s="108">
        <v>0</v>
      </c>
      <c r="F2112" s="108" t="s">
        <v>136</v>
      </c>
      <c r="G2112" s="108"/>
      <c r="H2112" s="108">
        <v>1</v>
      </c>
    </row>
    <row r="2113" spans="1:8" ht="14">
      <c r="A2113" s="108">
        <v>2011</v>
      </c>
      <c r="B2113" s="108">
        <v>29</v>
      </c>
      <c r="C2113" s="108" t="s">
        <v>30</v>
      </c>
      <c r="D2113" s="108">
        <v>18316.431803101699</v>
      </c>
      <c r="E2113" s="108">
        <v>0</v>
      </c>
      <c r="F2113" s="108" t="s">
        <v>135</v>
      </c>
      <c r="G2113" s="108"/>
      <c r="H2113" s="108">
        <v>1</v>
      </c>
    </row>
    <row r="2114" spans="1:8" ht="14">
      <c r="A2114" s="108">
        <v>2011</v>
      </c>
      <c r="B2114" s="108">
        <v>29</v>
      </c>
      <c r="C2114" s="108" t="s">
        <v>138</v>
      </c>
      <c r="D2114" s="108">
        <v>14688.8504592182</v>
      </c>
      <c r="E2114" s="108">
        <v>0</v>
      </c>
      <c r="F2114" s="108" t="s">
        <v>135</v>
      </c>
      <c r="G2114" s="108"/>
      <c r="H2114" s="108">
        <v>1</v>
      </c>
    </row>
    <row r="2115" spans="1:8" ht="14">
      <c r="A2115" s="108">
        <v>2011</v>
      </c>
      <c r="B2115" s="108">
        <v>29</v>
      </c>
      <c r="C2115" s="108" t="s">
        <v>138</v>
      </c>
      <c r="D2115" s="108">
        <v>9821.0315407817707</v>
      </c>
      <c r="E2115" s="108">
        <v>0</v>
      </c>
      <c r="F2115" s="108" t="s">
        <v>136</v>
      </c>
      <c r="G2115" s="108"/>
      <c r="H2115" s="108">
        <v>1</v>
      </c>
    </row>
    <row r="2116" spans="1:8" ht="14">
      <c r="A2116" s="108">
        <v>2011</v>
      </c>
      <c r="B2116" s="108">
        <v>29</v>
      </c>
      <c r="C2116" s="108" t="s">
        <v>139</v>
      </c>
      <c r="D2116" s="108">
        <v>8211.2956561164392</v>
      </c>
      <c r="E2116" s="108">
        <v>0</v>
      </c>
      <c r="F2116" s="108" t="s">
        <v>136</v>
      </c>
      <c r="G2116" s="108"/>
      <c r="H2116" s="108">
        <v>1</v>
      </c>
    </row>
    <row r="2117" spans="1:8" ht="14">
      <c r="A2117" s="108">
        <v>2011</v>
      </c>
      <c r="B2117" s="108">
        <v>29</v>
      </c>
      <c r="C2117" s="108" t="s">
        <v>139</v>
      </c>
      <c r="D2117" s="108">
        <v>3627.5813438835498</v>
      </c>
      <c r="E2117" s="108">
        <v>0</v>
      </c>
      <c r="F2117" s="108" t="s">
        <v>135</v>
      </c>
      <c r="G2117" s="108"/>
      <c r="H2117" s="108">
        <v>1</v>
      </c>
    </row>
    <row r="2118" spans="1:8" ht="14">
      <c r="A2118" s="108">
        <v>2011</v>
      </c>
      <c r="B2118" s="108">
        <v>31</v>
      </c>
      <c r="C2118" s="108" t="s">
        <v>30</v>
      </c>
      <c r="D2118" s="108">
        <v>22.358678187091101</v>
      </c>
      <c r="E2118" s="108">
        <v>52.3273225472212</v>
      </c>
      <c r="F2118" s="108" t="s">
        <v>137</v>
      </c>
      <c r="G2118" s="108">
        <v>52.327319398999997</v>
      </c>
      <c r="H2118" s="108">
        <v>1</v>
      </c>
    </row>
    <row r="2119" spans="1:8" ht="14">
      <c r="A2119" s="108">
        <v>2011</v>
      </c>
      <c r="B2119" s="108">
        <v>31</v>
      </c>
      <c r="C2119" s="108" t="s">
        <v>30</v>
      </c>
      <c r="D2119" s="108">
        <v>18804.514633561201</v>
      </c>
      <c r="E2119" s="108">
        <v>1464.8323850459601</v>
      </c>
      <c r="F2119" s="108" t="s">
        <v>136</v>
      </c>
      <c r="G2119" s="108">
        <v>1464.83234542999</v>
      </c>
      <c r="H2119" s="108">
        <v>1</v>
      </c>
    </row>
    <row r="2120" spans="1:8" ht="14">
      <c r="A2120" s="108">
        <v>2011</v>
      </c>
      <c r="B2120" s="108">
        <v>31</v>
      </c>
      <c r="C2120" s="108" t="s">
        <v>30</v>
      </c>
      <c r="D2120" s="108">
        <v>1102.4186882516201</v>
      </c>
      <c r="E2120" s="108">
        <v>157.48329240680701</v>
      </c>
      <c r="F2120" s="108" t="s">
        <v>135</v>
      </c>
      <c r="G2120" s="108">
        <v>157.483278192</v>
      </c>
      <c r="H2120" s="108">
        <v>1</v>
      </c>
    </row>
    <row r="2121" spans="1:8" ht="14">
      <c r="A2121" s="108">
        <v>2011</v>
      </c>
      <c r="B2121" s="108">
        <v>31</v>
      </c>
      <c r="C2121" s="108" t="s">
        <v>138</v>
      </c>
      <c r="D2121" s="108">
        <v>479.70750280607598</v>
      </c>
      <c r="E2121" s="108">
        <v>78.723285581805797</v>
      </c>
      <c r="F2121" s="108" t="s">
        <v>135</v>
      </c>
      <c r="G2121" s="108">
        <v>78.7232803039999</v>
      </c>
      <c r="H2121" s="108">
        <v>1</v>
      </c>
    </row>
    <row r="2122" spans="1:8" ht="14">
      <c r="A2122" s="108">
        <v>2011</v>
      </c>
      <c r="B2122" s="108">
        <v>31</v>
      </c>
      <c r="C2122" s="108" t="s">
        <v>138</v>
      </c>
      <c r="D2122" s="108">
        <v>12.163783364100899</v>
      </c>
      <c r="E2122" s="108">
        <v>1.95749953758553</v>
      </c>
      <c r="F2122" s="108" t="s">
        <v>137</v>
      </c>
      <c r="G2122" s="108">
        <v>1.95749952999999</v>
      </c>
      <c r="H2122" s="108">
        <v>1</v>
      </c>
    </row>
    <row r="2123" spans="1:8" ht="14">
      <c r="A2123" s="108">
        <v>2011</v>
      </c>
      <c r="B2123" s="108">
        <v>31</v>
      </c>
      <c r="C2123" s="108" t="s">
        <v>138</v>
      </c>
      <c r="D2123" s="108">
        <v>11076.8747138298</v>
      </c>
      <c r="E2123" s="108">
        <v>783.09521488061</v>
      </c>
      <c r="F2123" s="108" t="s">
        <v>136</v>
      </c>
      <c r="G2123" s="108">
        <v>783.09519231899901</v>
      </c>
      <c r="H2123" s="108">
        <v>1</v>
      </c>
    </row>
    <row r="2124" spans="1:8" ht="14">
      <c r="A2124" s="108">
        <v>2011</v>
      </c>
      <c r="B2124" s="108">
        <v>31</v>
      </c>
      <c r="C2124" s="108" t="s">
        <v>139</v>
      </c>
      <c r="D2124" s="108">
        <v>10.1948948229902</v>
      </c>
      <c r="E2124" s="108">
        <v>50.369823009635603</v>
      </c>
      <c r="F2124" s="108" t="s">
        <v>137</v>
      </c>
      <c r="G2124" s="108">
        <v>50.369819868999997</v>
      </c>
      <c r="H2124" s="108">
        <v>1</v>
      </c>
    </row>
    <row r="2125" spans="1:8" ht="14">
      <c r="A2125" s="108">
        <v>2011</v>
      </c>
      <c r="B2125" s="108">
        <v>31</v>
      </c>
      <c r="C2125" s="108" t="s">
        <v>139</v>
      </c>
      <c r="D2125" s="108">
        <v>622.711185445551</v>
      </c>
      <c r="E2125" s="108">
        <v>78.760006825001696</v>
      </c>
      <c r="F2125" s="108" t="s">
        <v>135</v>
      </c>
      <c r="G2125" s="108">
        <v>78.759997888000001</v>
      </c>
      <c r="H2125" s="108">
        <v>1</v>
      </c>
    </row>
    <row r="2126" spans="1:8" ht="14">
      <c r="A2126" s="108">
        <v>2011</v>
      </c>
      <c r="B2126" s="108">
        <v>31</v>
      </c>
      <c r="C2126" s="108" t="s">
        <v>139</v>
      </c>
      <c r="D2126" s="108">
        <v>7727.6399197314504</v>
      </c>
      <c r="E2126" s="108">
        <v>681.73717016536204</v>
      </c>
      <c r="F2126" s="108" t="s">
        <v>136</v>
      </c>
      <c r="G2126" s="108">
        <v>681.73715311099795</v>
      </c>
      <c r="H2126" s="108">
        <v>1</v>
      </c>
    </row>
    <row r="2127" spans="1:8" ht="14">
      <c r="A2127" s="108">
        <v>2011</v>
      </c>
      <c r="B2127" s="108">
        <v>32</v>
      </c>
      <c r="C2127" s="108" t="s">
        <v>30</v>
      </c>
      <c r="D2127" s="108">
        <v>66.8551275307277</v>
      </c>
      <c r="E2127" s="108">
        <v>61.419665668071403</v>
      </c>
      <c r="F2127" s="108" t="s">
        <v>137</v>
      </c>
      <c r="G2127" s="108">
        <v>122.83931468</v>
      </c>
      <c r="H2127" s="108">
        <v>1</v>
      </c>
    </row>
    <row r="2128" spans="1:8" ht="14">
      <c r="A2128" s="108">
        <v>2011</v>
      </c>
      <c r="B2128" s="108">
        <v>32</v>
      </c>
      <c r="C2128" s="108" t="s">
        <v>30</v>
      </c>
      <c r="D2128" s="108">
        <v>30560.770920863401</v>
      </c>
      <c r="E2128" s="108">
        <v>2601.8742555018298</v>
      </c>
      <c r="F2128" s="108" t="s">
        <v>136</v>
      </c>
      <c r="G2128" s="108">
        <v>5203.7483303700001</v>
      </c>
      <c r="H2128" s="108">
        <v>1</v>
      </c>
    </row>
    <row r="2129" spans="1:8" ht="14">
      <c r="A2129" s="108">
        <v>2011</v>
      </c>
      <c r="B2129" s="108">
        <v>32</v>
      </c>
      <c r="C2129" s="108" t="s">
        <v>30</v>
      </c>
      <c r="D2129" s="108">
        <v>2271.66495160574</v>
      </c>
      <c r="E2129" s="108">
        <v>192.91307883010199</v>
      </c>
      <c r="F2129" s="108" t="s">
        <v>135</v>
      </c>
      <c r="G2129" s="108">
        <v>385.82616144999997</v>
      </c>
      <c r="H2129" s="108">
        <v>1</v>
      </c>
    </row>
    <row r="2130" spans="1:8" ht="14">
      <c r="A2130" s="108">
        <v>2011</v>
      </c>
      <c r="B2130" s="108">
        <v>32</v>
      </c>
      <c r="C2130" s="108" t="s">
        <v>138</v>
      </c>
      <c r="D2130" s="108">
        <v>44.518484141017701</v>
      </c>
      <c r="E2130" s="108">
        <v>5.6885731251082197</v>
      </c>
      <c r="F2130" s="108" t="s">
        <v>137</v>
      </c>
      <c r="G2130" s="108">
        <v>11.3771447499999</v>
      </c>
      <c r="H2130" s="108">
        <v>1</v>
      </c>
    </row>
    <row r="2131" spans="1:8" ht="14">
      <c r="A2131" s="108">
        <v>2011</v>
      </c>
      <c r="B2131" s="108">
        <v>32</v>
      </c>
      <c r="C2131" s="108" t="s">
        <v>138</v>
      </c>
      <c r="D2131" s="108">
        <v>17645.2476837717</v>
      </c>
      <c r="E2131" s="108">
        <v>1343.8949057618599</v>
      </c>
      <c r="F2131" s="108" t="s">
        <v>136</v>
      </c>
      <c r="G2131" s="108">
        <v>2687.7896793499799</v>
      </c>
      <c r="H2131" s="108">
        <v>1</v>
      </c>
    </row>
    <row r="2132" spans="1:8" ht="14">
      <c r="A2132" s="108">
        <v>2011</v>
      </c>
      <c r="B2132" s="108">
        <v>32</v>
      </c>
      <c r="C2132" s="108" t="s">
        <v>138</v>
      </c>
      <c r="D2132" s="108">
        <v>1125.4698320872501</v>
      </c>
      <c r="E2132" s="108">
        <v>97.770521113033595</v>
      </c>
      <c r="F2132" s="108" t="s">
        <v>135</v>
      </c>
      <c r="G2132" s="108">
        <v>195.54103959</v>
      </c>
      <c r="H2132" s="108">
        <v>1</v>
      </c>
    </row>
    <row r="2133" spans="1:8" ht="14">
      <c r="A2133" s="108">
        <v>2011</v>
      </c>
      <c r="B2133" s="108">
        <v>32</v>
      </c>
      <c r="C2133" s="108" t="s">
        <v>139</v>
      </c>
      <c r="D2133" s="108">
        <v>22.336643389709899</v>
      </c>
      <c r="E2133" s="108">
        <v>55.731092542963196</v>
      </c>
      <c r="F2133" s="108" t="s">
        <v>137</v>
      </c>
      <c r="G2133" s="108">
        <v>111.46216993</v>
      </c>
      <c r="H2133" s="108">
        <v>1</v>
      </c>
    </row>
    <row r="2134" spans="1:8" ht="14">
      <c r="A2134" s="108">
        <v>2011</v>
      </c>
      <c r="B2134" s="108">
        <v>32</v>
      </c>
      <c r="C2134" s="108" t="s">
        <v>139</v>
      </c>
      <c r="D2134" s="108">
        <v>12915.5232370917</v>
      </c>
      <c r="E2134" s="108">
        <v>1257.9793497399601</v>
      </c>
      <c r="F2134" s="108" t="s">
        <v>136</v>
      </c>
      <c r="G2134" s="108">
        <v>2515.9586510200002</v>
      </c>
      <c r="H2134" s="108">
        <v>1</v>
      </c>
    </row>
    <row r="2135" spans="1:8" ht="14">
      <c r="A2135" s="108">
        <v>2011</v>
      </c>
      <c r="B2135" s="108">
        <v>32</v>
      </c>
      <c r="C2135" s="108" t="s">
        <v>139</v>
      </c>
      <c r="D2135" s="108">
        <v>1146.1951195184799</v>
      </c>
      <c r="E2135" s="108">
        <v>95.142557717069096</v>
      </c>
      <c r="F2135" s="108" t="s">
        <v>135</v>
      </c>
      <c r="G2135" s="108">
        <v>190.28512185999901</v>
      </c>
      <c r="H2135" s="108">
        <v>1</v>
      </c>
    </row>
    <row r="2136" spans="1:8" ht="14">
      <c r="A2136" s="108">
        <v>2011</v>
      </c>
      <c r="B2136" s="108">
        <v>33</v>
      </c>
      <c r="C2136" s="108" t="s">
        <v>30</v>
      </c>
      <c r="D2136" s="108">
        <v>30.118195086321801</v>
      </c>
      <c r="E2136" s="108">
        <v>4.3998949197936597</v>
      </c>
      <c r="F2136" s="108" t="s">
        <v>135</v>
      </c>
      <c r="G2136" s="108">
        <v>6.5998423899999903</v>
      </c>
      <c r="H2136" s="108">
        <v>1</v>
      </c>
    </row>
    <row r="2137" spans="1:8" ht="14">
      <c r="A2137" s="108">
        <v>2011</v>
      </c>
      <c r="B2137" s="108">
        <v>33</v>
      </c>
      <c r="C2137" s="108" t="s">
        <v>30</v>
      </c>
      <c r="D2137" s="108">
        <v>1134.71980491367</v>
      </c>
      <c r="E2137" s="108">
        <v>75.061105080206303</v>
      </c>
      <c r="F2137" s="108" t="s">
        <v>136</v>
      </c>
      <c r="G2137" s="108">
        <v>112.591657904</v>
      </c>
      <c r="H2137" s="108">
        <v>1</v>
      </c>
    </row>
    <row r="2138" spans="1:8" ht="14">
      <c r="A2138" s="108">
        <v>2011</v>
      </c>
      <c r="B2138" s="108">
        <v>33</v>
      </c>
      <c r="C2138" s="108" t="s">
        <v>138</v>
      </c>
      <c r="D2138" s="108">
        <v>15.208595767406299</v>
      </c>
      <c r="E2138" s="108">
        <v>2.3519159344058398</v>
      </c>
      <c r="F2138" s="108" t="s">
        <v>135</v>
      </c>
      <c r="G2138" s="108">
        <v>3.5278728199999998</v>
      </c>
      <c r="H2138" s="108">
        <v>1</v>
      </c>
    </row>
    <row r="2139" spans="1:8" ht="14">
      <c r="A2139" s="108">
        <v>2011</v>
      </c>
      <c r="B2139" s="108">
        <v>33</v>
      </c>
      <c r="C2139" s="108" t="s">
        <v>138</v>
      </c>
      <c r="D2139" s="108">
        <v>776.00740423259299</v>
      </c>
      <c r="E2139" s="108">
        <v>40.056084065594099</v>
      </c>
      <c r="F2139" s="108" t="s">
        <v>136</v>
      </c>
      <c r="G2139" s="108">
        <v>60.084126517999998</v>
      </c>
      <c r="H2139" s="108">
        <v>1</v>
      </c>
    </row>
    <row r="2140" spans="1:8" ht="14">
      <c r="A2140" s="108">
        <v>2011</v>
      </c>
      <c r="B2140" s="108">
        <v>33</v>
      </c>
      <c r="C2140" s="108" t="s">
        <v>139</v>
      </c>
      <c r="D2140" s="108">
        <v>14.9095993189155</v>
      </c>
      <c r="E2140" s="108">
        <v>2.0479789853878199</v>
      </c>
      <c r="F2140" s="108" t="s">
        <v>135</v>
      </c>
      <c r="G2140" s="108">
        <v>3.0719695699999998</v>
      </c>
      <c r="H2140" s="108">
        <v>1</v>
      </c>
    </row>
    <row r="2141" spans="1:8" ht="14">
      <c r="A2141" s="108">
        <v>2011</v>
      </c>
      <c r="B2141" s="108">
        <v>33</v>
      </c>
      <c r="C2141" s="108" t="s">
        <v>139</v>
      </c>
      <c r="D2141" s="108">
        <v>358.71240068108398</v>
      </c>
      <c r="E2141" s="108">
        <v>35.005021014612097</v>
      </c>
      <c r="F2141" s="108" t="s">
        <v>136</v>
      </c>
      <c r="G2141" s="108">
        <v>52.507531385999997</v>
      </c>
      <c r="H2141" s="108">
        <v>1</v>
      </c>
    </row>
    <row r="2142" spans="1:8" ht="14">
      <c r="A2142" s="108">
        <v>2011</v>
      </c>
      <c r="B2142" s="108">
        <v>34</v>
      </c>
      <c r="C2142" s="108" t="s">
        <v>30</v>
      </c>
      <c r="D2142" s="108">
        <v>3609.9654427104101</v>
      </c>
      <c r="E2142" s="108">
        <v>272.36430974384803</v>
      </c>
      <c r="F2142" s="108" t="s">
        <v>136</v>
      </c>
      <c r="G2142" s="108">
        <v>612.81966420000003</v>
      </c>
      <c r="H2142" s="108">
        <v>1</v>
      </c>
    </row>
    <row r="2143" spans="1:8" ht="14">
      <c r="A2143" s="108">
        <v>2011</v>
      </c>
      <c r="B2143" s="108">
        <v>34</v>
      </c>
      <c r="C2143" s="108" t="s">
        <v>30</v>
      </c>
      <c r="D2143" s="108">
        <v>0.505517997342674</v>
      </c>
      <c r="E2143" s="108">
        <v>9.3010275144888993E-2</v>
      </c>
      <c r="F2143" s="108" t="s">
        <v>137</v>
      </c>
      <c r="G2143" s="108">
        <v>0.20927317000000001</v>
      </c>
      <c r="H2143" s="108">
        <v>1</v>
      </c>
    </row>
    <row r="2144" spans="1:8" ht="14">
      <c r="A2144" s="108">
        <v>2011</v>
      </c>
      <c r="B2144" s="108">
        <v>34</v>
      </c>
      <c r="C2144" s="108" t="s">
        <v>30</v>
      </c>
      <c r="D2144" s="108">
        <v>99.013039292243405</v>
      </c>
      <c r="E2144" s="108">
        <v>9.5006799810067797</v>
      </c>
      <c r="F2144" s="108" t="s">
        <v>135</v>
      </c>
      <c r="G2144" s="108">
        <v>21.376531889999999</v>
      </c>
      <c r="H2144" s="108">
        <v>1</v>
      </c>
    </row>
    <row r="2145" spans="1:8" ht="14">
      <c r="A2145" s="108">
        <v>2011</v>
      </c>
      <c r="B2145" s="108">
        <v>34</v>
      </c>
      <c r="C2145" s="108" t="s">
        <v>138</v>
      </c>
      <c r="D2145" s="108">
        <v>0.505517997342674</v>
      </c>
      <c r="E2145" s="108">
        <v>6.8980744633872701E-2</v>
      </c>
      <c r="F2145" s="108" t="s">
        <v>137</v>
      </c>
      <c r="G2145" s="108">
        <v>0.15520671</v>
      </c>
      <c r="H2145" s="108">
        <v>1</v>
      </c>
    </row>
    <row r="2146" spans="1:8" ht="14">
      <c r="A2146" s="108">
        <v>2011</v>
      </c>
      <c r="B2146" s="108">
        <v>34</v>
      </c>
      <c r="C2146" s="108" t="s">
        <v>138</v>
      </c>
      <c r="D2146" s="108">
        <v>2518.9521357417598</v>
      </c>
      <c r="E2146" s="108">
        <v>137.57255974825301</v>
      </c>
      <c r="F2146" s="108" t="s">
        <v>136</v>
      </c>
      <c r="G2146" s="108">
        <v>309.538257469999</v>
      </c>
      <c r="H2146" s="108">
        <v>1</v>
      </c>
    </row>
    <row r="2147" spans="1:8" ht="14">
      <c r="A2147" s="108">
        <v>2011</v>
      </c>
      <c r="B2147" s="108">
        <v>34</v>
      </c>
      <c r="C2147" s="108" t="s">
        <v>138</v>
      </c>
      <c r="D2147" s="108">
        <v>44.244346260890403</v>
      </c>
      <c r="E2147" s="108">
        <v>4.8514595071126401</v>
      </c>
      <c r="F2147" s="108" t="s">
        <v>135</v>
      </c>
      <c r="G2147" s="108">
        <v>10.915785229999999</v>
      </c>
      <c r="H2147" s="108">
        <v>1</v>
      </c>
    </row>
    <row r="2148" spans="1:8" ht="14">
      <c r="A2148" s="108">
        <v>2011</v>
      </c>
      <c r="B2148" s="108">
        <v>34</v>
      </c>
      <c r="C2148" s="108" t="s">
        <v>139</v>
      </c>
      <c r="D2148" s="108">
        <v>54.768693031352903</v>
      </c>
      <c r="E2148" s="108">
        <v>4.6492204738941396</v>
      </c>
      <c r="F2148" s="108" t="s">
        <v>135</v>
      </c>
      <c r="G2148" s="108">
        <v>10.4607466599999</v>
      </c>
      <c r="H2148" s="108">
        <v>1</v>
      </c>
    </row>
    <row r="2149" spans="1:8" ht="14">
      <c r="A2149" s="108">
        <v>2011</v>
      </c>
      <c r="B2149" s="108">
        <v>34</v>
      </c>
      <c r="C2149" s="108" t="s">
        <v>139</v>
      </c>
      <c r="D2149" s="108">
        <v>1091.0133069686401</v>
      </c>
      <c r="E2149" s="108">
        <v>134.79174999559399</v>
      </c>
      <c r="F2149" s="108" t="s">
        <v>136</v>
      </c>
      <c r="G2149" s="108">
        <v>303.28140673000001</v>
      </c>
      <c r="H2149" s="108">
        <v>1</v>
      </c>
    </row>
    <row r="2150" spans="1:8" ht="14">
      <c r="A2150" s="108">
        <v>2011</v>
      </c>
      <c r="B2150" s="108">
        <v>34</v>
      </c>
      <c r="C2150" s="108" t="s">
        <v>139</v>
      </c>
      <c r="D2150" s="108">
        <v>0</v>
      </c>
      <c r="E2150" s="108">
        <v>2.4029530511016198E-2</v>
      </c>
      <c r="F2150" s="108" t="s">
        <v>137</v>
      </c>
      <c r="G2150" s="108">
        <v>5.4066459999999997E-2</v>
      </c>
      <c r="H2150" s="108">
        <v>1</v>
      </c>
    </row>
    <row r="2151" spans="1:8" ht="14">
      <c r="A2151" s="108">
        <v>2011</v>
      </c>
      <c r="B2151" s="108">
        <v>51</v>
      </c>
      <c r="C2151" s="108" t="s">
        <v>30</v>
      </c>
      <c r="D2151" s="108">
        <v>34865.1367480607</v>
      </c>
      <c r="E2151" s="108">
        <v>2931.5531308107602</v>
      </c>
      <c r="F2151" s="108" t="s">
        <v>136</v>
      </c>
      <c r="G2151" s="108"/>
      <c r="H2151" s="108">
        <v>1</v>
      </c>
    </row>
    <row r="2152" spans="1:8" ht="14">
      <c r="A2152" s="108">
        <v>2011</v>
      </c>
      <c r="B2152" s="108">
        <v>51</v>
      </c>
      <c r="C2152" s="108" t="s">
        <v>30</v>
      </c>
      <c r="D2152" s="108">
        <v>7490.9402519392897</v>
      </c>
      <c r="E2152" s="108">
        <v>596.02886918923002</v>
      </c>
      <c r="F2152" s="108" t="s">
        <v>135</v>
      </c>
      <c r="G2152" s="108"/>
      <c r="H2152" s="108">
        <v>1</v>
      </c>
    </row>
    <row r="2153" spans="1:8" ht="14">
      <c r="A2153" s="108">
        <v>2011</v>
      </c>
      <c r="B2153" s="108">
        <v>51</v>
      </c>
      <c r="C2153" s="108" t="s">
        <v>138</v>
      </c>
      <c r="D2153" s="108">
        <v>20168.5304019295</v>
      </c>
      <c r="E2153" s="108">
        <v>1463.9646042939901</v>
      </c>
      <c r="F2153" s="108" t="s">
        <v>136</v>
      </c>
      <c r="G2153" s="108"/>
      <c r="H2153" s="108">
        <v>1</v>
      </c>
    </row>
    <row r="2154" spans="1:8" ht="14">
      <c r="A2154" s="108">
        <v>2011</v>
      </c>
      <c r="B2154" s="108">
        <v>51</v>
      </c>
      <c r="C2154" s="108" t="s">
        <v>138</v>
      </c>
      <c r="D2154" s="108">
        <v>3704.0055980704501</v>
      </c>
      <c r="E2154" s="108">
        <v>297.49939570600702</v>
      </c>
      <c r="F2154" s="108" t="s">
        <v>135</v>
      </c>
      <c r="G2154" s="108"/>
      <c r="H2154" s="108">
        <v>1</v>
      </c>
    </row>
    <row r="2155" spans="1:8" ht="14">
      <c r="A2155" s="108">
        <v>2011</v>
      </c>
      <c r="B2155" s="108">
        <v>51</v>
      </c>
      <c r="C2155" s="108" t="s">
        <v>139</v>
      </c>
      <c r="D2155" s="108">
        <v>14696.606346131101</v>
      </c>
      <c r="E2155" s="108">
        <v>1467.5885265167699</v>
      </c>
      <c r="F2155" s="108" t="s">
        <v>136</v>
      </c>
      <c r="G2155" s="108"/>
      <c r="H2155" s="108">
        <v>1</v>
      </c>
    </row>
    <row r="2156" spans="1:8" ht="14">
      <c r="A2156" s="108">
        <v>2011</v>
      </c>
      <c r="B2156" s="108">
        <v>51</v>
      </c>
      <c r="C2156" s="108" t="s">
        <v>139</v>
      </c>
      <c r="D2156" s="108">
        <v>3786.9346538688301</v>
      </c>
      <c r="E2156" s="108">
        <v>298.529473483223</v>
      </c>
      <c r="F2156" s="108" t="s">
        <v>135</v>
      </c>
      <c r="G2156" s="108"/>
      <c r="H2156" s="108">
        <v>1</v>
      </c>
    </row>
    <row r="2157" spans="1:8" ht="14">
      <c r="A2157" s="108">
        <v>2011</v>
      </c>
      <c r="B2157" s="108">
        <v>52</v>
      </c>
      <c r="C2157" s="108" t="s">
        <v>30</v>
      </c>
      <c r="D2157" s="108">
        <v>0</v>
      </c>
      <c r="E2157" s="108">
        <v>4664.6535038412503</v>
      </c>
      <c r="F2157" s="108" t="s">
        <v>136</v>
      </c>
      <c r="G2157" s="108"/>
      <c r="H2157" s="108">
        <v>1</v>
      </c>
    </row>
    <row r="2158" spans="1:8" ht="14">
      <c r="A2158" s="108">
        <v>2011</v>
      </c>
      <c r="B2158" s="108">
        <v>52</v>
      </c>
      <c r="C2158" s="108" t="s">
        <v>30</v>
      </c>
      <c r="D2158" s="108">
        <v>0</v>
      </c>
      <c r="E2158" s="108">
        <v>1227.46949615874</v>
      </c>
      <c r="F2158" s="108" t="s">
        <v>135</v>
      </c>
      <c r="G2158" s="108"/>
      <c r="H2158" s="108">
        <v>1</v>
      </c>
    </row>
    <row r="2159" spans="1:8" ht="14">
      <c r="A2159" s="108">
        <v>2011</v>
      </c>
      <c r="B2159" s="108">
        <v>52</v>
      </c>
      <c r="C2159" s="108" t="s">
        <v>138</v>
      </c>
      <c r="D2159" s="108">
        <v>0</v>
      </c>
      <c r="E2159" s="108">
        <v>2300.96110586232</v>
      </c>
      <c r="F2159" s="108" t="s">
        <v>136</v>
      </c>
      <c r="G2159" s="108"/>
      <c r="H2159" s="108">
        <v>1</v>
      </c>
    </row>
    <row r="2160" spans="1:8" ht="14">
      <c r="A2160" s="108">
        <v>2011</v>
      </c>
      <c r="B2160" s="108">
        <v>52</v>
      </c>
      <c r="C2160" s="108" t="s">
        <v>138</v>
      </c>
      <c r="D2160" s="108">
        <v>0</v>
      </c>
      <c r="E2160" s="108">
        <v>615.31689413767197</v>
      </c>
      <c r="F2160" s="108" t="s">
        <v>135</v>
      </c>
      <c r="G2160" s="108"/>
      <c r="H2160" s="108">
        <v>1</v>
      </c>
    </row>
    <row r="2161" spans="1:8" ht="14">
      <c r="A2161" s="108">
        <v>2011</v>
      </c>
      <c r="B2161" s="108">
        <v>52</v>
      </c>
      <c r="C2161" s="108" t="s">
        <v>139</v>
      </c>
      <c r="D2161" s="108">
        <v>0</v>
      </c>
      <c r="E2161" s="108">
        <v>2363.6923979789299</v>
      </c>
      <c r="F2161" s="108" t="s">
        <v>136</v>
      </c>
      <c r="G2161" s="108"/>
      <c r="H2161" s="108">
        <v>1</v>
      </c>
    </row>
    <row r="2162" spans="1:8" ht="14">
      <c r="A2162" s="108">
        <v>2011</v>
      </c>
      <c r="B2162" s="108">
        <v>52</v>
      </c>
      <c r="C2162" s="108" t="s">
        <v>139</v>
      </c>
      <c r="D2162" s="108">
        <v>0</v>
      </c>
      <c r="E2162" s="108">
        <v>612.15260202106799</v>
      </c>
      <c r="F2162" s="108" t="s">
        <v>135</v>
      </c>
      <c r="G2162" s="108"/>
      <c r="H2162" s="108">
        <v>1</v>
      </c>
    </row>
    <row r="2163" spans="1:8" ht="14">
      <c r="A2163" s="108">
        <v>2011</v>
      </c>
      <c r="B2163" s="108">
        <v>53</v>
      </c>
      <c r="C2163" s="108" t="s">
        <v>30</v>
      </c>
      <c r="D2163" s="108">
        <v>0</v>
      </c>
      <c r="E2163" s="108">
        <v>110.864</v>
      </c>
      <c r="F2163" s="108" t="s">
        <v>136</v>
      </c>
      <c r="G2163" s="108"/>
      <c r="H2163" s="108">
        <v>1</v>
      </c>
    </row>
    <row r="2164" spans="1:8" ht="14">
      <c r="A2164" s="108">
        <v>2011</v>
      </c>
      <c r="B2164" s="108">
        <v>53</v>
      </c>
      <c r="C2164" s="108" t="s">
        <v>30</v>
      </c>
      <c r="D2164" s="108">
        <v>0</v>
      </c>
      <c r="E2164" s="108">
        <v>31.689</v>
      </c>
      <c r="F2164" s="108" t="s">
        <v>135</v>
      </c>
      <c r="G2164" s="108"/>
      <c r="H2164" s="108">
        <v>1</v>
      </c>
    </row>
    <row r="2165" spans="1:8" ht="14">
      <c r="A2165" s="108">
        <v>2011</v>
      </c>
      <c r="B2165" s="108">
        <v>53</v>
      </c>
      <c r="C2165" s="108" t="s">
        <v>138</v>
      </c>
      <c r="D2165" s="108">
        <v>0</v>
      </c>
      <c r="E2165" s="108">
        <v>56.335000000000001</v>
      </c>
      <c r="F2165" s="108" t="s">
        <v>136</v>
      </c>
      <c r="G2165" s="108"/>
      <c r="H2165" s="108">
        <v>1</v>
      </c>
    </row>
    <row r="2166" spans="1:8" ht="14">
      <c r="A2166" s="108">
        <v>2011</v>
      </c>
      <c r="B2166" s="108">
        <v>53</v>
      </c>
      <c r="C2166" s="108" t="s">
        <v>138</v>
      </c>
      <c r="D2166" s="108">
        <v>0</v>
      </c>
      <c r="E2166" s="108">
        <v>16.212999999999901</v>
      </c>
      <c r="F2166" s="108" t="s">
        <v>135</v>
      </c>
      <c r="G2166" s="108"/>
      <c r="H2166" s="108">
        <v>1</v>
      </c>
    </row>
    <row r="2167" spans="1:8" ht="14">
      <c r="A2167" s="108">
        <v>2011</v>
      </c>
      <c r="B2167" s="108">
        <v>53</v>
      </c>
      <c r="C2167" s="108" t="s">
        <v>139</v>
      </c>
      <c r="D2167" s="108">
        <v>0</v>
      </c>
      <c r="E2167" s="108">
        <v>15.476000000000001</v>
      </c>
      <c r="F2167" s="108" t="s">
        <v>135</v>
      </c>
      <c r="G2167" s="108"/>
      <c r="H2167" s="108">
        <v>1</v>
      </c>
    </row>
    <row r="2168" spans="1:8" ht="14">
      <c r="A2168" s="108">
        <v>2011</v>
      </c>
      <c r="B2168" s="108">
        <v>53</v>
      </c>
      <c r="C2168" s="108" t="s">
        <v>139</v>
      </c>
      <c r="D2168" s="108">
        <v>0</v>
      </c>
      <c r="E2168" s="108">
        <v>54.529000000000003</v>
      </c>
      <c r="F2168" s="108" t="s">
        <v>136</v>
      </c>
      <c r="G2168" s="108"/>
      <c r="H2168" s="108">
        <v>1</v>
      </c>
    </row>
    <row r="2169" spans="1:8" ht="14">
      <c r="A2169" s="108">
        <v>2011</v>
      </c>
      <c r="B2169" s="108">
        <v>54</v>
      </c>
      <c r="C2169" s="108" t="s">
        <v>30</v>
      </c>
      <c r="D2169" s="108">
        <v>161.02074213307699</v>
      </c>
      <c r="E2169" s="108">
        <v>125.175294378302</v>
      </c>
      <c r="F2169" s="108" t="s">
        <v>135</v>
      </c>
      <c r="G2169" s="108"/>
      <c r="H2169" s="108">
        <v>1</v>
      </c>
    </row>
    <row r="2170" spans="1:8" ht="14">
      <c r="A2170" s="108">
        <v>2011</v>
      </c>
      <c r="B2170" s="108">
        <v>54</v>
      </c>
      <c r="C2170" s="108" t="s">
        <v>30</v>
      </c>
      <c r="D2170" s="108">
        <v>5123.2792578669196</v>
      </c>
      <c r="E2170" s="108">
        <v>3298.9437056216898</v>
      </c>
      <c r="F2170" s="108" t="s">
        <v>136</v>
      </c>
      <c r="G2170" s="108"/>
      <c r="H2170" s="108">
        <v>1</v>
      </c>
    </row>
    <row r="2171" spans="1:8" ht="14">
      <c r="A2171" s="108">
        <v>2011</v>
      </c>
      <c r="B2171" s="108">
        <v>54</v>
      </c>
      <c r="C2171" s="108" t="s">
        <v>138</v>
      </c>
      <c r="D2171" s="108">
        <v>2734.5897804812898</v>
      </c>
      <c r="E2171" s="108">
        <v>1954.19383091242</v>
      </c>
      <c r="F2171" s="108" t="s">
        <v>136</v>
      </c>
      <c r="G2171" s="108"/>
      <c r="H2171" s="108">
        <v>1</v>
      </c>
    </row>
    <row r="2172" spans="1:8" ht="14">
      <c r="A2172" s="108">
        <v>2011</v>
      </c>
      <c r="B2172" s="108">
        <v>54</v>
      </c>
      <c r="C2172" s="108" t="s">
        <v>138</v>
      </c>
      <c r="D2172" s="108">
        <v>82.016219518700396</v>
      </c>
      <c r="E2172" s="108">
        <v>61.163169087579</v>
      </c>
      <c r="F2172" s="108" t="s">
        <v>135</v>
      </c>
      <c r="G2172" s="108"/>
      <c r="H2172" s="108">
        <v>1</v>
      </c>
    </row>
    <row r="2173" spans="1:8" ht="14">
      <c r="A2173" s="108">
        <v>2011</v>
      </c>
      <c r="B2173" s="108">
        <v>54</v>
      </c>
      <c r="C2173" s="108" t="s">
        <v>139</v>
      </c>
      <c r="D2173" s="108">
        <v>2388.6894773856202</v>
      </c>
      <c r="E2173" s="108">
        <v>1344.74987470927</v>
      </c>
      <c r="F2173" s="108" t="s">
        <v>136</v>
      </c>
      <c r="G2173" s="108"/>
      <c r="H2173" s="108">
        <v>1</v>
      </c>
    </row>
    <row r="2174" spans="1:8" ht="14">
      <c r="A2174" s="108">
        <v>2011</v>
      </c>
      <c r="B2174" s="108">
        <v>54</v>
      </c>
      <c r="C2174" s="108" t="s">
        <v>139</v>
      </c>
      <c r="D2174" s="108">
        <v>79.004522614376796</v>
      </c>
      <c r="E2174" s="108">
        <v>64.012125290723702</v>
      </c>
      <c r="F2174" s="108" t="s">
        <v>135</v>
      </c>
      <c r="G2174" s="108"/>
      <c r="H2174" s="108">
        <v>1</v>
      </c>
    </row>
    <row r="2175" spans="1:8" ht="14">
      <c r="A2175" s="108">
        <v>2011</v>
      </c>
      <c r="B2175" s="108">
        <v>59</v>
      </c>
      <c r="C2175" s="108" t="s">
        <v>30</v>
      </c>
      <c r="D2175" s="108">
        <v>46.869</v>
      </c>
      <c r="E2175" s="108">
        <v>4.6839999999999904</v>
      </c>
      <c r="F2175" s="108" t="s">
        <v>136</v>
      </c>
      <c r="G2175" s="108"/>
      <c r="H2175" s="108">
        <v>1</v>
      </c>
    </row>
    <row r="2176" spans="1:8" ht="14">
      <c r="A2176" s="108">
        <v>2011</v>
      </c>
      <c r="B2176" s="108">
        <v>59</v>
      </c>
      <c r="C2176" s="108" t="s">
        <v>30</v>
      </c>
      <c r="D2176" s="108">
        <v>0</v>
      </c>
      <c r="E2176" s="108">
        <v>0.52300000000000002</v>
      </c>
      <c r="F2176" s="108" t="s">
        <v>135</v>
      </c>
      <c r="G2176" s="108"/>
      <c r="H2176" s="108">
        <v>1</v>
      </c>
    </row>
    <row r="2177" spans="1:8" ht="14">
      <c r="A2177" s="108">
        <v>2011</v>
      </c>
      <c r="B2177" s="108">
        <v>59</v>
      </c>
      <c r="C2177" s="108" t="s">
        <v>138</v>
      </c>
      <c r="D2177" s="108">
        <v>3.90499999999999</v>
      </c>
      <c r="E2177" s="108">
        <v>0.33900000000000002</v>
      </c>
      <c r="F2177" s="108" t="s">
        <v>136</v>
      </c>
      <c r="G2177" s="108"/>
      <c r="H2177" s="108">
        <v>1</v>
      </c>
    </row>
    <row r="2178" spans="1:8" ht="14">
      <c r="A2178" s="108">
        <v>2011</v>
      </c>
      <c r="B2178" s="108">
        <v>59</v>
      </c>
      <c r="C2178" s="108" t="s">
        <v>138</v>
      </c>
      <c r="D2178" s="108">
        <v>0</v>
      </c>
      <c r="E2178" s="108">
        <v>0.20299999999999899</v>
      </c>
      <c r="F2178" s="108" t="s">
        <v>135</v>
      </c>
      <c r="G2178" s="108"/>
      <c r="H2178" s="108">
        <v>1</v>
      </c>
    </row>
    <row r="2179" spans="1:8" ht="14">
      <c r="A2179" s="108">
        <v>2011</v>
      </c>
      <c r="B2179" s="108">
        <v>59</v>
      </c>
      <c r="C2179" s="108" t="s">
        <v>139</v>
      </c>
      <c r="D2179" s="108">
        <v>42.963999999999999</v>
      </c>
      <c r="E2179" s="108">
        <v>4.34499999999999</v>
      </c>
      <c r="F2179" s="108" t="s">
        <v>136</v>
      </c>
      <c r="G2179" s="108"/>
      <c r="H2179" s="108">
        <v>1</v>
      </c>
    </row>
    <row r="2180" spans="1:8" ht="14">
      <c r="A2180" s="108">
        <v>2011</v>
      </c>
      <c r="B2180" s="108">
        <v>59</v>
      </c>
      <c r="C2180" s="108" t="s">
        <v>139</v>
      </c>
      <c r="D2180" s="108">
        <v>0</v>
      </c>
      <c r="E2180" s="108">
        <v>0.31999999999999901</v>
      </c>
      <c r="F2180" s="108" t="s">
        <v>135</v>
      </c>
      <c r="G2180" s="108"/>
      <c r="H2180" s="108">
        <v>1</v>
      </c>
    </row>
    <row r="2181" spans="1:8" ht="14">
      <c r="A2181" s="108">
        <v>2011</v>
      </c>
      <c r="B2181" s="108">
        <v>61</v>
      </c>
      <c r="C2181" s="108" t="s">
        <v>30</v>
      </c>
      <c r="D2181" s="108">
        <v>24271.401619911801</v>
      </c>
      <c r="E2181" s="108">
        <v>1669.0874711081699</v>
      </c>
      <c r="F2181" s="108" t="s">
        <v>136</v>
      </c>
      <c r="G2181" s="108"/>
      <c r="H2181" s="108">
        <v>1</v>
      </c>
    </row>
    <row r="2182" spans="1:8" ht="14">
      <c r="A2182" s="108">
        <v>2011</v>
      </c>
      <c r="B2182" s="108">
        <v>61</v>
      </c>
      <c r="C2182" s="108" t="s">
        <v>30</v>
      </c>
      <c r="D2182" s="108">
        <v>13651.181380088099</v>
      </c>
      <c r="E2182" s="108">
        <v>1015.87552889182</v>
      </c>
      <c r="F2182" s="108" t="s">
        <v>135</v>
      </c>
      <c r="G2182" s="108"/>
      <c r="H2182" s="108">
        <v>1</v>
      </c>
    </row>
    <row r="2183" spans="1:8" ht="14">
      <c r="A2183" s="108">
        <v>2011</v>
      </c>
      <c r="B2183" s="108">
        <v>61</v>
      </c>
      <c r="C2183" s="108" t="s">
        <v>138</v>
      </c>
      <c r="D2183" s="108">
        <v>6657.9435142535503</v>
      </c>
      <c r="E2183" s="108">
        <v>502.714073639037</v>
      </c>
      <c r="F2183" s="108" t="s">
        <v>135</v>
      </c>
      <c r="G2183" s="108"/>
      <c r="H2183" s="108">
        <v>1</v>
      </c>
    </row>
    <row r="2184" spans="1:8" ht="14">
      <c r="A2184" s="108">
        <v>2011</v>
      </c>
      <c r="B2184" s="108">
        <v>61</v>
      </c>
      <c r="C2184" s="108" t="s">
        <v>138</v>
      </c>
      <c r="D2184" s="108">
        <v>14761.983485746399</v>
      </c>
      <c r="E2184" s="108">
        <v>849.861926360962</v>
      </c>
      <c r="F2184" s="108" t="s">
        <v>136</v>
      </c>
      <c r="G2184" s="108"/>
      <c r="H2184" s="108">
        <v>1</v>
      </c>
    </row>
    <row r="2185" spans="1:8" ht="14">
      <c r="A2185" s="108">
        <v>2011</v>
      </c>
      <c r="B2185" s="108">
        <v>61</v>
      </c>
      <c r="C2185" s="108" t="s">
        <v>139</v>
      </c>
      <c r="D2185" s="108">
        <v>6993.2378658345797</v>
      </c>
      <c r="E2185" s="108">
        <v>513.161455252785</v>
      </c>
      <c r="F2185" s="108" t="s">
        <v>135</v>
      </c>
      <c r="G2185" s="108"/>
      <c r="H2185" s="108">
        <v>1</v>
      </c>
    </row>
    <row r="2186" spans="1:8" ht="14">
      <c r="A2186" s="108">
        <v>2011</v>
      </c>
      <c r="B2186" s="108">
        <v>61</v>
      </c>
      <c r="C2186" s="108" t="s">
        <v>139</v>
      </c>
      <c r="D2186" s="108">
        <v>9509.4181341654094</v>
      </c>
      <c r="E2186" s="108">
        <v>819.22554474721403</v>
      </c>
      <c r="F2186" s="108" t="s">
        <v>136</v>
      </c>
      <c r="G2186" s="108"/>
      <c r="H2186" s="108">
        <v>1</v>
      </c>
    </row>
    <row r="2187" spans="1:8" ht="14">
      <c r="A2187" s="108">
        <v>2011</v>
      </c>
      <c r="B2187" s="108">
        <v>62</v>
      </c>
      <c r="C2187" s="108" t="s">
        <v>30</v>
      </c>
      <c r="D2187" s="108">
        <v>268.25706571522699</v>
      </c>
      <c r="E2187" s="108">
        <v>44.851789207657497</v>
      </c>
      <c r="F2187" s="108" t="s">
        <v>136</v>
      </c>
      <c r="G2187" s="108"/>
      <c r="H2187" s="108">
        <v>1</v>
      </c>
    </row>
    <row r="2188" spans="1:8" ht="14">
      <c r="A2188" s="108">
        <v>2011</v>
      </c>
      <c r="B2188" s="108">
        <v>62</v>
      </c>
      <c r="C2188" s="108" t="s">
        <v>30</v>
      </c>
      <c r="D2188" s="108">
        <v>42.714934284772497</v>
      </c>
      <c r="E2188" s="108">
        <v>23.852210792342401</v>
      </c>
      <c r="F2188" s="108" t="s">
        <v>135</v>
      </c>
      <c r="G2188" s="108"/>
      <c r="H2188" s="108">
        <v>1</v>
      </c>
    </row>
    <row r="2189" spans="1:8" ht="14">
      <c r="A2189" s="108">
        <v>2011</v>
      </c>
      <c r="B2189" s="108">
        <v>62</v>
      </c>
      <c r="C2189" s="108" t="s">
        <v>138</v>
      </c>
      <c r="D2189" s="108">
        <v>17.9367152339371</v>
      </c>
      <c r="E2189" s="108">
        <v>9.0171407110666006</v>
      </c>
      <c r="F2189" s="108" t="s">
        <v>135</v>
      </c>
      <c r="G2189" s="108"/>
      <c r="H2189" s="108">
        <v>1</v>
      </c>
    </row>
    <row r="2190" spans="1:8" ht="14">
      <c r="A2190" s="108">
        <v>2011</v>
      </c>
      <c r="B2190" s="108">
        <v>62</v>
      </c>
      <c r="C2190" s="108" t="s">
        <v>138</v>
      </c>
      <c r="D2190" s="108">
        <v>173.957284766062</v>
      </c>
      <c r="E2190" s="108">
        <v>26.0168592889334</v>
      </c>
      <c r="F2190" s="108" t="s">
        <v>136</v>
      </c>
      <c r="G2190" s="108"/>
      <c r="H2190" s="108">
        <v>1</v>
      </c>
    </row>
    <row r="2191" spans="1:8" ht="14">
      <c r="A2191" s="108">
        <v>2011</v>
      </c>
      <c r="B2191" s="108">
        <v>62</v>
      </c>
      <c r="C2191" s="108" t="s">
        <v>139</v>
      </c>
      <c r="D2191" s="108">
        <v>94.299780949164401</v>
      </c>
      <c r="E2191" s="108">
        <v>18.8349299187241</v>
      </c>
      <c r="F2191" s="108" t="s">
        <v>136</v>
      </c>
      <c r="G2191" s="108"/>
      <c r="H2191" s="108">
        <v>1</v>
      </c>
    </row>
    <row r="2192" spans="1:8" ht="14">
      <c r="A2192" s="108">
        <v>2011</v>
      </c>
      <c r="B2192" s="108">
        <v>62</v>
      </c>
      <c r="C2192" s="108" t="s">
        <v>139</v>
      </c>
      <c r="D2192" s="108">
        <v>24.778219050835499</v>
      </c>
      <c r="E2192" s="108">
        <v>14.8350700812758</v>
      </c>
      <c r="F2192" s="108" t="s">
        <v>135</v>
      </c>
      <c r="G2192" s="108"/>
      <c r="H2192" s="108">
        <v>1</v>
      </c>
    </row>
    <row r="2193" spans="1:8" ht="14">
      <c r="A2193" s="108">
        <v>2011</v>
      </c>
      <c r="B2193" s="108">
        <v>63</v>
      </c>
      <c r="C2193" s="108" t="s">
        <v>30</v>
      </c>
      <c r="D2193" s="108">
        <v>11352.676190858399</v>
      </c>
      <c r="E2193" s="108">
        <v>720.445194752053</v>
      </c>
      <c r="F2193" s="108" t="s">
        <v>136</v>
      </c>
      <c r="G2193" s="108"/>
      <c r="H2193" s="108">
        <v>1</v>
      </c>
    </row>
    <row r="2194" spans="1:8" ht="14">
      <c r="A2194" s="108">
        <v>2011</v>
      </c>
      <c r="B2194" s="108">
        <v>63</v>
      </c>
      <c r="C2194" s="108" t="s">
        <v>30</v>
      </c>
      <c r="D2194" s="108">
        <v>27.388809141556401</v>
      </c>
      <c r="E2194" s="108">
        <v>6.4628052479462301</v>
      </c>
      <c r="F2194" s="108" t="s">
        <v>135</v>
      </c>
      <c r="G2194" s="108"/>
      <c r="H2194" s="108">
        <v>1</v>
      </c>
    </row>
    <row r="2195" spans="1:8" ht="14">
      <c r="A2195" s="108">
        <v>2011</v>
      </c>
      <c r="B2195" s="108">
        <v>63</v>
      </c>
      <c r="C2195" s="108" t="s">
        <v>138</v>
      </c>
      <c r="D2195" s="108">
        <v>15.669</v>
      </c>
      <c r="E2195" s="108">
        <v>3.3210000000000002</v>
      </c>
      <c r="F2195" s="108" t="s">
        <v>135</v>
      </c>
      <c r="G2195" s="108"/>
      <c r="H2195" s="108">
        <v>1</v>
      </c>
    </row>
    <row r="2196" spans="1:8" ht="14">
      <c r="A2196" s="108">
        <v>2011</v>
      </c>
      <c r="B2196" s="108">
        <v>63</v>
      </c>
      <c r="C2196" s="108" t="s">
        <v>138</v>
      </c>
      <c r="D2196" s="108">
        <v>8750.0660000000007</v>
      </c>
      <c r="E2196" s="108">
        <v>368.28199999999902</v>
      </c>
      <c r="F2196" s="108" t="s">
        <v>136</v>
      </c>
      <c r="G2196" s="108"/>
      <c r="H2196" s="108">
        <v>1</v>
      </c>
    </row>
    <row r="2197" spans="1:8" ht="14">
      <c r="A2197" s="108">
        <v>2011</v>
      </c>
      <c r="B2197" s="108">
        <v>63</v>
      </c>
      <c r="C2197" s="108" t="s">
        <v>139</v>
      </c>
      <c r="D2197" s="108">
        <v>2602.6101908584401</v>
      </c>
      <c r="E2197" s="108">
        <v>352.16319475205302</v>
      </c>
      <c r="F2197" s="108" t="s">
        <v>136</v>
      </c>
      <c r="G2197" s="108"/>
      <c r="H2197" s="108">
        <v>1</v>
      </c>
    </row>
    <row r="2198" spans="1:8" ht="14">
      <c r="A2198" s="108">
        <v>2011</v>
      </c>
      <c r="B2198" s="108">
        <v>63</v>
      </c>
      <c r="C2198" s="108" t="s">
        <v>139</v>
      </c>
      <c r="D2198" s="108">
        <v>11.7198091415564</v>
      </c>
      <c r="E2198" s="108">
        <v>3.14180524794623</v>
      </c>
      <c r="F2198" s="108" t="s">
        <v>135</v>
      </c>
      <c r="G2198" s="108"/>
      <c r="H2198" s="108">
        <v>1</v>
      </c>
    </row>
    <row r="2199" spans="1:8" ht="14">
      <c r="A2199" s="108">
        <v>2011</v>
      </c>
      <c r="B2199" s="108">
        <v>69</v>
      </c>
      <c r="C2199" s="108" t="s">
        <v>30</v>
      </c>
      <c r="D2199" s="108">
        <v>8.1869999999999994</v>
      </c>
      <c r="E2199" s="108">
        <v>0.89898163953949894</v>
      </c>
      <c r="F2199" s="108" t="s">
        <v>136</v>
      </c>
      <c r="G2199" s="108"/>
      <c r="H2199" s="108">
        <v>1</v>
      </c>
    </row>
    <row r="2200" spans="1:8" ht="14">
      <c r="A2200" s="108">
        <v>2011</v>
      </c>
      <c r="B2200" s="108">
        <v>69</v>
      </c>
      <c r="C2200" s="108" t="s">
        <v>30</v>
      </c>
      <c r="D2200" s="108">
        <v>0</v>
      </c>
      <c r="E2200" s="108">
        <v>0.37601836046050002</v>
      </c>
      <c r="F2200" s="108" t="s">
        <v>135</v>
      </c>
      <c r="G2200" s="108"/>
      <c r="H2200" s="108">
        <v>1</v>
      </c>
    </row>
    <row r="2201" spans="1:8" ht="14">
      <c r="A2201" s="108">
        <v>2011</v>
      </c>
      <c r="B2201" s="108">
        <v>69</v>
      </c>
      <c r="C2201" s="108" t="s">
        <v>138</v>
      </c>
      <c r="D2201" s="108">
        <v>0</v>
      </c>
      <c r="E2201" s="108">
        <v>0.13802272727272699</v>
      </c>
      <c r="F2201" s="108" t="s">
        <v>135</v>
      </c>
      <c r="G2201" s="108"/>
      <c r="H2201" s="108">
        <v>1</v>
      </c>
    </row>
    <row r="2202" spans="1:8" ht="14">
      <c r="A2202" s="108">
        <v>2011</v>
      </c>
      <c r="B2202" s="108">
        <v>69</v>
      </c>
      <c r="C2202" s="108" t="s">
        <v>138</v>
      </c>
      <c r="D2202" s="108">
        <v>0.16500000000000001</v>
      </c>
      <c r="E2202" s="108">
        <v>0.100977272727272</v>
      </c>
      <c r="F2202" s="108" t="s">
        <v>136</v>
      </c>
      <c r="G2202" s="108"/>
      <c r="H2202" s="108">
        <v>1</v>
      </c>
    </row>
    <row r="2203" spans="1:8" ht="14">
      <c r="A2203" s="108">
        <v>2011</v>
      </c>
      <c r="B2203" s="108">
        <v>69</v>
      </c>
      <c r="C2203" s="108" t="s">
        <v>139</v>
      </c>
      <c r="D2203" s="108">
        <v>8.0220000000000002</v>
      </c>
      <c r="E2203" s="108">
        <v>0.79800436681222697</v>
      </c>
      <c r="F2203" s="108" t="s">
        <v>136</v>
      </c>
      <c r="G2203" s="108"/>
      <c r="H2203" s="108">
        <v>1</v>
      </c>
    </row>
    <row r="2204" spans="1:8" ht="14">
      <c r="A2204" s="108">
        <v>2011</v>
      </c>
      <c r="B2204" s="108">
        <v>69</v>
      </c>
      <c r="C2204" s="108" t="s">
        <v>139</v>
      </c>
      <c r="D2204" s="108">
        <v>0</v>
      </c>
      <c r="E2204" s="108">
        <v>0.237995633187772</v>
      </c>
      <c r="F2204" s="108" t="s">
        <v>135</v>
      </c>
      <c r="G2204" s="108"/>
      <c r="H2204" s="108">
        <v>1</v>
      </c>
    </row>
    <row r="2205" spans="1:8" ht="14">
      <c r="A2205" s="108">
        <v>2011</v>
      </c>
      <c r="B2205" s="108">
        <v>91</v>
      </c>
      <c r="C2205" s="108" t="s">
        <v>30</v>
      </c>
      <c r="D2205" s="108">
        <v>103.007217253741</v>
      </c>
      <c r="E2205" s="108">
        <v>0</v>
      </c>
      <c r="F2205" s="108" t="s">
        <v>135</v>
      </c>
      <c r="G2205" s="108"/>
      <c r="H2205" s="108">
        <v>1</v>
      </c>
    </row>
    <row r="2206" spans="1:8" ht="14">
      <c r="A2206" s="108">
        <v>2011</v>
      </c>
      <c r="B2206" s="108">
        <v>91</v>
      </c>
      <c r="C2206" s="108" t="s">
        <v>30</v>
      </c>
      <c r="D2206" s="108">
        <v>5610.0407827462504</v>
      </c>
      <c r="E2206" s="108">
        <v>0</v>
      </c>
      <c r="F2206" s="108" t="s">
        <v>136</v>
      </c>
      <c r="G2206" s="108"/>
      <c r="H2206" s="108">
        <v>1</v>
      </c>
    </row>
    <row r="2207" spans="1:8" ht="14">
      <c r="A2207" s="108">
        <v>2011</v>
      </c>
      <c r="B2207" s="108">
        <v>91</v>
      </c>
      <c r="C2207" s="108" t="s">
        <v>138</v>
      </c>
      <c r="D2207" s="108">
        <v>96.164459765062304</v>
      </c>
      <c r="E2207" s="108">
        <v>0</v>
      </c>
      <c r="F2207" s="108" t="s">
        <v>135</v>
      </c>
      <c r="G2207" s="108"/>
      <c r="H2207" s="108">
        <v>1</v>
      </c>
    </row>
    <row r="2208" spans="1:8" ht="14">
      <c r="A2208" s="108">
        <v>2011</v>
      </c>
      <c r="B2208" s="108">
        <v>91</v>
      </c>
      <c r="C2208" s="108" t="s">
        <v>138</v>
      </c>
      <c r="D2208" s="108">
        <v>5351.4325402349396</v>
      </c>
      <c r="E2208" s="108">
        <v>0</v>
      </c>
      <c r="F2208" s="108" t="s">
        <v>136</v>
      </c>
      <c r="G2208" s="108"/>
      <c r="H2208" s="108">
        <v>1</v>
      </c>
    </row>
    <row r="2209" spans="1:8" ht="14">
      <c r="A2209" s="108">
        <v>2011</v>
      </c>
      <c r="B2209" s="108">
        <v>91</v>
      </c>
      <c r="C2209" s="108" t="s">
        <v>139</v>
      </c>
      <c r="D2209" s="108">
        <v>6.8427574886795597</v>
      </c>
      <c r="E2209" s="108">
        <v>0</v>
      </c>
      <c r="F2209" s="108" t="s">
        <v>135</v>
      </c>
      <c r="G2209" s="108"/>
      <c r="H2209" s="108">
        <v>1</v>
      </c>
    </row>
    <row r="2210" spans="1:8" ht="14">
      <c r="A2210" s="108">
        <v>2011</v>
      </c>
      <c r="B2210" s="108">
        <v>91</v>
      </c>
      <c r="C2210" s="108" t="s">
        <v>139</v>
      </c>
      <c r="D2210" s="108">
        <v>258.60824251131999</v>
      </c>
      <c r="E2210" s="108">
        <v>0</v>
      </c>
      <c r="F2210" s="108" t="s">
        <v>136</v>
      </c>
      <c r="G2210" s="108"/>
      <c r="H2210" s="108">
        <v>1</v>
      </c>
    </row>
    <row r="2211" spans="1:8" ht="14">
      <c r="A2211" s="108">
        <v>2011</v>
      </c>
      <c r="B2211" s="108">
        <v>92</v>
      </c>
      <c r="C2211" s="108" t="s">
        <v>30</v>
      </c>
      <c r="D2211" s="108">
        <v>141.517353937472</v>
      </c>
      <c r="E2211" s="108">
        <v>0</v>
      </c>
      <c r="F2211" s="108" t="s">
        <v>135</v>
      </c>
      <c r="G2211" s="108"/>
      <c r="H2211" s="108">
        <v>1</v>
      </c>
    </row>
    <row r="2212" spans="1:8" ht="14">
      <c r="A2212" s="108">
        <v>2011</v>
      </c>
      <c r="B2212" s="108">
        <v>92</v>
      </c>
      <c r="C2212" s="108" t="s">
        <v>30</v>
      </c>
      <c r="D2212" s="108">
        <v>6794.2236460625199</v>
      </c>
      <c r="E2212" s="108">
        <v>0</v>
      </c>
      <c r="F2212" s="108" t="s">
        <v>136</v>
      </c>
      <c r="G2212" s="108"/>
      <c r="H2212" s="108">
        <v>1</v>
      </c>
    </row>
    <row r="2213" spans="1:8" ht="14">
      <c r="A2213" s="108">
        <v>2011</v>
      </c>
      <c r="B2213" s="108">
        <v>92</v>
      </c>
      <c r="C2213" s="108" t="s">
        <v>138</v>
      </c>
      <c r="D2213" s="108">
        <v>4968.7170327394597</v>
      </c>
      <c r="E2213" s="108">
        <v>0</v>
      </c>
      <c r="F2213" s="108" t="s">
        <v>136</v>
      </c>
      <c r="G2213" s="108"/>
      <c r="H2213" s="108">
        <v>1</v>
      </c>
    </row>
    <row r="2214" spans="1:8" ht="14">
      <c r="A2214" s="108">
        <v>2011</v>
      </c>
      <c r="B2214" s="108">
        <v>92</v>
      </c>
      <c r="C2214" s="108" t="s">
        <v>138</v>
      </c>
      <c r="D2214" s="108">
        <v>95.379967260534002</v>
      </c>
      <c r="E2214" s="108">
        <v>0</v>
      </c>
      <c r="F2214" s="108" t="s">
        <v>135</v>
      </c>
      <c r="G2214" s="108"/>
      <c r="H2214" s="108">
        <v>1</v>
      </c>
    </row>
    <row r="2215" spans="1:8" ht="14">
      <c r="A2215" s="108">
        <v>2011</v>
      </c>
      <c r="B2215" s="108">
        <v>92</v>
      </c>
      <c r="C2215" s="108" t="s">
        <v>139</v>
      </c>
      <c r="D2215" s="108">
        <v>1825.50661332306</v>
      </c>
      <c r="E2215" s="108">
        <v>0</v>
      </c>
      <c r="F2215" s="108" t="s">
        <v>136</v>
      </c>
      <c r="G2215" s="108"/>
      <c r="H2215" s="108">
        <v>1</v>
      </c>
    </row>
    <row r="2216" spans="1:8" ht="14">
      <c r="A2216" s="108">
        <v>2011</v>
      </c>
      <c r="B2216" s="108">
        <v>92</v>
      </c>
      <c r="C2216" s="108" t="s">
        <v>139</v>
      </c>
      <c r="D2216" s="108">
        <v>46.137386676938299</v>
      </c>
      <c r="E2216" s="108">
        <v>0</v>
      </c>
      <c r="F2216" s="108" t="s">
        <v>135</v>
      </c>
      <c r="G2216" s="108"/>
      <c r="H2216" s="108">
        <v>1</v>
      </c>
    </row>
    <row r="2217" spans="1:8" ht="14">
      <c r="A2217" s="108">
        <v>2011</v>
      </c>
      <c r="B2217" s="108">
        <v>99</v>
      </c>
      <c r="C2217" s="108" t="s">
        <v>30</v>
      </c>
      <c r="D2217" s="108">
        <v>3676.3375627647101</v>
      </c>
      <c r="E2217" s="108">
        <v>0</v>
      </c>
      <c r="F2217" s="108" t="s">
        <v>136</v>
      </c>
      <c r="G2217" s="108"/>
      <c r="H2217" s="108">
        <v>1</v>
      </c>
    </row>
    <row r="2218" spans="1:8" ht="14">
      <c r="A2218" s="108">
        <v>2011</v>
      </c>
      <c r="B2218" s="108">
        <v>99</v>
      </c>
      <c r="C2218" s="108" t="s">
        <v>30</v>
      </c>
      <c r="D2218" s="108">
        <v>1692.15543723528</v>
      </c>
      <c r="E2218" s="108">
        <v>0</v>
      </c>
      <c r="F2218" s="108" t="s">
        <v>135</v>
      </c>
      <c r="G2218" s="108"/>
      <c r="H2218" s="108">
        <v>1</v>
      </c>
    </row>
    <row r="2219" spans="1:8" ht="14">
      <c r="A2219" s="108">
        <v>2011</v>
      </c>
      <c r="B2219" s="108">
        <v>99</v>
      </c>
      <c r="C2219" s="108" t="s">
        <v>138</v>
      </c>
      <c r="D2219" s="108">
        <v>547.09537638444397</v>
      </c>
      <c r="E2219" s="108">
        <v>0</v>
      </c>
      <c r="F2219" s="108" t="s">
        <v>135</v>
      </c>
      <c r="G2219" s="108"/>
      <c r="H2219" s="108">
        <v>1</v>
      </c>
    </row>
    <row r="2220" spans="1:8" ht="14">
      <c r="A2220" s="108">
        <v>2011</v>
      </c>
      <c r="B2220" s="108">
        <v>99</v>
      </c>
      <c r="C2220" s="108" t="s">
        <v>138</v>
      </c>
      <c r="D2220" s="108">
        <v>2538.3436236155499</v>
      </c>
      <c r="E2220" s="108">
        <v>0</v>
      </c>
      <c r="F2220" s="108" t="s">
        <v>136</v>
      </c>
      <c r="G2220" s="108"/>
      <c r="H2220" s="108">
        <v>1</v>
      </c>
    </row>
    <row r="2221" spans="1:8" ht="14">
      <c r="A2221" s="108">
        <v>2011</v>
      </c>
      <c r="B2221" s="108">
        <v>99</v>
      </c>
      <c r="C2221" s="108" t="s">
        <v>139</v>
      </c>
      <c r="D2221" s="108">
        <v>1137.99393914915</v>
      </c>
      <c r="E2221" s="108">
        <v>0</v>
      </c>
      <c r="F2221" s="108" t="s">
        <v>136</v>
      </c>
      <c r="G2221" s="108"/>
      <c r="H2221" s="108">
        <v>1</v>
      </c>
    </row>
    <row r="2222" spans="1:8" ht="14">
      <c r="A2222" s="108">
        <v>2011</v>
      </c>
      <c r="B2222" s="108">
        <v>99</v>
      </c>
      <c r="C2222" s="108" t="s">
        <v>139</v>
      </c>
      <c r="D2222" s="108">
        <v>1145.06006085084</v>
      </c>
      <c r="E2222" s="108">
        <v>0</v>
      </c>
      <c r="F2222" s="108" t="s">
        <v>135</v>
      </c>
      <c r="G2222" s="108"/>
      <c r="H2222" s="108">
        <v>1</v>
      </c>
    </row>
    <row r="2223" spans="1:8" ht="14">
      <c r="A2223" s="108">
        <v>2012</v>
      </c>
      <c r="B2223" s="108">
        <v>11</v>
      </c>
      <c r="C2223" s="108" t="s">
        <v>30</v>
      </c>
      <c r="D2223" s="108">
        <v>15194.2891618638</v>
      </c>
      <c r="E2223" s="108">
        <v>0</v>
      </c>
      <c r="F2223" s="108" t="s">
        <v>136</v>
      </c>
      <c r="G2223" s="108"/>
      <c r="H2223" s="108">
        <v>1</v>
      </c>
    </row>
    <row r="2224" spans="1:8" ht="14">
      <c r="A2224" s="108">
        <v>2012</v>
      </c>
      <c r="B2224" s="108">
        <v>11</v>
      </c>
      <c r="C2224" s="108" t="s">
        <v>30</v>
      </c>
      <c r="D2224" s="108">
        <v>675.03883813619802</v>
      </c>
      <c r="E2224" s="108">
        <v>0</v>
      </c>
      <c r="F2224" s="108" t="s">
        <v>135</v>
      </c>
      <c r="G2224" s="108"/>
      <c r="H2224" s="108">
        <v>1</v>
      </c>
    </row>
    <row r="2225" spans="1:8" ht="14">
      <c r="A2225" s="108">
        <v>2012</v>
      </c>
      <c r="B2225" s="108">
        <v>11</v>
      </c>
      <c r="C2225" s="108" t="s">
        <v>138</v>
      </c>
      <c r="D2225" s="108">
        <v>11498.277052956</v>
      </c>
      <c r="E2225" s="108">
        <v>0</v>
      </c>
      <c r="F2225" s="108" t="s">
        <v>136</v>
      </c>
      <c r="G2225" s="108"/>
      <c r="H2225" s="108">
        <v>1</v>
      </c>
    </row>
    <row r="2226" spans="1:8" ht="14">
      <c r="A2226" s="108">
        <v>2012</v>
      </c>
      <c r="B2226" s="108">
        <v>11</v>
      </c>
      <c r="C2226" s="108" t="s">
        <v>138</v>
      </c>
      <c r="D2226" s="108">
        <v>286.80794704390098</v>
      </c>
      <c r="E2226" s="108">
        <v>0</v>
      </c>
      <c r="F2226" s="108" t="s">
        <v>135</v>
      </c>
      <c r="G2226" s="108"/>
      <c r="H2226" s="108">
        <v>1</v>
      </c>
    </row>
    <row r="2227" spans="1:8" ht="14">
      <c r="A2227" s="108">
        <v>2012</v>
      </c>
      <c r="B2227" s="108">
        <v>11</v>
      </c>
      <c r="C2227" s="108" t="s">
        <v>139</v>
      </c>
      <c r="D2227" s="108">
        <v>3696.0121089077002</v>
      </c>
      <c r="E2227" s="108">
        <v>0</v>
      </c>
      <c r="F2227" s="108" t="s">
        <v>136</v>
      </c>
      <c r="G2227" s="108"/>
      <c r="H2227" s="108">
        <v>1</v>
      </c>
    </row>
    <row r="2228" spans="1:8" ht="14">
      <c r="A2228" s="108">
        <v>2012</v>
      </c>
      <c r="B2228" s="108">
        <v>11</v>
      </c>
      <c r="C2228" s="108" t="s">
        <v>139</v>
      </c>
      <c r="D2228" s="108">
        <v>388.23089109229699</v>
      </c>
      <c r="E2228" s="108">
        <v>0</v>
      </c>
      <c r="F2228" s="108" t="s">
        <v>135</v>
      </c>
      <c r="G2228" s="108"/>
      <c r="H2228" s="108">
        <v>1</v>
      </c>
    </row>
    <row r="2229" spans="1:8" ht="14">
      <c r="A2229" s="108">
        <v>2012</v>
      </c>
      <c r="B2229" s="108">
        <v>12</v>
      </c>
      <c r="C2229" s="108" t="s">
        <v>30</v>
      </c>
      <c r="D2229" s="108">
        <v>34945.240768566502</v>
      </c>
      <c r="E2229" s="108">
        <v>0</v>
      </c>
      <c r="F2229" s="108" t="s">
        <v>135</v>
      </c>
      <c r="G2229" s="108"/>
      <c r="H2229" s="108">
        <v>1</v>
      </c>
    </row>
    <row r="2230" spans="1:8" ht="14">
      <c r="A2230" s="108">
        <v>2012</v>
      </c>
      <c r="B2230" s="108">
        <v>12</v>
      </c>
      <c r="C2230" s="108" t="s">
        <v>30</v>
      </c>
      <c r="D2230" s="108">
        <v>70082.8152314334</v>
      </c>
      <c r="E2230" s="108">
        <v>0</v>
      </c>
      <c r="F2230" s="108" t="s">
        <v>136</v>
      </c>
      <c r="G2230" s="108"/>
      <c r="H2230" s="108">
        <v>1</v>
      </c>
    </row>
    <row r="2231" spans="1:8" ht="14">
      <c r="A2231" s="108">
        <v>2012</v>
      </c>
      <c r="B2231" s="108">
        <v>12</v>
      </c>
      <c r="C2231" s="108" t="s">
        <v>138</v>
      </c>
      <c r="D2231" s="108">
        <v>45763.534232529099</v>
      </c>
      <c r="E2231" s="108">
        <v>0</v>
      </c>
      <c r="F2231" s="108" t="s">
        <v>136</v>
      </c>
      <c r="G2231" s="108"/>
      <c r="H2231" s="108">
        <v>1</v>
      </c>
    </row>
    <row r="2232" spans="1:8" ht="14">
      <c r="A2232" s="108">
        <v>2012</v>
      </c>
      <c r="B2232" s="108">
        <v>12</v>
      </c>
      <c r="C2232" s="108" t="s">
        <v>138</v>
      </c>
      <c r="D2232" s="108">
        <v>20044.156767470799</v>
      </c>
      <c r="E2232" s="108">
        <v>0</v>
      </c>
      <c r="F2232" s="108" t="s">
        <v>135</v>
      </c>
      <c r="G2232" s="108"/>
      <c r="H2232" s="108">
        <v>1</v>
      </c>
    </row>
    <row r="2233" spans="1:8" ht="14">
      <c r="A2233" s="108">
        <v>2012</v>
      </c>
      <c r="B2233" s="108">
        <v>12</v>
      </c>
      <c r="C2233" s="108" t="s">
        <v>139</v>
      </c>
      <c r="D2233" s="108">
        <v>24319.280998904302</v>
      </c>
      <c r="E2233" s="108">
        <v>0</v>
      </c>
      <c r="F2233" s="108" t="s">
        <v>136</v>
      </c>
      <c r="G2233" s="108"/>
      <c r="H2233" s="108">
        <v>1</v>
      </c>
    </row>
    <row r="2234" spans="1:8" ht="14">
      <c r="A2234" s="108">
        <v>2012</v>
      </c>
      <c r="B2234" s="108">
        <v>12</v>
      </c>
      <c r="C2234" s="108" t="s">
        <v>139</v>
      </c>
      <c r="D2234" s="108">
        <v>14901.0840010956</v>
      </c>
      <c r="E2234" s="108">
        <v>0</v>
      </c>
      <c r="F2234" s="108" t="s">
        <v>135</v>
      </c>
      <c r="G2234" s="108"/>
      <c r="H2234" s="108">
        <v>1</v>
      </c>
    </row>
    <row r="2235" spans="1:8" ht="14">
      <c r="A2235" s="108">
        <v>2012</v>
      </c>
      <c r="B2235" s="108">
        <v>13</v>
      </c>
      <c r="C2235" s="108" t="s">
        <v>30</v>
      </c>
      <c r="D2235" s="108">
        <v>63568.454835328397</v>
      </c>
      <c r="E2235" s="108">
        <v>0</v>
      </c>
      <c r="F2235" s="108" t="s">
        <v>136</v>
      </c>
      <c r="G2235" s="108"/>
      <c r="H2235" s="108">
        <v>1</v>
      </c>
    </row>
    <row r="2236" spans="1:8" ht="14">
      <c r="A2236" s="108">
        <v>2012</v>
      </c>
      <c r="B2236" s="108">
        <v>13</v>
      </c>
      <c r="C2236" s="108" t="s">
        <v>30</v>
      </c>
      <c r="D2236" s="108">
        <v>15225.1571646715</v>
      </c>
      <c r="E2236" s="108">
        <v>0</v>
      </c>
      <c r="F2236" s="108" t="s">
        <v>135</v>
      </c>
      <c r="G2236" s="108"/>
      <c r="H2236" s="108">
        <v>1</v>
      </c>
    </row>
    <row r="2237" spans="1:8" ht="14">
      <c r="A2237" s="108">
        <v>2012</v>
      </c>
      <c r="B2237" s="108">
        <v>13</v>
      </c>
      <c r="C2237" s="108" t="s">
        <v>138</v>
      </c>
      <c r="D2237" s="108">
        <v>7874.1551567550496</v>
      </c>
      <c r="E2237" s="108">
        <v>0</v>
      </c>
      <c r="F2237" s="108" t="s">
        <v>135</v>
      </c>
      <c r="G2237" s="108"/>
      <c r="H2237" s="108">
        <v>1</v>
      </c>
    </row>
    <row r="2238" spans="1:8" ht="14">
      <c r="A2238" s="108">
        <v>2012</v>
      </c>
      <c r="B2238" s="108">
        <v>13</v>
      </c>
      <c r="C2238" s="108" t="s">
        <v>138</v>
      </c>
      <c r="D2238" s="108">
        <v>33559.442843244899</v>
      </c>
      <c r="E2238" s="108">
        <v>0</v>
      </c>
      <c r="F2238" s="108" t="s">
        <v>136</v>
      </c>
      <c r="G2238" s="108"/>
      <c r="H2238" s="108">
        <v>1</v>
      </c>
    </row>
    <row r="2239" spans="1:8" ht="14">
      <c r="A2239" s="108">
        <v>2012</v>
      </c>
      <c r="B2239" s="108">
        <v>13</v>
      </c>
      <c r="C2239" s="108" t="s">
        <v>139</v>
      </c>
      <c r="D2239" s="108">
        <v>7351.0020079164997</v>
      </c>
      <c r="E2239" s="108">
        <v>0</v>
      </c>
      <c r="F2239" s="108" t="s">
        <v>135</v>
      </c>
      <c r="G2239" s="108"/>
      <c r="H2239" s="108">
        <v>1</v>
      </c>
    </row>
    <row r="2240" spans="1:8" ht="14">
      <c r="A2240" s="108">
        <v>2012</v>
      </c>
      <c r="B2240" s="108">
        <v>13</v>
      </c>
      <c r="C2240" s="108" t="s">
        <v>139</v>
      </c>
      <c r="D2240" s="108">
        <v>30009.011992083499</v>
      </c>
      <c r="E2240" s="108">
        <v>0</v>
      </c>
      <c r="F2240" s="108" t="s">
        <v>136</v>
      </c>
      <c r="G2240" s="108"/>
      <c r="H2240" s="108">
        <v>1</v>
      </c>
    </row>
    <row r="2241" spans="1:8" ht="14">
      <c r="A2241" s="108">
        <v>2012</v>
      </c>
      <c r="B2241" s="108">
        <v>19</v>
      </c>
      <c r="C2241" s="108" t="s">
        <v>30</v>
      </c>
      <c r="D2241" s="108">
        <v>9101.5458221204899</v>
      </c>
      <c r="E2241" s="108">
        <v>0</v>
      </c>
      <c r="F2241" s="108" t="s">
        <v>136</v>
      </c>
      <c r="G2241" s="108"/>
      <c r="H2241" s="108">
        <v>1</v>
      </c>
    </row>
    <row r="2242" spans="1:8" ht="14">
      <c r="A2242" s="108">
        <v>2012</v>
      </c>
      <c r="B2242" s="108">
        <v>19</v>
      </c>
      <c r="C2242" s="108" t="s">
        <v>30</v>
      </c>
      <c r="D2242" s="108">
        <v>2065.0561778795</v>
      </c>
      <c r="E2242" s="108">
        <v>0</v>
      </c>
      <c r="F2242" s="108" t="s">
        <v>135</v>
      </c>
      <c r="G2242" s="108"/>
      <c r="H2242" s="108">
        <v>1</v>
      </c>
    </row>
    <row r="2243" spans="1:8" ht="14">
      <c r="A2243" s="108">
        <v>2012</v>
      </c>
      <c r="B2243" s="108">
        <v>19</v>
      </c>
      <c r="C2243" s="108" t="s">
        <v>138</v>
      </c>
      <c r="D2243" s="108">
        <v>5414.4541820057502</v>
      </c>
      <c r="E2243" s="108">
        <v>0</v>
      </c>
      <c r="F2243" s="108" t="s">
        <v>136</v>
      </c>
      <c r="G2243" s="108"/>
      <c r="H2243" s="108">
        <v>1</v>
      </c>
    </row>
    <row r="2244" spans="1:8" ht="14">
      <c r="A2244" s="108">
        <v>2012</v>
      </c>
      <c r="B2244" s="108">
        <v>19</v>
      </c>
      <c r="C2244" s="108" t="s">
        <v>138</v>
      </c>
      <c r="D2244" s="108">
        <v>730.67281799424904</v>
      </c>
      <c r="E2244" s="108">
        <v>0</v>
      </c>
      <c r="F2244" s="108" t="s">
        <v>135</v>
      </c>
      <c r="G2244" s="108"/>
      <c r="H2244" s="108">
        <v>1</v>
      </c>
    </row>
    <row r="2245" spans="1:8" ht="14">
      <c r="A2245" s="108">
        <v>2012</v>
      </c>
      <c r="B2245" s="108">
        <v>19</v>
      </c>
      <c r="C2245" s="108" t="s">
        <v>139</v>
      </c>
      <c r="D2245" s="108">
        <v>1334.38335988525</v>
      </c>
      <c r="E2245" s="108">
        <v>0</v>
      </c>
      <c r="F2245" s="108" t="s">
        <v>135</v>
      </c>
      <c r="G2245" s="108"/>
      <c r="H2245" s="108">
        <v>1</v>
      </c>
    </row>
    <row r="2246" spans="1:8" ht="14">
      <c r="A2246" s="108">
        <v>2012</v>
      </c>
      <c r="B2246" s="108">
        <v>19</v>
      </c>
      <c r="C2246" s="108" t="s">
        <v>139</v>
      </c>
      <c r="D2246" s="108">
        <v>3687.0916401147401</v>
      </c>
      <c r="E2246" s="108">
        <v>0</v>
      </c>
      <c r="F2246" s="108" t="s">
        <v>136</v>
      </c>
      <c r="G2246" s="108"/>
      <c r="H2246" s="108">
        <v>1</v>
      </c>
    </row>
    <row r="2247" spans="1:8" ht="14">
      <c r="A2247" s="108">
        <v>2012</v>
      </c>
      <c r="B2247" s="108">
        <v>21</v>
      </c>
      <c r="C2247" s="108" t="s">
        <v>30</v>
      </c>
      <c r="D2247" s="108">
        <v>585.97027696101702</v>
      </c>
      <c r="E2247" s="108">
        <v>0</v>
      </c>
      <c r="F2247" s="108" t="s">
        <v>135</v>
      </c>
      <c r="G2247" s="108"/>
      <c r="H2247" s="108">
        <v>1</v>
      </c>
    </row>
    <row r="2248" spans="1:8" ht="14">
      <c r="A2248" s="108">
        <v>2012</v>
      </c>
      <c r="B2248" s="108">
        <v>21</v>
      </c>
      <c r="C2248" s="108" t="s">
        <v>30</v>
      </c>
      <c r="D2248" s="108">
        <v>15734.353723038899</v>
      </c>
      <c r="E2248" s="108">
        <v>0</v>
      </c>
      <c r="F2248" s="108" t="s">
        <v>136</v>
      </c>
      <c r="G2248" s="108"/>
      <c r="H2248" s="108">
        <v>1</v>
      </c>
    </row>
    <row r="2249" spans="1:8" ht="14">
      <c r="A2249" s="108">
        <v>2012</v>
      </c>
      <c r="B2249" s="108">
        <v>21</v>
      </c>
      <c r="C2249" s="108" t="s">
        <v>138</v>
      </c>
      <c r="D2249" s="108">
        <v>10657.8157841744</v>
      </c>
      <c r="E2249" s="108">
        <v>0</v>
      </c>
      <c r="F2249" s="108" t="s">
        <v>136</v>
      </c>
      <c r="G2249" s="108"/>
      <c r="H2249" s="108">
        <v>1</v>
      </c>
    </row>
    <row r="2250" spans="1:8" ht="14">
      <c r="A2250" s="108">
        <v>2012</v>
      </c>
      <c r="B2250" s="108">
        <v>21</v>
      </c>
      <c r="C2250" s="108" t="s">
        <v>138</v>
      </c>
      <c r="D2250" s="108">
        <v>362.14821582552401</v>
      </c>
      <c r="E2250" s="108">
        <v>0</v>
      </c>
      <c r="F2250" s="108" t="s">
        <v>135</v>
      </c>
      <c r="G2250" s="108"/>
      <c r="H2250" s="108">
        <v>1</v>
      </c>
    </row>
    <row r="2251" spans="1:8" ht="14">
      <c r="A2251" s="108">
        <v>2012</v>
      </c>
      <c r="B2251" s="108">
        <v>21</v>
      </c>
      <c r="C2251" s="108" t="s">
        <v>139</v>
      </c>
      <c r="D2251" s="108">
        <v>5076.5379388644997</v>
      </c>
      <c r="E2251" s="108">
        <v>0</v>
      </c>
      <c r="F2251" s="108" t="s">
        <v>136</v>
      </c>
      <c r="G2251" s="108"/>
      <c r="H2251" s="108">
        <v>1</v>
      </c>
    </row>
    <row r="2252" spans="1:8" ht="14">
      <c r="A2252" s="108">
        <v>2012</v>
      </c>
      <c r="B2252" s="108">
        <v>21</v>
      </c>
      <c r="C2252" s="108" t="s">
        <v>139</v>
      </c>
      <c r="D2252" s="108">
        <v>223.82206113549199</v>
      </c>
      <c r="E2252" s="108">
        <v>0</v>
      </c>
      <c r="F2252" s="108" t="s">
        <v>135</v>
      </c>
      <c r="G2252" s="108"/>
      <c r="H2252" s="108">
        <v>1</v>
      </c>
    </row>
    <row r="2253" spans="1:8" ht="14">
      <c r="A2253" s="108">
        <v>2012</v>
      </c>
      <c r="B2253" s="108">
        <v>22</v>
      </c>
      <c r="C2253" s="108" t="s">
        <v>30</v>
      </c>
      <c r="D2253" s="108">
        <v>3516.7437893991</v>
      </c>
      <c r="E2253" s="108">
        <v>0</v>
      </c>
      <c r="F2253" s="108" t="s">
        <v>135</v>
      </c>
      <c r="G2253" s="108"/>
      <c r="H2253" s="108">
        <v>1</v>
      </c>
    </row>
    <row r="2254" spans="1:8" ht="14">
      <c r="A2254" s="108">
        <v>2012</v>
      </c>
      <c r="B2254" s="108">
        <v>22</v>
      </c>
      <c r="C2254" s="108" t="s">
        <v>30</v>
      </c>
      <c r="D2254" s="108">
        <v>43523.408210600901</v>
      </c>
      <c r="E2254" s="108">
        <v>0</v>
      </c>
      <c r="F2254" s="108" t="s">
        <v>136</v>
      </c>
      <c r="G2254" s="108"/>
      <c r="H2254" s="108">
        <v>1</v>
      </c>
    </row>
    <row r="2255" spans="1:8" ht="14">
      <c r="A2255" s="108">
        <v>2012</v>
      </c>
      <c r="B2255" s="108">
        <v>22</v>
      </c>
      <c r="C2255" s="108" t="s">
        <v>138</v>
      </c>
      <c r="D2255" s="108">
        <v>1786.71645283263</v>
      </c>
      <c r="E2255" s="108">
        <v>0</v>
      </c>
      <c r="F2255" s="108" t="s">
        <v>135</v>
      </c>
      <c r="G2255" s="108"/>
      <c r="H2255" s="108">
        <v>1</v>
      </c>
    </row>
    <row r="2256" spans="1:8" ht="14">
      <c r="A2256" s="108">
        <v>2012</v>
      </c>
      <c r="B2256" s="108">
        <v>22</v>
      </c>
      <c r="C2256" s="108" t="s">
        <v>138</v>
      </c>
      <c r="D2256" s="108">
        <v>42509.492547167298</v>
      </c>
      <c r="E2256" s="108">
        <v>0</v>
      </c>
      <c r="F2256" s="108" t="s">
        <v>136</v>
      </c>
      <c r="G2256" s="108"/>
      <c r="H2256" s="108">
        <v>1</v>
      </c>
    </row>
    <row r="2257" spans="1:8" ht="14">
      <c r="A2257" s="108">
        <v>2012</v>
      </c>
      <c r="B2257" s="108">
        <v>22</v>
      </c>
      <c r="C2257" s="108" t="s">
        <v>139</v>
      </c>
      <c r="D2257" s="108">
        <v>1730.02733656646</v>
      </c>
      <c r="E2257" s="108">
        <v>0</v>
      </c>
      <c r="F2257" s="108" t="s">
        <v>135</v>
      </c>
      <c r="G2257" s="108"/>
      <c r="H2257" s="108">
        <v>1</v>
      </c>
    </row>
    <row r="2258" spans="1:8" ht="14">
      <c r="A2258" s="108">
        <v>2012</v>
      </c>
      <c r="B2258" s="108">
        <v>22</v>
      </c>
      <c r="C2258" s="108" t="s">
        <v>139</v>
      </c>
      <c r="D2258" s="108">
        <v>1013.91566343353</v>
      </c>
      <c r="E2258" s="108">
        <v>0</v>
      </c>
      <c r="F2258" s="108" t="s">
        <v>136</v>
      </c>
      <c r="G2258" s="108"/>
      <c r="H2258" s="108">
        <v>1</v>
      </c>
    </row>
    <row r="2259" spans="1:8" ht="14">
      <c r="A2259" s="108">
        <v>2012</v>
      </c>
      <c r="B2259" s="108">
        <v>23</v>
      </c>
      <c r="C2259" s="108" t="s">
        <v>30</v>
      </c>
      <c r="D2259" s="108">
        <v>1462.9310276695501</v>
      </c>
      <c r="E2259" s="108">
        <v>0</v>
      </c>
      <c r="F2259" s="108" t="s">
        <v>135</v>
      </c>
      <c r="G2259" s="108"/>
      <c r="H2259" s="108">
        <v>1</v>
      </c>
    </row>
    <row r="2260" spans="1:8" ht="14">
      <c r="A2260" s="108">
        <v>2012</v>
      </c>
      <c r="B2260" s="108">
        <v>23</v>
      </c>
      <c r="C2260" s="108" t="s">
        <v>30</v>
      </c>
      <c r="D2260" s="108">
        <v>12076.784972330401</v>
      </c>
      <c r="E2260" s="108">
        <v>0</v>
      </c>
      <c r="F2260" s="108" t="s">
        <v>136</v>
      </c>
      <c r="G2260" s="108"/>
      <c r="H2260" s="108">
        <v>1</v>
      </c>
    </row>
    <row r="2261" spans="1:8" ht="14">
      <c r="A2261" s="108">
        <v>2012</v>
      </c>
      <c r="B2261" s="108">
        <v>23</v>
      </c>
      <c r="C2261" s="108" t="s">
        <v>138</v>
      </c>
      <c r="D2261" s="108">
        <v>9262.9269293275902</v>
      </c>
      <c r="E2261" s="108">
        <v>0</v>
      </c>
      <c r="F2261" s="108" t="s">
        <v>136</v>
      </c>
      <c r="G2261" s="108"/>
      <c r="H2261" s="108">
        <v>1</v>
      </c>
    </row>
    <row r="2262" spans="1:8" ht="14">
      <c r="A2262" s="108">
        <v>2012</v>
      </c>
      <c r="B2262" s="108">
        <v>23</v>
      </c>
      <c r="C2262" s="108" t="s">
        <v>138</v>
      </c>
      <c r="D2262" s="108">
        <v>711.51607067240002</v>
      </c>
      <c r="E2262" s="108">
        <v>0</v>
      </c>
      <c r="F2262" s="108" t="s">
        <v>135</v>
      </c>
      <c r="G2262" s="108"/>
      <c r="H2262" s="108">
        <v>1</v>
      </c>
    </row>
    <row r="2263" spans="1:8" ht="14">
      <c r="A2263" s="108">
        <v>2012</v>
      </c>
      <c r="B2263" s="108">
        <v>23</v>
      </c>
      <c r="C2263" s="108" t="s">
        <v>139</v>
      </c>
      <c r="D2263" s="108">
        <v>2813.8580430028401</v>
      </c>
      <c r="E2263" s="108">
        <v>0</v>
      </c>
      <c r="F2263" s="108" t="s">
        <v>136</v>
      </c>
      <c r="G2263" s="108"/>
      <c r="H2263" s="108">
        <v>1</v>
      </c>
    </row>
    <row r="2264" spans="1:8" ht="14">
      <c r="A2264" s="108">
        <v>2012</v>
      </c>
      <c r="B2264" s="108">
        <v>23</v>
      </c>
      <c r="C2264" s="108" t="s">
        <v>139</v>
      </c>
      <c r="D2264" s="108">
        <v>751.41495699715801</v>
      </c>
      <c r="E2264" s="108">
        <v>0</v>
      </c>
      <c r="F2264" s="108" t="s">
        <v>135</v>
      </c>
      <c r="G2264" s="108"/>
      <c r="H2264" s="108">
        <v>1</v>
      </c>
    </row>
    <row r="2265" spans="1:8" ht="14">
      <c r="A2265" s="108">
        <v>2012</v>
      </c>
      <c r="B2265" s="108">
        <v>29</v>
      </c>
      <c r="C2265" s="108" t="s">
        <v>30</v>
      </c>
      <c r="D2265" s="108">
        <v>16368.187015772201</v>
      </c>
      <c r="E2265" s="108">
        <v>0</v>
      </c>
      <c r="F2265" s="108" t="s">
        <v>136</v>
      </c>
      <c r="G2265" s="108"/>
      <c r="H2265" s="108">
        <v>1</v>
      </c>
    </row>
    <row r="2266" spans="1:8" ht="14">
      <c r="A2266" s="108">
        <v>2012</v>
      </c>
      <c r="B2266" s="108">
        <v>29</v>
      </c>
      <c r="C2266" s="108" t="s">
        <v>30</v>
      </c>
      <c r="D2266" s="108">
        <v>17612.7019842277</v>
      </c>
      <c r="E2266" s="108">
        <v>0</v>
      </c>
      <c r="F2266" s="108" t="s">
        <v>135</v>
      </c>
      <c r="G2266" s="108"/>
      <c r="H2266" s="108">
        <v>1</v>
      </c>
    </row>
    <row r="2267" spans="1:8" ht="14">
      <c r="A2267" s="108">
        <v>2012</v>
      </c>
      <c r="B2267" s="108">
        <v>29</v>
      </c>
      <c r="C2267" s="108" t="s">
        <v>138</v>
      </c>
      <c r="D2267" s="108">
        <v>14042.829274178401</v>
      </c>
      <c r="E2267" s="108">
        <v>0</v>
      </c>
      <c r="F2267" s="108" t="s">
        <v>135</v>
      </c>
      <c r="G2267" s="108"/>
      <c r="H2267" s="108">
        <v>1</v>
      </c>
    </row>
    <row r="2268" spans="1:8" ht="14">
      <c r="A2268" s="108">
        <v>2012</v>
      </c>
      <c r="B2268" s="108">
        <v>29</v>
      </c>
      <c r="C2268" s="108" t="s">
        <v>138</v>
      </c>
      <c r="D2268" s="108">
        <v>8388.6397258215493</v>
      </c>
      <c r="E2268" s="108">
        <v>0</v>
      </c>
      <c r="F2268" s="108" t="s">
        <v>136</v>
      </c>
      <c r="G2268" s="108"/>
      <c r="H2268" s="108">
        <v>1</v>
      </c>
    </row>
    <row r="2269" spans="1:8" ht="14">
      <c r="A2269" s="108">
        <v>2012</v>
      </c>
      <c r="B2269" s="108">
        <v>29</v>
      </c>
      <c r="C2269" s="108" t="s">
        <v>139</v>
      </c>
      <c r="D2269" s="108">
        <v>7979.5472899506503</v>
      </c>
      <c r="E2269" s="108">
        <v>0</v>
      </c>
      <c r="F2269" s="108" t="s">
        <v>136</v>
      </c>
      <c r="G2269" s="108"/>
      <c r="H2269" s="108">
        <v>1</v>
      </c>
    </row>
    <row r="2270" spans="1:8" ht="14">
      <c r="A2270" s="108">
        <v>2012</v>
      </c>
      <c r="B2270" s="108">
        <v>29</v>
      </c>
      <c r="C2270" s="108" t="s">
        <v>139</v>
      </c>
      <c r="D2270" s="108">
        <v>3569.8727100493402</v>
      </c>
      <c r="E2270" s="108">
        <v>0</v>
      </c>
      <c r="F2270" s="108" t="s">
        <v>135</v>
      </c>
      <c r="G2270" s="108"/>
      <c r="H2270" s="108">
        <v>1</v>
      </c>
    </row>
    <row r="2271" spans="1:8" ht="14">
      <c r="A2271" s="108">
        <v>2012</v>
      </c>
      <c r="B2271" s="108">
        <v>31</v>
      </c>
      <c r="C2271" s="108" t="s">
        <v>30</v>
      </c>
      <c r="D2271" s="108">
        <v>17419.067463278101</v>
      </c>
      <c r="E2271" s="108">
        <v>1416.44389717374</v>
      </c>
      <c r="F2271" s="108" t="s">
        <v>136</v>
      </c>
      <c r="G2271" s="108">
        <v>1416.443899652</v>
      </c>
      <c r="H2271" s="108">
        <v>1</v>
      </c>
    </row>
    <row r="2272" spans="1:8" ht="14">
      <c r="A2272" s="108">
        <v>2012</v>
      </c>
      <c r="B2272" s="108">
        <v>31</v>
      </c>
      <c r="C2272" s="108" t="s">
        <v>30</v>
      </c>
      <c r="D2272" s="108">
        <v>1146.8985367219</v>
      </c>
      <c r="E2272" s="108">
        <v>163.71357986534801</v>
      </c>
      <c r="F2272" s="108" t="s">
        <v>135</v>
      </c>
      <c r="G2272" s="108">
        <v>163.71360601500001</v>
      </c>
      <c r="H2272" s="108">
        <v>1</v>
      </c>
    </row>
    <row r="2273" spans="1:8" ht="14">
      <c r="A2273" s="108">
        <v>2012</v>
      </c>
      <c r="B2273" s="108">
        <v>31</v>
      </c>
      <c r="C2273" s="108" t="s">
        <v>30</v>
      </c>
      <c r="D2273" s="108">
        <v>0</v>
      </c>
      <c r="E2273" s="108">
        <v>0.624522960908381</v>
      </c>
      <c r="F2273" s="108" t="s">
        <v>137</v>
      </c>
      <c r="G2273" s="108">
        <v>0.62452310700000002</v>
      </c>
      <c r="H2273" s="108">
        <v>1</v>
      </c>
    </row>
    <row r="2274" spans="1:8" ht="14">
      <c r="A2274" s="108">
        <v>2012</v>
      </c>
      <c r="B2274" s="108">
        <v>31</v>
      </c>
      <c r="C2274" s="108" t="s">
        <v>138</v>
      </c>
      <c r="D2274" s="108">
        <v>0</v>
      </c>
      <c r="E2274" s="108">
        <v>0.204275034127746</v>
      </c>
      <c r="F2274" s="108" t="s">
        <v>137</v>
      </c>
      <c r="G2274" s="108">
        <v>0.20427493199999899</v>
      </c>
      <c r="H2274" s="108">
        <v>1</v>
      </c>
    </row>
    <row r="2275" spans="1:8" ht="14">
      <c r="A2275" s="108">
        <v>2012</v>
      </c>
      <c r="B2275" s="108">
        <v>31</v>
      </c>
      <c r="C2275" s="108" t="s">
        <v>138</v>
      </c>
      <c r="D2275" s="108">
        <v>490.26475717704898</v>
      </c>
      <c r="E2275" s="108">
        <v>80.226097238228505</v>
      </c>
      <c r="F2275" s="108" t="s">
        <v>135</v>
      </c>
      <c r="G2275" s="108">
        <v>80.226114124000006</v>
      </c>
      <c r="H2275" s="108">
        <v>1</v>
      </c>
    </row>
    <row r="2276" spans="1:8" ht="14">
      <c r="A2276" s="108">
        <v>2012</v>
      </c>
      <c r="B2276" s="108">
        <v>31</v>
      </c>
      <c r="C2276" s="108" t="s">
        <v>138</v>
      </c>
      <c r="D2276" s="108">
        <v>10161.7252428229</v>
      </c>
      <c r="E2276" s="108">
        <v>717.947627727645</v>
      </c>
      <c r="F2276" s="108" t="s">
        <v>136</v>
      </c>
      <c r="G2276" s="108">
        <v>717.94759872099701</v>
      </c>
      <c r="H2276" s="108">
        <v>1</v>
      </c>
    </row>
    <row r="2277" spans="1:8" ht="14">
      <c r="A2277" s="108">
        <v>2012</v>
      </c>
      <c r="B2277" s="108">
        <v>31</v>
      </c>
      <c r="C2277" s="108" t="s">
        <v>139</v>
      </c>
      <c r="D2277" s="108">
        <v>0</v>
      </c>
      <c r="E2277" s="108">
        <v>0.42024792678063499</v>
      </c>
      <c r="F2277" s="108" t="s">
        <v>137</v>
      </c>
      <c r="G2277" s="108">
        <v>0.420248175</v>
      </c>
      <c r="H2277" s="108">
        <v>1</v>
      </c>
    </row>
    <row r="2278" spans="1:8" ht="14">
      <c r="A2278" s="108">
        <v>2012</v>
      </c>
      <c r="B2278" s="108">
        <v>31</v>
      </c>
      <c r="C2278" s="108" t="s">
        <v>139</v>
      </c>
      <c r="D2278" s="108">
        <v>7257.3422204551498</v>
      </c>
      <c r="E2278" s="108">
        <v>698.49626944609804</v>
      </c>
      <c r="F2278" s="108" t="s">
        <v>136</v>
      </c>
      <c r="G2278" s="108">
        <v>698.49630093099995</v>
      </c>
      <c r="H2278" s="108">
        <v>1</v>
      </c>
    </row>
    <row r="2279" spans="1:8" ht="14">
      <c r="A2279" s="108">
        <v>2012</v>
      </c>
      <c r="B2279" s="108">
        <v>31</v>
      </c>
      <c r="C2279" s="108" t="s">
        <v>139</v>
      </c>
      <c r="D2279" s="108">
        <v>656.63377954484997</v>
      </c>
      <c r="E2279" s="108">
        <v>83.487482627119903</v>
      </c>
      <c r="F2279" s="108" t="s">
        <v>135</v>
      </c>
      <c r="G2279" s="108">
        <v>83.487491891000005</v>
      </c>
      <c r="H2279" s="108">
        <v>1</v>
      </c>
    </row>
    <row r="2280" spans="1:8" ht="14">
      <c r="A2280" s="108">
        <v>2012</v>
      </c>
      <c r="B2280" s="108">
        <v>32</v>
      </c>
      <c r="C2280" s="108" t="s">
        <v>30</v>
      </c>
      <c r="D2280" s="108">
        <v>2124.2562898746801</v>
      </c>
      <c r="E2280" s="108">
        <v>186.66224848712801</v>
      </c>
      <c r="F2280" s="108" t="s">
        <v>135</v>
      </c>
      <c r="G2280" s="108">
        <v>373.32452410000002</v>
      </c>
      <c r="H2280" s="108">
        <v>1</v>
      </c>
    </row>
    <row r="2281" spans="1:8" ht="14">
      <c r="A2281" s="108">
        <v>2012</v>
      </c>
      <c r="B2281" s="108">
        <v>32</v>
      </c>
      <c r="C2281" s="108" t="s">
        <v>30</v>
      </c>
      <c r="D2281" s="108">
        <v>0</v>
      </c>
      <c r="E2281" s="108">
        <v>0.74259694954090705</v>
      </c>
      <c r="F2281" s="108" t="s">
        <v>137</v>
      </c>
      <c r="G2281" s="108">
        <v>1.4851936399999901</v>
      </c>
      <c r="H2281" s="108">
        <v>1</v>
      </c>
    </row>
    <row r="2282" spans="1:8" ht="14">
      <c r="A2282" s="108">
        <v>2012</v>
      </c>
      <c r="B2282" s="108">
        <v>32</v>
      </c>
      <c r="C2282" s="108" t="s">
        <v>30</v>
      </c>
      <c r="D2282" s="108">
        <v>29550.0587101253</v>
      </c>
      <c r="E2282" s="108">
        <v>2607.6541545633299</v>
      </c>
      <c r="F2282" s="108" t="s">
        <v>136</v>
      </c>
      <c r="G2282" s="108">
        <v>5215.3083299699902</v>
      </c>
      <c r="H2282" s="108">
        <v>1</v>
      </c>
    </row>
    <row r="2283" spans="1:8" ht="14">
      <c r="A2283" s="108">
        <v>2012</v>
      </c>
      <c r="B2283" s="108">
        <v>32</v>
      </c>
      <c r="C2283" s="108" t="s">
        <v>138</v>
      </c>
      <c r="D2283" s="108">
        <v>16430.516656444801</v>
      </c>
      <c r="E2283" s="108">
        <v>1305.32618840704</v>
      </c>
      <c r="F2283" s="108" t="s">
        <v>136</v>
      </c>
      <c r="G2283" s="108">
        <v>2610.6524602999898</v>
      </c>
      <c r="H2283" s="108">
        <v>1</v>
      </c>
    </row>
    <row r="2284" spans="1:8" ht="14">
      <c r="A2284" s="108">
        <v>2012</v>
      </c>
      <c r="B2284" s="108">
        <v>32</v>
      </c>
      <c r="C2284" s="108" t="s">
        <v>138</v>
      </c>
      <c r="D2284" s="108">
        <v>1067.36734355515</v>
      </c>
      <c r="E2284" s="108">
        <v>92.395974864750997</v>
      </c>
      <c r="F2284" s="108" t="s">
        <v>135</v>
      </c>
      <c r="G2284" s="108">
        <v>184.79195127</v>
      </c>
      <c r="H2284" s="108">
        <v>1</v>
      </c>
    </row>
    <row r="2285" spans="1:8" ht="14">
      <c r="A2285" s="108">
        <v>2012</v>
      </c>
      <c r="B2285" s="108">
        <v>32</v>
      </c>
      <c r="C2285" s="108" t="s">
        <v>138</v>
      </c>
      <c r="D2285" s="108">
        <v>0</v>
      </c>
      <c r="E2285" s="108">
        <v>0.27783672821072503</v>
      </c>
      <c r="F2285" s="108" t="s">
        <v>137</v>
      </c>
      <c r="G2285" s="108">
        <v>0.55567370000000005</v>
      </c>
      <c r="H2285" s="108">
        <v>1</v>
      </c>
    </row>
    <row r="2286" spans="1:8" ht="14">
      <c r="A2286" s="108">
        <v>2012</v>
      </c>
      <c r="B2286" s="108">
        <v>32</v>
      </c>
      <c r="C2286" s="108" t="s">
        <v>139</v>
      </c>
      <c r="D2286" s="108">
        <v>1056.8889463195201</v>
      </c>
      <c r="E2286" s="108">
        <v>94.266273622377497</v>
      </c>
      <c r="F2286" s="108" t="s">
        <v>135</v>
      </c>
      <c r="G2286" s="108">
        <v>188.53257282999999</v>
      </c>
      <c r="H2286" s="108">
        <v>1</v>
      </c>
    </row>
    <row r="2287" spans="1:8" ht="14">
      <c r="A2287" s="108">
        <v>2012</v>
      </c>
      <c r="B2287" s="108">
        <v>32</v>
      </c>
      <c r="C2287" s="108" t="s">
        <v>139</v>
      </c>
      <c r="D2287" s="108">
        <v>0</v>
      </c>
      <c r="E2287" s="108">
        <v>0.46476022133018102</v>
      </c>
      <c r="F2287" s="108" t="s">
        <v>137</v>
      </c>
      <c r="G2287" s="108">
        <v>0.92951994000000004</v>
      </c>
      <c r="H2287" s="108">
        <v>1</v>
      </c>
    </row>
    <row r="2288" spans="1:8" ht="14">
      <c r="A2288" s="108">
        <v>2012</v>
      </c>
      <c r="B2288" s="108">
        <v>32</v>
      </c>
      <c r="C2288" s="108" t="s">
        <v>139</v>
      </c>
      <c r="D2288" s="108">
        <v>13119.542053680399</v>
      </c>
      <c r="E2288" s="108">
        <v>1302.3279661562899</v>
      </c>
      <c r="F2288" s="108" t="s">
        <v>136</v>
      </c>
      <c r="G2288" s="108">
        <v>2604.6558696699999</v>
      </c>
      <c r="H2288" s="108">
        <v>1</v>
      </c>
    </row>
    <row r="2289" spans="1:8" ht="14">
      <c r="A2289" s="108">
        <v>2012</v>
      </c>
      <c r="B2289" s="108">
        <v>33</v>
      </c>
      <c r="C2289" s="108" t="s">
        <v>30</v>
      </c>
      <c r="D2289" s="108">
        <v>44.488749923866699</v>
      </c>
      <c r="E2289" s="108">
        <v>6.0620308128790903</v>
      </c>
      <c r="F2289" s="108" t="s">
        <v>135</v>
      </c>
      <c r="G2289" s="108">
        <v>9.0930459100000007</v>
      </c>
      <c r="H2289" s="108">
        <v>1</v>
      </c>
    </row>
    <row r="2290" spans="1:8" ht="14">
      <c r="A2290" s="108">
        <v>2012</v>
      </c>
      <c r="B2290" s="108">
        <v>33</v>
      </c>
      <c r="C2290" s="108" t="s">
        <v>30</v>
      </c>
      <c r="D2290" s="108">
        <v>0</v>
      </c>
      <c r="E2290" s="108">
        <v>3.90117052003435E-3</v>
      </c>
      <c r="F2290" s="108" t="s">
        <v>137</v>
      </c>
      <c r="G2290" s="108">
        <v>5.8517599999999897E-3</v>
      </c>
      <c r="H2290" s="108">
        <v>1</v>
      </c>
    </row>
    <row r="2291" spans="1:8" ht="14">
      <c r="A2291" s="108">
        <v>2012</v>
      </c>
      <c r="B2291" s="108">
        <v>33</v>
      </c>
      <c r="C2291" s="108" t="s">
        <v>30</v>
      </c>
      <c r="D2291" s="108">
        <v>1327.7742500761301</v>
      </c>
      <c r="E2291" s="108">
        <v>94.054068016600795</v>
      </c>
      <c r="F2291" s="108" t="s">
        <v>136</v>
      </c>
      <c r="G2291" s="108">
        <v>141.08106418</v>
      </c>
      <c r="H2291" s="108">
        <v>1</v>
      </c>
    </row>
    <row r="2292" spans="1:8" ht="14">
      <c r="A2292" s="108">
        <v>2012</v>
      </c>
      <c r="B2292" s="108">
        <v>33</v>
      </c>
      <c r="C2292" s="108" t="s">
        <v>138</v>
      </c>
      <c r="D2292" s="108">
        <v>977.16917979472498</v>
      </c>
      <c r="E2292" s="108">
        <v>51.127043220352597</v>
      </c>
      <c r="F2292" s="108" t="s">
        <v>136</v>
      </c>
      <c r="G2292" s="108">
        <v>76.690552319999995</v>
      </c>
      <c r="H2292" s="108">
        <v>1</v>
      </c>
    </row>
    <row r="2293" spans="1:8" ht="14">
      <c r="A2293" s="108">
        <v>2012</v>
      </c>
      <c r="B2293" s="108">
        <v>33</v>
      </c>
      <c r="C2293" s="108" t="s">
        <v>138</v>
      </c>
      <c r="D2293" s="108">
        <v>26.5978202052742</v>
      </c>
      <c r="E2293" s="108">
        <v>4.6589625622225297</v>
      </c>
      <c r="F2293" s="108" t="s">
        <v>135</v>
      </c>
      <c r="G2293" s="108">
        <v>6.98844422999999</v>
      </c>
      <c r="H2293" s="108">
        <v>1</v>
      </c>
    </row>
    <row r="2294" spans="1:8" ht="14">
      <c r="A2294" s="108">
        <v>2012</v>
      </c>
      <c r="B2294" s="108">
        <v>33</v>
      </c>
      <c r="C2294" s="108" t="s">
        <v>138</v>
      </c>
      <c r="D2294" s="108">
        <v>0</v>
      </c>
      <c r="E2294" s="108">
        <v>9.9421742482652198E-4</v>
      </c>
      <c r="F2294" s="108" t="s">
        <v>137</v>
      </c>
      <c r="G2294" s="108">
        <v>1.4913299999999999E-3</v>
      </c>
      <c r="H2294" s="108">
        <v>1</v>
      </c>
    </row>
    <row r="2295" spans="1:8" ht="14">
      <c r="A2295" s="108">
        <v>2012</v>
      </c>
      <c r="B2295" s="108">
        <v>33</v>
      </c>
      <c r="C2295" s="108" t="s">
        <v>139</v>
      </c>
      <c r="D2295" s="108">
        <v>350.605070281407</v>
      </c>
      <c r="E2295" s="108">
        <v>42.927024796248197</v>
      </c>
      <c r="F2295" s="108" t="s">
        <v>136</v>
      </c>
      <c r="G2295" s="108">
        <v>64.390511860000004</v>
      </c>
      <c r="H2295" s="108">
        <v>1</v>
      </c>
    </row>
    <row r="2296" spans="1:8" ht="14">
      <c r="A2296" s="108">
        <v>2012</v>
      </c>
      <c r="B2296" s="108">
        <v>33</v>
      </c>
      <c r="C2296" s="108" t="s">
        <v>139</v>
      </c>
      <c r="D2296" s="108">
        <v>17.8909297185924</v>
      </c>
      <c r="E2296" s="108">
        <v>1.4030682506565599</v>
      </c>
      <c r="F2296" s="108" t="s">
        <v>135</v>
      </c>
      <c r="G2296" s="108">
        <v>2.10460168</v>
      </c>
      <c r="H2296" s="108">
        <v>1</v>
      </c>
    </row>
    <row r="2297" spans="1:8" ht="14">
      <c r="A2297" s="108">
        <v>2012</v>
      </c>
      <c r="B2297" s="108">
        <v>33</v>
      </c>
      <c r="C2297" s="108" t="s">
        <v>139</v>
      </c>
      <c r="D2297" s="108">
        <v>0</v>
      </c>
      <c r="E2297" s="108">
        <v>2.9069530952078302E-3</v>
      </c>
      <c r="F2297" s="108" t="s">
        <v>137</v>
      </c>
      <c r="G2297" s="108">
        <v>4.3604300000000002E-3</v>
      </c>
      <c r="H2297" s="108">
        <v>1</v>
      </c>
    </row>
    <row r="2298" spans="1:8" ht="14">
      <c r="A2298" s="108">
        <v>2012</v>
      </c>
      <c r="B2298" s="108">
        <v>34</v>
      </c>
      <c r="C2298" s="108" t="s">
        <v>30</v>
      </c>
      <c r="D2298" s="108">
        <v>0</v>
      </c>
      <c r="E2298" s="108">
        <v>3.07803796477332E-2</v>
      </c>
      <c r="F2298" s="108" t="s">
        <v>137</v>
      </c>
      <c r="G2298" s="108">
        <v>6.9255890000000001E-2</v>
      </c>
      <c r="H2298" s="108">
        <v>1</v>
      </c>
    </row>
    <row r="2299" spans="1:8" ht="14">
      <c r="A2299" s="108">
        <v>2012</v>
      </c>
      <c r="B2299" s="108">
        <v>34</v>
      </c>
      <c r="C2299" s="108" t="s">
        <v>30</v>
      </c>
      <c r="D2299" s="108">
        <v>119.235057273439</v>
      </c>
      <c r="E2299" s="108">
        <v>10.0909848979159</v>
      </c>
      <c r="F2299" s="108" t="s">
        <v>135</v>
      </c>
      <c r="G2299" s="108">
        <v>22.70471654</v>
      </c>
      <c r="H2299" s="108">
        <v>1</v>
      </c>
    </row>
    <row r="2300" spans="1:8" ht="14">
      <c r="A2300" s="108">
        <v>2012</v>
      </c>
      <c r="B2300" s="108">
        <v>34</v>
      </c>
      <c r="C2300" s="108" t="s">
        <v>30</v>
      </c>
      <c r="D2300" s="108">
        <v>3321.3999427265599</v>
      </c>
      <c r="E2300" s="108">
        <v>282.654234722436</v>
      </c>
      <c r="F2300" s="108" t="s">
        <v>136</v>
      </c>
      <c r="G2300" s="108">
        <v>635.97202078999999</v>
      </c>
      <c r="H2300" s="108">
        <v>1</v>
      </c>
    </row>
    <row r="2301" spans="1:8" ht="14">
      <c r="A2301" s="108">
        <v>2012</v>
      </c>
      <c r="B2301" s="108">
        <v>34</v>
      </c>
      <c r="C2301" s="108" t="s">
        <v>138</v>
      </c>
      <c r="D2301" s="108">
        <v>0</v>
      </c>
      <c r="E2301" s="108">
        <v>3.5390440284105E-3</v>
      </c>
      <c r="F2301" s="108" t="s">
        <v>137</v>
      </c>
      <c r="G2301" s="108">
        <v>7.9628500000000005E-3</v>
      </c>
      <c r="H2301" s="108">
        <v>1</v>
      </c>
    </row>
    <row r="2302" spans="1:8" ht="14">
      <c r="A2302" s="108">
        <v>2012</v>
      </c>
      <c r="B2302" s="108">
        <v>34</v>
      </c>
      <c r="C2302" s="108" t="s">
        <v>138</v>
      </c>
      <c r="D2302" s="108">
        <v>64.038986420052694</v>
      </c>
      <c r="E2302" s="108">
        <v>5.8554682361259696</v>
      </c>
      <c r="F2302" s="108" t="s">
        <v>135</v>
      </c>
      <c r="G2302" s="108">
        <v>13.174804440000001</v>
      </c>
      <c r="H2302" s="108">
        <v>1</v>
      </c>
    </row>
    <row r="2303" spans="1:8" ht="14">
      <c r="A2303" s="108">
        <v>2012</v>
      </c>
      <c r="B2303" s="108">
        <v>34</v>
      </c>
      <c r="C2303" s="108" t="s">
        <v>138</v>
      </c>
      <c r="D2303" s="108">
        <v>2324.2130135799398</v>
      </c>
      <c r="E2303" s="108">
        <v>136.723992719845</v>
      </c>
      <c r="F2303" s="108" t="s">
        <v>136</v>
      </c>
      <c r="G2303" s="108">
        <v>307.628956509999</v>
      </c>
      <c r="H2303" s="108">
        <v>1</v>
      </c>
    </row>
    <row r="2304" spans="1:8" ht="14">
      <c r="A2304" s="108">
        <v>2012</v>
      </c>
      <c r="B2304" s="108">
        <v>34</v>
      </c>
      <c r="C2304" s="108" t="s">
        <v>139</v>
      </c>
      <c r="D2304" s="108">
        <v>0</v>
      </c>
      <c r="E2304" s="108">
        <v>2.7241335619322699E-2</v>
      </c>
      <c r="F2304" s="108" t="s">
        <v>137</v>
      </c>
      <c r="G2304" s="108">
        <v>6.129304E-2</v>
      </c>
      <c r="H2304" s="108">
        <v>1</v>
      </c>
    </row>
    <row r="2305" spans="1:8" ht="14">
      <c r="A2305" s="108">
        <v>2012</v>
      </c>
      <c r="B2305" s="108">
        <v>34</v>
      </c>
      <c r="C2305" s="108" t="s">
        <v>139</v>
      </c>
      <c r="D2305" s="108">
        <v>997.18692914661301</v>
      </c>
      <c r="E2305" s="108">
        <v>145.93024200259001</v>
      </c>
      <c r="F2305" s="108" t="s">
        <v>136</v>
      </c>
      <c r="G2305" s="108">
        <v>328.343064279999</v>
      </c>
      <c r="H2305" s="108">
        <v>1</v>
      </c>
    </row>
    <row r="2306" spans="1:8" ht="14">
      <c r="A2306" s="108">
        <v>2012</v>
      </c>
      <c r="B2306" s="108">
        <v>34</v>
      </c>
      <c r="C2306" s="108" t="s">
        <v>139</v>
      </c>
      <c r="D2306" s="108">
        <v>55.196070853386303</v>
      </c>
      <c r="E2306" s="108">
        <v>4.2355166617900002</v>
      </c>
      <c r="F2306" s="108" t="s">
        <v>135</v>
      </c>
      <c r="G2306" s="108">
        <v>9.52991209999999</v>
      </c>
      <c r="H2306" s="108">
        <v>1</v>
      </c>
    </row>
    <row r="2307" spans="1:8" ht="14">
      <c r="A2307" s="108">
        <v>2012</v>
      </c>
      <c r="B2307" s="108">
        <v>51</v>
      </c>
      <c r="C2307" s="108" t="s">
        <v>30</v>
      </c>
      <c r="D2307" s="108">
        <v>33393.719780935702</v>
      </c>
      <c r="E2307" s="108">
        <v>2864.5411770882401</v>
      </c>
      <c r="F2307" s="108" t="s">
        <v>136</v>
      </c>
      <c r="G2307" s="108"/>
      <c r="H2307" s="108">
        <v>1</v>
      </c>
    </row>
    <row r="2308" spans="1:8" ht="14">
      <c r="A2308" s="108">
        <v>2012</v>
      </c>
      <c r="B2308" s="108">
        <v>51</v>
      </c>
      <c r="C2308" s="108" t="s">
        <v>30</v>
      </c>
      <c r="D2308" s="108">
        <v>7462.5122190641996</v>
      </c>
      <c r="E2308" s="108">
        <v>614.45282291175204</v>
      </c>
      <c r="F2308" s="108" t="s">
        <v>135</v>
      </c>
      <c r="G2308" s="108"/>
      <c r="H2308" s="108">
        <v>1</v>
      </c>
    </row>
    <row r="2309" spans="1:8" ht="14">
      <c r="A2309" s="108">
        <v>2012</v>
      </c>
      <c r="B2309" s="108">
        <v>51</v>
      </c>
      <c r="C2309" s="108" t="s">
        <v>138</v>
      </c>
      <c r="D2309" s="108">
        <v>19390.8674790185</v>
      </c>
      <c r="E2309" s="108">
        <v>1426.4057469704901</v>
      </c>
      <c r="F2309" s="108" t="s">
        <v>136</v>
      </c>
      <c r="G2309" s="108"/>
      <c r="H2309" s="108">
        <v>1</v>
      </c>
    </row>
    <row r="2310" spans="1:8" ht="14">
      <c r="A2310" s="108">
        <v>2012</v>
      </c>
      <c r="B2310" s="108">
        <v>51</v>
      </c>
      <c r="C2310" s="108" t="s">
        <v>138</v>
      </c>
      <c r="D2310" s="108">
        <v>3738.44052098149</v>
      </c>
      <c r="E2310" s="108">
        <v>308.41325302950798</v>
      </c>
      <c r="F2310" s="108" t="s">
        <v>135</v>
      </c>
      <c r="G2310" s="108"/>
      <c r="H2310" s="108">
        <v>1</v>
      </c>
    </row>
    <row r="2311" spans="1:8" ht="14">
      <c r="A2311" s="108">
        <v>2012</v>
      </c>
      <c r="B2311" s="108">
        <v>51</v>
      </c>
      <c r="C2311" s="108" t="s">
        <v>139</v>
      </c>
      <c r="D2311" s="108">
        <v>3724.0716980827001</v>
      </c>
      <c r="E2311" s="108">
        <v>306.039569882244</v>
      </c>
      <c r="F2311" s="108" t="s">
        <v>135</v>
      </c>
      <c r="G2311" s="108"/>
      <c r="H2311" s="108">
        <v>1</v>
      </c>
    </row>
    <row r="2312" spans="1:8" ht="14">
      <c r="A2312" s="108">
        <v>2012</v>
      </c>
      <c r="B2312" s="108">
        <v>51</v>
      </c>
      <c r="C2312" s="108" t="s">
        <v>139</v>
      </c>
      <c r="D2312" s="108">
        <v>14002.852301917201</v>
      </c>
      <c r="E2312" s="108">
        <v>1438.13543011775</v>
      </c>
      <c r="F2312" s="108" t="s">
        <v>136</v>
      </c>
      <c r="G2312" s="108"/>
      <c r="H2312" s="108">
        <v>1</v>
      </c>
    </row>
    <row r="2313" spans="1:8" ht="14">
      <c r="A2313" s="108">
        <v>2012</v>
      </c>
      <c r="B2313" s="108">
        <v>52</v>
      </c>
      <c r="C2313" s="108" t="s">
        <v>30</v>
      </c>
      <c r="D2313" s="108">
        <v>0</v>
      </c>
      <c r="E2313" s="108">
        <v>1240.4821811418401</v>
      </c>
      <c r="F2313" s="108" t="s">
        <v>135</v>
      </c>
      <c r="G2313" s="108"/>
      <c r="H2313" s="108">
        <v>1</v>
      </c>
    </row>
    <row r="2314" spans="1:8" ht="14">
      <c r="A2314" s="108">
        <v>2012</v>
      </c>
      <c r="B2314" s="108">
        <v>52</v>
      </c>
      <c r="C2314" s="108" t="s">
        <v>30</v>
      </c>
      <c r="D2314" s="108">
        <v>0</v>
      </c>
      <c r="E2314" s="108">
        <v>4219.8128188581504</v>
      </c>
      <c r="F2314" s="108" t="s">
        <v>136</v>
      </c>
      <c r="G2314" s="108"/>
      <c r="H2314" s="108">
        <v>1</v>
      </c>
    </row>
    <row r="2315" spans="1:8" ht="14">
      <c r="A2315" s="108">
        <v>2012</v>
      </c>
      <c r="B2315" s="108">
        <v>52</v>
      </c>
      <c r="C2315" s="108" t="s">
        <v>138</v>
      </c>
      <c r="D2315" s="108">
        <v>0</v>
      </c>
      <c r="E2315" s="108">
        <v>610.10606442365599</v>
      </c>
      <c r="F2315" s="108" t="s">
        <v>135</v>
      </c>
      <c r="G2315" s="108"/>
      <c r="H2315" s="108">
        <v>1</v>
      </c>
    </row>
    <row r="2316" spans="1:8" ht="14">
      <c r="A2316" s="108">
        <v>2012</v>
      </c>
      <c r="B2316" s="108">
        <v>52</v>
      </c>
      <c r="C2316" s="108" t="s">
        <v>138</v>
      </c>
      <c r="D2316" s="108">
        <v>0</v>
      </c>
      <c r="E2316" s="108">
        <v>2082.1029355763399</v>
      </c>
      <c r="F2316" s="108" t="s">
        <v>136</v>
      </c>
      <c r="G2316" s="108"/>
      <c r="H2316" s="108">
        <v>1</v>
      </c>
    </row>
    <row r="2317" spans="1:8" ht="14">
      <c r="A2317" s="108">
        <v>2012</v>
      </c>
      <c r="B2317" s="108">
        <v>52</v>
      </c>
      <c r="C2317" s="108" t="s">
        <v>139</v>
      </c>
      <c r="D2317" s="108">
        <v>0</v>
      </c>
      <c r="E2317" s="108">
        <v>2137.7098832818101</v>
      </c>
      <c r="F2317" s="108" t="s">
        <v>136</v>
      </c>
      <c r="G2317" s="108"/>
      <c r="H2317" s="108">
        <v>1</v>
      </c>
    </row>
    <row r="2318" spans="1:8" ht="14">
      <c r="A2318" s="108">
        <v>2012</v>
      </c>
      <c r="B2318" s="108">
        <v>52</v>
      </c>
      <c r="C2318" s="108" t="s">
        <v>139</v>
      </c>
      <c r="D2318" s="108">
        <v>0</v>
      </c>
      <c r="E2318" s="108">
        <v>630.37611671818502</v>
      </c>
      <c r="F2318" s="108" t="s">
        <v>135</v>
      </c>
      <c r="G2318" s="108"/>
      <c r="H2318" s="108">
        <v>1</v>
      </c>
    </row>
    <row r="2319" spans="1:8" ht="14">
      <c r="A2319" s="108">
        <v>2012</v>
      </c>
      <c r="B2319" s="108">
        <v>53</v>
      </c>
      <c r="C2319" s="108" t="s">
        <v>30</v>
      </c>
      <c r="D2319" s="108">
        <v>0</v>
      </c>
      <c r="E2319" s="108">
        <v>106.439999999999</v>
      </c>
      <c r="F2319" s="108" t="s">
        <v>136</v>
      </c>
      <c r="G2319" s="108"/>
      <c r="H2319" s="108">
        <v>1</v>
      </c>
    </row>
    <row r="2320" spans="1:8" ht="14">
      <c r="A2320" s="108">
        <v>2012</v>
      </c>
      <c r="B2320" s="108">
        <v>53</v>
      </c>
      <c r="C2320" s="108" t="s">
        <v>30</v>
      </c>
      <c r="D2320" s="108">
        <v>0</v>
      </c>
      <c r="E2320" s="108">
        <v>39.779000000000003</v>
      </c>
      <c r="F2320" s="108" t="s">
        <v>135</v>
      </c>
      <c r="G2320" s="108"/>
      <c r="H2320" s="108">
        <v>1</v>
      </c>
    </row>
    <row r="2321" spans="1:8" ht="14">
      <c r="A2321" s="108">
        <v>2012</v>
      </c>
      <c r="B2321" s="108">
        <v>53</v>
      </c>
      <c r="C2321" s="108" t="s">
        <v>138</v>
      </c>
      <c r="D2321" s="108">
        <v>0</v>
      </c>
      <c r="E2321" s="108">
        <v>20.097999999999999</v>
      </c>
      <c r="F2321" s="108" t="s">
        <v>135</v>
      </c>
      <c r="G2321" s="108"/>
      <c r="H2321" s="108">
        <v>1</v>
      </c>
    </row>
    <row r="2322" spans="1:8" ht="14">
      <c r="A2322" s="108">
        <v>2012</v>
      </c>
      <c r="B2322" s="108">
        <v>53</v>
      </c>
      <c r="C2322" s="108" t="s">
        <v>138</v>
      </c>
      <c r="D2322" s="108">
        <v>0</v>
      </c>
      <c r="E2322" s="108">
        <v>54.011000000000003</v>
      </c>
      <c r="F2322" s="108" t="s">
        <v>136</v>
      </c>
      <c r="G2322" s="108"/>
      <c r="H2322" s="108">
        <v>1</v>
      </c>
    </row>
    <row r="2323" spans="1:8" ht="14">
      <c r="A2323" s="108">
        <v>2012</v>
      </c>
      <c r="B2323" s="108">
        <v>53</v>
      </c>
      <c r="C2323" s="108" t="s">
        <v>139</v>
      </c>
      <c r="D2323" s="108">
        <v>0</v>
      </c>
      <c r="E2323" s="108">
        <v>52.429000000000002</v>
      </c>
      <c r="F2323" s="108" t="s">
        <v>136</v>
      </c>
      <c r="G2323" s="108"/>
      <c r="H2323" s="108">
        <v>1</v>
      </c>
    </row>
    <row r="2324" spans="1:8" ht="14">
      <c r="A2324" s="108">
        <v>2012</v>
      </c>
      <c r="B2324" s="108">
        <v>53</v>
      </c>
      <c r="C2324" s="108" t="s">
        <v>139</v>
      </c>
      <c r="D2324" s="108">
        <v>0</v>
      </c>
      <c r="E2324" s="108">
        <v>19.680999999999901</v>
      </c>
      <c r="F2324" s="108" t="s">
        <v>135</v>
      </c>
      <c r="G2324" s="108"/>
      <c r="H2324" s="108">
        <v>1</v>
      </c>
    </row>
    <row r="2325" spans="1:8" ht="14">
      <c r="A2325" s="108">
        <v>2012</v>
      </c>
      <c r="B2325" s="108">
        <v>54</v>
      </c>
      <c r="C2325" s="108" t="s">
        <v>30</v>
      </c>
      <c r="D2325" s="108">
        <v>118.281549478649</v>
      </c>
      <c r="E2325" s="108">
        <v>103.97370753153901</v>
      </c>
      <c r="F2325" s="108" t="s">
        <v>135</v>
      </c>
      <c r="G2325" s="108"/>
      <c r="H2325" s="108">
        <v>1</v>
      </c>
    </row>
    <row r="2326" spans="1:8" ht="14">
      <c r="A2326" s="108">
        <v>2012</v>
      </c>
      <c r="B2326" s="108">
        <v>54</v>
      </c>
      <c r="C2326" s="108" t="s">
        <v>30</v>
      </c>
      <c r="D2326" s="108">
        <v>5422.24545052135</v>
      </c>
      <c r="E2326" s="108">
        <v>3429.7652924684598</v>
      </c>
      <c r="F2326" s="108" t="s">
        <v>136</v>
      </c>
      <c r="G2326" s="108"/>
      <c r="H2326" s="108">
        <v>1</v>
      </c>
    </row>
    <row r="2327" spans="1:8" ht="14">
      <c r="A2327" s="108">
        <v>2012</v>
      </c>
      <c r="B2327" s="108">
        <v>54</v>
      </c>
      <c r="C2327" s="108" t="s">
        <v>138</v>
      </c>
      <c r="D2327" s="108">
        <v>2884.3167024099698</v>
      </c>
      <c r="E2327" s="108">
        <v>2045.0990816211399</v>
      </c>
      <c r="F2327" s="108" t="s">
        <v>136</v>
      </c>
      <c r="G2327" s="108"/>
      <c r="H2327" s="108">
        <v>1</v>
      </c>
    </row>
    <row r="2328" spans="1:8" ht="14">
      <c r="A2328" s="108">
        <v>2012</v>
      </c>
      <c r="B2328" s="108">
        <v>54</v>
      </c>
      <c r="C2328" s="108" t="s">
        <v>138</v>
      </c>
      <c r="D2328" s="108">
        <v>65.614297590027405</v>
      </c>
      <c r="E2328" s="108">
        <v>54.009918378852099</v>
      </c>
      <c r="F2328" s="108" t="s">
        <v>135</v>
      </c>
      <c r="G2328" s="108"/>
      <c r="H2328" s="108">
        <v>1</v>
      </c>
    </row>
    <row r="2329" spans="1:8" ht="14">
      <c r="A2329" s="108">
        <v>2012</v>
      </c>
      <c r="B2329" s="108">
        <v>54</v>
      </c>
      <c r="C2329" s="108" t="s">
        <v>139</v>
      </c>
      <c r="D2329" s="108">
        <v>2537.9287481113702</v>
      </c>
      <c r="E2329" s="108">
        <v>1384.6662108473099</v>
      </c>
      <c r="F2329" s="108" t="s">
        <v>136</v>
      </c>
      <c r="G2329" s="108"/>
      <c r="H2329" s="108">
        <v>1</v>
      </c>
    </row>
    <row r="2330" spans="1:8" ht="14">
      <c r="A2330" s="108">
        <v>2012</v>
      </c>
      <c r="B2330" s="108">
        <v>54</v>
      </c>
      <c r="C2330" s="108" t="s">
        <v>139</v>
      </c>
      <c r="D2330" s="108">
        <v>52.667251888621699</v>
      </c>
      <c r="E2330" s="108">
        <v>49.963789152686999</v>
      </c>
      <c r="F2330" s="108" t="s">
        <v>135</v>
      </c>
      <c r="G2330" s="108"/>
      <c r="H2330" s="108">
        <v>1</v>
      </c>
    </row>
    <row r="2331" spans="1:8" ht="14">
      <c r="A2331" s="108">
        <v>2012</v>
      </c>
      <c r="B2331" s="108">
        <v>59</v>
      </c>
      <c r="C2331" s="108" t="s">
        <v>30</v>
      </c>
      <c r="D2331" s="108">
        <v>0.55200000000000005</v>
      </c>
      <c r="E2331" s="108">
        <v>0.73299999999999998</v>
      </c>
      <c r="F2331" s="108" t="s">
        <v>135</v>
      </c>
      <c r="G2331" s="108"/>
      <c r="H2331" s="108">
        <v>1</v>
      </c>
    </row>
    <row r="2332" spans="1:8" ht="14">
      <c r="A2332" s="108">
        <v>2012</v>
      </c>
      <c r="B2332" s="108">
        <v>59</v>
      </c>
      <c r="C2332" s="108" t="s">
        <v>30</v>
      </c>
      <c r="D2332" s="108">
        <v>0.82499999999999996</v>
      </c>
      <c r="E2332" s="108">
        <v>5.3999999999999999E-2</v>
      </c>
      <c r="F2332" s="108" t="s">
        <v>136</v>
      </c>
      <c r="G2332" s="108"/>
      <c r="H2332" s="108">
        <v>1</v>
      </c>
    </row>
    <row r="2333" spans="1:8" ht="14">
      <c r="A2333" s="108">
        <v>2012</v>
      </c>
      <c r="B2333" s="108">
        <v>59</v>
      </c>
      <c r="C2333" s="108" t="s">
        <v>138</v>
      </c>
      <c r="D2333" s="108">
        <v>0.19400000000000001</v>
      </c>
      <c r="E2333" s="108">
        <v>0.31900000000000001</v>
      </c>
      <c r="F2333" s="108" t="s">
        <v>135</v>
      </c>
      <c r="G2333" s="108"/>
      <c r="H2333" s="108">
        <v>1</v>
      </c>
    </row>
    <row r="2334" spans="1:8" ht="14">
      <c r="A2334" s="108">
        <v>2012</v>
      </c>
      <c r="B2334" s="108">
        <v>59</v>
      </c>
      <c r="C2334" s="108" t="s">
        <v>138</v>
      </c>
      <c r="D2334" s="108">
        <v>0</v>
      </c>
      <c r="E2334" s="108">
        <v>4.0000000000000001E-3</v>
      </c>
      <c r="F2334" s="108" t="s">
        <v>136</v>
      </c>
      <c r="G2334" s="108"/>
      <c r="H2334" s="108">
        <v>1</v>
      </c>
    </row>
    <row r="2335" spans="1:8" ht="14">
      <c r="A2335" s="108">
        <v>2012</v>
      </c>
      <c r="B2335" s="108">
        <v>59</v>
      </c>
      <c r="C2335" s="108" t="s">
        <v>139</v>
      </c>
      <c r="D2335" s="108">
        <v>0.35799999999999998</v>
      </c>
      <c r="E2335" s="108">
        <v>0.41399999999999998</v>
      </c>
      <c r="F2335" s="108" t="s">
        <v>135</v>
      </c>
      <c r="G2335" s="108"/>
      <c r="H2335" s="108">
        <v>1</v>
      </c>
    </row>
    <row r="2336" spans="1:8" ht="14">
      <c r="A2336" s="108">
        <v>2012</v>
      </c>
      <c r="B2336" s="108">
        <v>59</v>
      </c>
      <c r="C2336" s="108" t="s">
        <v>139</v>
      </c>
      <c r="D2336" s="108">
        <v>0.82499999999999996</v>
      </c>
      <c r="E2336" s="108">
        <v>0.05</v>
      </c>
      <c r="F2336" s="108" t="s">
        <v>136</v>
      </c>
      <c r="G2336" s="108"/>
      <c r="H2336" s="108">
        <v>1</v>
      </c>
    </row>
    <row r="2337" spans="1:8" ht="14">
      <c r="A2337" s="108">
        <v>2012</v>
      </c>
      <c r="B2337" s="108">
        <v>61</v>
      </c>
      <c r="C2337" s="108" t="s">
        <v>30</v>
      </c>
      <c r="D2337" s="108">
        <v>13504.4636833447</v>
      </c>
      <c r="E2337" s="108">
        <v>1030.9251451831799</v>
      </c>
      <c r="F2337" s="108" t="s">
        <v>135</v>
      </c>
      <c r="G2337" s="108"/>
      <c r="H2337" s="108">
        <v>1</v>
      </c>
    </row>
    <row r="2338" spans="1:8" ht="14">
      <c r="A2338" s="108">
        <v>2012</v>
      </c>
      <c r="B2338" s="108">
        <v>61</v>
      </c>
      <c r="C2338" s="108" t="s">
        <v>30</v>
      </c>
      <c r="D2338" s="108">
        <v>23399.409316655201</v>
      </c>
      <c r="E2338" s="108">
        <v>1656.20485481681</v>
      </c>
      <c r="F2338" s="108" t="s">
        <v>136</v>
      </c>
      <c r="G2338" s="108"/>
      <c r="H2338" s="108">
        <v>1</v>
      </c>
    </row>
    <row r="2339" spans="1:8" ht="14">
      <c r="A2339" s="108">
        <v>2012</v>
      </c>
      <c r="B2339" s="108">
        <v>61</v>
      </c>
      <c r="C2339" s="108" t="s">
        <v>138</v>
      </c>
      <c r="D2339" s="108">
        <v>6666.1861290493598</v>
      </c>
      <c r="E2339" s="108">
        <v>515.06428614714002</v>
      </c>
      <c r="F2339" s="108" t="s">
        <v>135</v>
      </c>
      <c r="G2339" s="108"/>
      <c r="H2339" s="108">
        <v>1</v>
      </c>
    </row>
    <row r="2340" spans="1:8" ht="14">
      <c r="A2340" s="108">
        <v>2012</v>
      </c>
      <c r="B2340" s="108">
        <v>61</v>
      </c>
      <c r="C2340" s="108" t="s">
        <v>138</v>
      </c>
      <c r="D2340" s="108">
        <v>13955.664870950601</v>
      </c>
      <c r="E2340" s="108">
        <v>827.27671385285896</v>
      </c>
      <c r="F2340" s="108" t="s">
        <v>136</v>
      </c>
      <c r="G2340" s="108"/>
      <c r="H2340" s="108">
        <v>1</v>
      </c>
    </row>
    <row r="2341" spans="1:8" ht="14">
      <c r="A2341" s="108">
        <v>2012</v>
      </c>
      <c r="B2341" s="108">
        <v>61</v>
      </c>
      <c r="C2341" s="108" t="s">
        <v>139</v>
      </c>
      <c r="D2341" s="108">
        <v>9443.7444457046095</v>
      </c>
      <c r="E2341" s="108">
        <v>828.92814096396</v>
      </c>
      <c r="F2341" s="108" t="s">
        <v>136</v>
      </c>
      <c r="G2341" s="108"/>
      <c r="H2341" s="108">
        <v>1</v>
      </c>
    </row>
    <row r="2342" spans="1:8" ht="14">
      <c r="A2342" s="108">
        <v>2012</v>
      </c>
      <c r="B2342" s="108">
        <v>61</v>
      </c>
      <c r="C2342" s="108" t="s">
        <v>139</v>
      </c>
      <c r="D2342" s="108">
        <v>6838.2775542953796</v>
      </c>
      <c r="E2342" s="108">
        <v>515.86085903603896</v>
      </c>
      <c r="F2342" s="108" t="s">
        <v>135</v>
      </c>
      <c r="G2342" s="108"/>
      <c r="H2342" s="108">
        <v>1</v>
      </c>
    </row>
    <row r="2343" spans="1:8" ht="14">
      <c r="A2343" s="108">
        <v>2012</v>
      </c>
      <c r="B2343" s="108">
        <v>62</v>
      </c>
      <c r="C2343" s="108" t="s">
        <v>30</v>
      </c>
      <c r="D2343" s="108">
        <v>333.37210224856398</v>
      </c>
      <c r="E2343" s="108">
        <v>46.521717188474</v>
      </c>
      <c r="F2343" s="108" t="s">
        <v>136</v>
      </c>
      <c r="G2343" s="108"/>
      <c r="H2343" s="108">
        <v>1</v>
      </c>
    </row>
    <row r="2344" spans="1:8" ht="14">
      <c r="A2344" s="108">
        <v>2012</v>
      </c>
      <c r="B2344" s="108">
        <v>62</v>
      </c>
      <c r="C2344" s="108" t="s">
        <v>30</v>
      </c>
      <c r="D2344" s="108">
        <v>4.0438977514355496</v>
      </c>
      <c r="E2344" s="108">
        <v>3.3312828115259299</v>
      </c>
      <c r="F2344" s="108" t="s">
        <v>135</v>
      </c>
      <c r="G2344" s="108"/>
      <c r="H2344" s="108">
        <v>1</v>
      </c>
    </row>
    <row r="2345" spans="1:8" ht="14">
      <c r="A2345" s="108">
        <v>2012</v>
      </c>
      <c r="B2345" s="108">
        <v>62</v>
      </c>
      <c r="C2345" s="108" t="s">
        <v>138</v>
      </c>
      <c r="D2345" s="108">
        <v>1.9812303030303</v>
      </c>
      <c r="E2345" s="108">
        <v>1.6482011251758</v>
      </c>
      <c r="F2345" s="108" t="s">
        <v>135</v>
      </c>
      <c r="G2345" s="108"/>
      <c r="H2345" s="108">
        <v>1</v>
      </c>
    </row>
    <row r="2346" spans="1:8" ht="14">
      <c r="A2346" s="108">
        <v>2012</v>
      </c>
      <c r="B2346" s="108">
        <v>62</v>
      </c>
      <c r="C2346" s="108" t="s">
        <v>138</v>
      </c>
      <c r="D2346" s="108">
        <v>162.37176969696901</v>
      </c>
      <c r="E2346" s="108">
        <v>23.942798874824099</v>
      </c>
      <c r="F2346" s="108" t="s">
        <v>136</v>
      </c>
      <c r="G2346" s="108"/>
      <c r="H2346" s="108">
        <v>1</v>
      </c>
    </row>
    <row r="2347" spans="1:8" ht="14">
      <c r="A2347" s="108">
        <v>2012</v>
      </c>
      <c r="B2347" s="108">
        <v>62</v>
      </c>
      <c r="C2347" s="108" t="s">
        <v>139</v>
      </c>
      <c r="D2347" s="108">
        <v>171.000332551594</v>
      </c>
      <c r="E2347" s="108">
        <v>22.578918313649801</v>
      </c>
      <c r="F2347" s="108" t="s">
        <v>136</v>
      </c>
      <c r="G2347" s="108"/>
      <c r="H2347" s="108">
        <v>1</v>
      </c>
    </row>
    <row r="2348" spans="1:8" ht="14">
      <c r="A2348" s="108">
        <v>2012</v>
      </c>
      <c r="B2348" s="108">
        <v>62</v>
      </c>
      <c r="C2348" s="108" t="s">
        <v>139</v>
      </c>
      <c r="D2348" s="108">
        <v>2.0626674484052501</v>
      </c>
      <c r="E2348" s="108">
        <v>1.6830816863501199</v>
      </c>
      <c r="F2348" s="108" t="s">
        <v>135</v>
      </c>
      <c r="G2348" s="108"/>
      <c r="H2348" s="108">
        <v>1</v>
      </c>
    </row>
    <row r="2349" spans="1:8" ht="14">
      <c r="A2349" s="108">
        <v>2012</v>
      </c>
      <c r="B2349" s="108">
        <v>63</v>
      </c>
      <c r="C2349" s="108" t="s">
        <v>30</v>
      </c>
      <c r="D2349" s="108">
        <v>29.224090164921101</v>
      </c>
      <c r="E2349" s="108">
        <v>6.88248415283749</v>
      </c>
      <c r="F2349" s="108" t="s">
        <v>135</v>
      </c>
      <c r="G2349" s="108"/>
      <c r="H2349" s="108">
        <v>1</v>
      </c>
    </row>
    <row r="2350" spans="1:8" ht="14">
      <c r="A2350" s="108">
        <v>2012</v>
      </c>
      <c r="B2350" s="108">
        <v>63</v>
      </c>
      <c r="C2350" s="108" t="s">
        <v>30</v>
      </c>
      <c r="D2350" s="108">
        <v>10676.326909834999</v>
      </c>
      <c r="E2350" s="108">
        <v>680.76351584716201</v>
      </c>
      <c r="F2350" s="108" t="s">
        <v>136</v>
      </c>
      <c r="G2350" s="108"/>
      <c r="H2350" s="108">
        <v>1</v>
      </c>
    </row>
    <row r="2351" spans="1:8" ht="14">
      <c r="A2351" s="108">
        <v>2012</v>
      </c>
      <c r="B2351" s="108">
        <v>63</v>
      </c>
      <c r="C2351" s="108" t="s">
        <v>138</v>
      </c>
      <c r="D2351" s="108">
        <v>8186.4399098350796</v>
      </c>
      <c r="E2351" s="108">
        <v>342.23251918367299</v>
      </c>
      <c r="F2351" s="108" t="s">
        <v>136</v>
      </c>
      <c r="G2351" s="108"/>
      <c r="H2351" s="108">
        <v>1</v>
      </c>
    </row>
    <row r="2352" spans="1:8" ht="14">
      <c r="A2352" s="108">
        <v>2012</v>
      </c>
      <c r="B2352" s="108">
        <v>63</v>
      </c>
      <c r="C2352" s="108" t="s">
        <v>138</v>
      </c>
      <c r="D2352" s="108">
        <v>16.9670901649211</v>
      </c>
      <c r="E2352" s="108">
        <v>3.45948081632653</v>
      </c>
      <c r="F2352" s="108" t="s">
        <v>135</v>
      </c>
      <c r="G2352" s="108"/>
      <c r="H2352" s="108">
        <v>1</v>
      </c>
    </row>
    <row r="2353" spans="1:8" ht="14">
      <c r="A2353" s="108">
        <v>2012</v>
      </c>
      <c r="B2353" s="108">
        <v>63</v>
      </c>
      <c r="C2353" s="108" t="s">
        <v>139</v>
      </c>
      <c r="D2353" s="108">
        <v>12.2569999999999</v>
      </c>
      <c r="E2353" s="108">
        <v>3.42300333651096</v>
      </c>
      <c r="F2353" s="108" t="s">
        <v>135</v>
      </c>
      <c r="G2353" s="108"/>
      <c r="H2353" s="108">
        <v>1</v>
      </c>
    </row>
    <row r="2354" spans="1:8" ht="14">
      <c r="A2354" s="108">
        <v>2012</v>
      </c>
      <c r="B2354" s="108">
        <v>63</v>
      </c>
      <c r="C2354" s="108" t="s">
        <v>139</v>
      </c>
      <c r="D2354" s="108">
        <v>2489.8870000000002</v>
      </c>
      <c r="E2354" s="108">
        <v>338.53099666348902</v>
      </c>
      <c r="F2354" s="108" t="s">
        <v>136</v>
      </c>
      <c r="G2354" s="108"/>
      <c r="H2354" s="108">
        <v>1</v>
      </c>
    </row>
    <row r="2355" spans="1:8" ht="14">
      <c r="A2355" s="108">
        <v>2012</v>
      </c>
      <c r="B2355" s="108">
        <v>91</v>
      </c>
      <c r="C2355" s="108" t="s">
        <v>30</v>
      </c>
      <c r="D2355" s="108">
        <v>74.382502654296502</v>
      </c>
      <c r="E2355" s="108">
        <v>0</v>
      </c>
      <c r="F2355" s="108" t="s">
        <v>135</v>
      </c>
      <c r="G2355" s="108"/>
      <c r="H2355" s="108">
        <v>1</v>
      </c>
    </row>
    <row r="2356" spans="1:8" ht="14">
      <c r="A2356" s="108">
        <v>2012</v>
      </c>
      <c r="B2356" s="108">
        <v>91</v>
      </c>
      <c r="C2356" s="108" t="s">
        <v>30</v>
      </c>
      <c r="D2356" s="108">
        <v>4604.1594973457004</v>
      </c>
      <c r="E2356" s="108">
        <v>0</v>
      </c>
      <c r="F2356" s="108" t="s">
        <v>136</v>
      </c>
      <c r="G2356" s="108"/>
      <c r="H2356" s="108">
        <v>1</v>
      </c>
    </row>
    <row r="2357" spans="1:8" ht="14">
      <c r="A2357" s="108">
        <v>2012</v>
      </c>
      <c r="B2357" s="108">
        <v>91</v>
      </c>
      <c r="C2357" s="108" t="s">
        <v>138</v>
      </c>
      <c r="D2357" s="108">
        <v>72.516854954717203</v>
      </c>
      <c r="E2357" s="108">
        <v>0</v>
      </c>
      <c r="F2357" s="108" t="s">
        <v>135</v>
      </c>
      <c r="G2357" s="108"/>
      <c r="H2357" s="108">
        <v>1</v>
      </c>
    </row>
    <row r="2358" spans="1:8" ht="14">
      <c r="A2358" s="108">
        <v>2012</v>
      </c>
      <c r="B2358" s="108">
        <v>91</v>
      </c>
      <c r="C2358" s="108" t="s">
        <v>138</v>
      </c>
      <c r="D2358" s="108">
        <v>4424.6091450452795</v>
      </c>
      <c r="E2358" s="108">
        <v>0</v>
      </c>
      <c r="F2358" s="108" t="s">
        <v>136</v>
      </c>
      <c r="G2358" s="108"/>
      <c r="H2358" s="108">
        <v>1</v>
      </c>
    </row>
    <row r="2359" spans="1:8" ht="14">
      <c r="A2359" s="108">
        <v>2012</v>
      </c>
      <c r="B2359" s="108">
        <v>91</v>
      </c>
      <c r="C2359" s="108" t="s">
        <v>139</v>
      </c>
      <c r="D2359" s="108">
        <v>179.55035230042</v>
      </c>
      <c r="E2359" s="108">
        <v>0</v>
      </c>
      <c r="F2359" s="108" t="s">
        <v>136</v>
      </c>
      <c r="G2359" s="108"/>
      <c r="H2359" s="108">
        <v>1</v>
      </c>
    </row>
    <row r="2360" spans="1:8" ht="14">
      <c r="A2360" s="108">
        <v>2012</v>
      </c>
      <c r="B2360" s="108">
        <v>91</v>
      </c>
      <c r="C2360" s="108" t="s">
        <v>139</v>
      </c>
      <c r="D2360" s="108">
        <v>1.8656476995793401</v>
      </c>
      <c r="E2360" s="108">
        <v>0</v>
      </c>
      <c r="F2360" s="108" t="s">
        <v>135</v>
      </c>
      <c r="G2360" s="108"/>
      <c r="H2360" s="108">
        <v>1</v>
      </c>
    </row>
    <row r="2361" spans="1:8" ht="14">
      <c r="A2361" s="108">
        <v>2012</v>
      </c>
      <c r="B2361" s="108">
        <v>92</v>
      </c>
      <c r="C2361" s="108" t="s">
        <v>30</v>
      </c>
      <c r="D2361" s="108">
        <v>7656.8608697283198</v>
      </c>
      <c r="E2361" s="108">
        <v>0</v>
      </c>
      <c r="F2361" s="108" t="s">
        <v>136</v>
      </c>
      <c r="G2361" s="108"/>
      <c r="H2361" s="108">
        <v>1</v>
      </c>
    </row>
    <row r="2362" spans="1:8" ht="14">
      <c r="A2362" s="108">
        <v>2012</v>
      </c>
      <c r="B2362" s="108">
        <v>92</v>
      </c>
      <c r="C2362" s="108" t="s">
        <v>30</v>
      </c>
      <c r="D2362" s="108">
        <v>131.646130271673</v>
      </c>
      <c r="E2362" s="108">
        <v>0</v>
      </c>
      <c r="F2362" s="108" t="s">
        <v>135</v>
      </c>
      <c r="G2362" s="108"/>
      <c r="H2362" s="108">
        <v>1</v>
      </c>
    </row>
    <row r="2363" spans="1:8" ht="14">
      <c r="A2363" s="108">
        <v>2012</v>
      </c>
      <c r="B2363" s="108">
        <v>92</v>
      </c>
      <c r="C2363" s="108" t="s">
        <v>138</v>
      </c>
      <c r="D2363" s="108">
        <v>35.988374173513897</v>
      </c>
      <c r="E2363" s="108">
        <v>0</v>
      </c>
      <c r="F2363" s="108" t="s">
        <v>135</v>
      </c>
      <c r="G2363" s="108"/>
      <c r="H2363" s="108">
        <v>1</v>
      </c>
    </row>
    <row r="2364" spans="1:8" ht="14">
      <c r="A2364" s="108">
        <v>2012</v>
      </c>
      <c r="B2364" s="108">
        <v>92</v>
      </c>
      <c r="C2364" s="108" t="s">
        <v>138</v>
      </c>
      <c r="D2364" s="108">
        <v>4876.8996258264797</v>
      </c>
      <c r="E2364" s="108">
        <v>0</v>
      </c>
      <c r="F2364" s="108" t="s">
        <v>136</v>
      </c>
      <c r="G2364" s="108"/>
      <c r="H2364" s="108">
        <v>1</v>
      </c>
    </row>
    <row r="2365" spans="1:8" ht="14">
      <c r="A2365" s="108">
        <v>2012</v>
      </c>
      <c r="B2365" s="108">
        <v>92</v>
      </c>
      <c r="C2365" s="108" t="s">
        <v>139</v>
      </c>
      <c r="D2365" s="108">
        <v>95.657756098159396</v>
      </c>
      <c r="E2365" s="108">
        <v>0</v>
      </c>
      <c r="F2365" s="108" t="s">
        <v>135</v>
      </c>
      <c r="G2365" s="108"/>
      <c r="H2365" s="108">
        <v>1</v>
      </c>
    </row>
    <row r="2366" spans="1:8" ht="14">
      <c r="A2366" s="108">
        <v>2012</v>
      </c>
      <c r="B2366" s="108">
        <v>92</v>
      </c>
      <c r="C2366" s="108" t="s">
        <v>139</v>
      </c>
      <c r="D2366" s="108">
        <v>2779.9612439018401</v>
      </c>
      <c r="E2366" s="108">
        <v>0</v>
      </c>
      <c r="F2366" s="108" t="s">
        <v>136</v>
      </c>
      <c r="G2366" s="108"/>
      <c r="H2366" s="108">
        <v>1</v>
      </c>
    </row>
    <row r="2367" spans="1:8" ht="14">
      <c r="A2367" s="108">
        <v>2012</v>
      </c>
      <c r="B2367" s="108">
        <v>99</v>
      </c>
      <c r="C2367" s="108" t="s">
        <v>30</v>
      </c>
      <c r="D2367" s="108">
        <v>2587.8716130193202</v>
      </c>
      <c r="E2367" s="108">
        <v>0</v>
      </c>
      <c r="F2367" s="108" t="s">
        <v>135</v>
      </c>
      <c r="G2367" s="108"/>
      <c r="H2367" s="108">
        <v>1</v>
      </c>
    </row>
    <row r="2368" spans="1:8" ht="14">
      <c r="A2368" s="108">
        <v>2012</v>
      </c>
      <c r="B2368" s="108">
        <v>99</v>
      </c>
      <c r="C2368" s="108" t="s">
        <v>30</v>
      </c>
      <c r="D2368" s="108">
        <v>3258.4043869806701</v>
      </c>
      <c r="E2368" s="108">
        <v>0</v>
      </c>
      <c r="F2368" s="108" t="s">
        <v>136</v>
      </c>
      <c r="G2368" s="108"/>
      <c r="H2368" s="108">
        <v>1</v>
      </c>
    </row>
    <row r="2369" spans="1:8" ht="14">
      <c r="A2369" s="108">
        <v>2012</v>
      </c>
      <c r="B2369" s="108">
        <v>99</v>
      </c>
      <c r="C2369" s="108" t="s">
        <v>30</v>
      </c>
      <c r="D2369" s="108">
        <v>0</v>
      </c>
      <c r="E2369" s="108">
        <v>0</v>
      </c>
      <c r="F2369" s="108" t="s">
        <v>137</v>
      </c>
      <c r="G2369" s="108"/>
      <c r="H2369" s="108">
        <v>1</v>
      </c>
    </row>
    <row r="2370" spans="1:8" ht="14">
      <c r="A2370" s="108">
        <v>2012</v>
      </c>
      <c r="B2370" s="108">
        <v>99</v>
      </c>
      <c r="C2370" s="108" t="s">
        <v>138</v>
      </c>
      <c r="D2370" s="108">
        <v>791.29923171611699</v>
      </c>
      <c r="E2370" s="108">
        <v>0</v>
      </c>
      <c r="F2370" s="108" t="s">
        <v>135</v>
      </c>
      <c r="G2370" s="108"/>
      <c r="H2370" s="108">
        <v>1</v>
      </c>
    </row>
    <row r="2371" spans="1:8" ht="14">
      <c r="A2371" s="108">
        <v>2012</v>
      </c>
      <c r="B2371" s="108">
        <v>99</v>
      </c>
      <c r="C2371" s="108" t="s">
        <v>138</v>
      </c>
      <c r="D2371" s="108">
        <v>2360.15676828388</v>
      </c>
      <c r="E2371" s="108">
        <v>0</v>
      </c>
      <c r="F2371" s="108" t="s">
        <v>136</v>
      </c>
      <c r="G2371" s="108"/>
      <c r="H2371" s="108">
        <v>1</v>
      </c>
    </row>
    <row r="2372" spans="1:8" ht="14">
      <c r="A2372" s="108">
        <v>2012</v>
      </c>
      <c r="B2372" s="108">
        <v>99</v>
      </c>
      <c r="C2372" s="108" t="s">
        <v>138</v>
      </c>
      <c r="D2372" s="108">
        <v>0</v>
      </c>
      <c r="E2372" s="108">
        <v>0</v>
      </c>
      <c r="F2372" s="108" t="s">
        <v>137</v>
      </c>
      <c r="G2372" s="108"/>
      <c r="H2372" s="108">
        <v>1</v>
      </c>
    </row>
    <row r="2373" spans="1:8" ht="14">
      <c r="A2373" s="108">
        <v>2012</v>
      </c>
      <c r="B2373" s="108">
        <v>99</v>
      </c>
      <c r="C2373" s="108" t="s">
        <v>139</v>
      </c>
      <c r="D2373" s="108">
        <v>1796.5723813032</v>
      </c>
      <c r="E2373" s="108">
        <v>0</v>
      </c>
      <c r="F2373" s="108" t="s">
        <v>135</v>
      </c>
      <c r="G2373" s="108"/>
      <c r="H2373" s="108">
        <v>1</v>
      </c>
    </row>
    <row r="2374" spans="1:8" ht="14">
      <c r="A2374" s="108">
        <v>2012</v>
      </c>
      <c r="B2374" s="108">
        <v>99</v>
      </c>
      <c r="C2374" s="108" t="s">
        <v>139</v>
      </c>
      <c r="D2374" s="108">
        <v>898.24761869679401</v>
      </c>
      <c r="E2374" s="108">
        <v>0</v>
      </c>
      <c r="F2374" s="108" t="s">
        <v>136</v>
      </c>
      <c r="G2374" s="108"/>
      <c r="H2374" s="108">
        <v>1</v>
      </c>
    </row>
    <row r="2375" spans="1:8" ht="14">
      <c r="A2375" s="108">
        <v>2013</v>
      </c>
      <c r="B2375" s="108">
        <v>11</v>
      </c>
      <c r="C2375" s="108" t="s">
        <v>30</v>
      </c>
      <c r="D2375" s="108">
        <v>11878.736676013201</v>
      </c>
      <c r="E2375" s="108">
        <v>0</v>
      </c>
      <c r="F2375" s="108" t="s">
        <v>136</v>
      </c>
      <c r="G2375" s="108"/>
      <c r="H2375" s="108">
        <v>1</v>
      </c>
    </row>
    <row r="2376" spans="1:8" ht="14">
      <c r="A2376" s="108">
        <v>2013</v>
      </c>
      <c r="B2376" s="108">
        <v>11</v>
      </c>
      <c r="C2376" s="108" t="s">
        <v>30</v>
      </c>
      <c r="D2376" s="108">
        <v>558.48132398671601</v>
      </c>
      <c r="E2376" s="108">
        <v>0</v>
      </c>
      <c r="F2376" s="108" t="s">
        <v>135</v>
      </c>
      <c r="G2376" s="108"/>
      <c r="H2376" s="108">
        <v>1</v>
      </c>
    </row>
    <row r="2377" spans="1:8" ht="14">
      <c r="A2377" s="108">
        <v>2013</v>
      </c>
      <c r="B2377" s="108">
        <v>11</v>
      </c>
      <c r="C2377" s="108" t="s">
        <v>138</v>
      </c>
      <c r="D2377" s="108">
        <v>267.77094595303902</v>
      </c>
      <c r="E2377" s="108">
        <v>0</v>
      </c>
      <c r="F2377" s="108" t="s">
        <v>135</v>
      </c>
      <c r="G2377" s="108"/>
      <c r="H2377" s="108">
        <v>1</v>
      </c>
    </row>
    <row r="2378" spans="1:8" ht="14">
      <c r="A2378" s="108">
        <v>2013</v>
      </c>
      <c r="B2378" s="108">
        <v>11</v>
      </c>
      <c r="C2378" s="108" t="s">
        <v>138</v>
      </c>
      <c r="D2378" s="108">
        <v>8986.0090540469591</v>
      </c>
      <c r="E2378" s="108">
        <v>0</v>
      </c>
      <c r="F2378" s="108" t="s">
        <v>136</v>
      </c>
      <c r="G2378" s="108"/>
      <c r="H2378" s="108">
        <v>1</v>
      </c>
    </row>
    <row r="2379" spans="1:8" ht="14">
      <c r="A2379" s="108">
        <v>2013</v>
      </c>
      <c r="B2379" s="108">
        <v>11</v>
      </c>
      <c r="C2379" s="108" t="s">
        <v>139</v>
      </c>
      <c r="D2379" s="108">
        <v>2892.7276219663199</v>
      </c>
      <c r="E2379" s="108">
        <v>0</v>
      </c>
      <c r="F2379" s="108" t="s">
        <v>136</v>
      </c>
      <c r="G2379" s="108"/>
      <c r="H2379" s="108">
        <v>1</v>
      </c>
    </row>
    <row r="2380" spans="1:8" ht="14">
      <c r="A2380" s="108">
        <v>2013</v>
      </c>
      <c r="B2380" s="108">
        <v>11</v>
      </c>
      <c r="C2380" s="108" t="s">
        <v>139</v>
      </c>
      <c r="D2380" s="108">
        <v>290.71037803367699</v>
      </c>
      <c r="E2380" s="108">
        <v>0</v>
      </c>
      <c r="F2380" s="108" t="s">
        <v>135</v>
      </c>
      <c r="G2380" s="108"/>
      <c r="H2380" s="108">
        <v>1</v>
      </c>
    </row>
    <row r="2381" spans="1:8" ht="14">
      <c r="A2381" s="108">
        <v>2013</v>
      </c>
      <c r="B2381" s="108">
        <v>12</v>
      </c>
      <c r="C2381" s="108" t="s">
        <v>30</v>
      </c>
      <c r="D2381" s="108">
        <v>23838.617653217399</v>
      </c>
      <c r="E2381" s="108">
        <v>0</v>
      </c>
      <c r="F2381" s="108" t="s">
        <v>135</v>
      </c>
      <c r="G2381" s="108"/>
      <c r="H2381" s="108">
        <v>1</v>
      </c>
    </row>
    <row r="2382" spans="1:8" ht="14">
      <c r="A2382" s="108">
        <v>2013</v>
      </c>
      <c r="B2382" s="108">
        <v>12</v>
      </c>
      <c r="C2382" s="108" t="s">
        <v>30</v>
      </c>
      <c r="D2382" s="108">
        <v>69203.038346782501</v>
      </c>
      <c r="E2382" s="108">
        <v>0</v>
      </c>
      <c r="F2382" s="108" t="s">
        <v>136</v>
      </c>
      <c r="G2382" s="108"/>
      <c r="H2382" s="108">
        <v>1</v>
      </c>
    </row>
    <row r="2383" spans="1:8" ht="14">
      <c r="A2383" s="108">
        <v>2013</v>
      </c>
      <c r="B2383" s="108">
        <v>12</v>
      </c>
      <c r="C2383" s="108" t="s">
        <v>138</v>
      </c>
      <c r="D2383" s="108">
        <v>42711.5947756104</v>
      </c>
      <c r="E2383" s="108">
        <v>0</v>
      </c>
      <c r="F2383" s="108" t="s">
        <v>136</v>
      </c>
      <c r="G2383" s="108"/>
      <c r="H2383" s="108">
        <v>1</v>
      </c>
    </row>
    <row r="2384" spans="1:8" ht="14">
      <c r="A2384" s="108">
        <v>2013</v>
      </c>
      <c r="B2384" s="108">
        <v>12</v>
      </c>
      <c r="C2384" s="108" t="s">
        <v>138</v>
      </c>
      <c r="D2384" s="108">
        <v>13914.6782243895</v>
      </c>
      <c r="E2384" s="108">
        <v>0</v>
      </c>
      <c r="F2384" s="108" t="s">
        <v>135</v>
      </c>
      <c r="G2384" s="108"/>
      <c r="H2384" s="108">
        <v>1</v>
      </c>
    </row>
    <row r="2385" spans="1:8" ht="14">
      <c r="A2385" s="108">
        <v>2013</v>
      </c>
      <c r="B2385" s="108">
        <v>12</v>
      </c>
      <c r="C2385" s="108" t="s">
        <v>139</v>
      </c>
      <c r="D2385" s="108">
        <v>26491.443571172102</v>
      </c>
      <c r="E2385" s="108">
        <v>0</v>
      </c>
      <c r="F2385" s="108" t="s">
        <v>136</v>
      </c>
      <c r="G2385" s="108"/>
      <c r="H2385" s="108">
        <v>1</v>
      </c>
    </row>
    <row r="2386" spans="1:8" ht="14">
      <c r="A2386" s="108">
        <v>2013</v>
      </c>
      <c r="B2386" s="108">
        <v>12</v>
      </c>
      <c r="C2386" s="108" t="s">
        <v>139</v>
      </c>
      <c r="D2386" s="108">
        <v>9923.93942882788</v>
      </c>
      <c r="E2386" s="108">
        <v>0</v>
      </c>
      <c r="F2386" s="108" t="s">
        <v>135</v>
      </c>
      <c r="G2386" s="108"/>
      <c r="H2386" s="108">
        <v>1</v>
      </c>
    </row>
    <row r="2387" spans="1:8" ht="14">
      <c r="A2387" s="108">
        <v>2013</v>
      </c>
      <c r="B2387" s="108">
        <v>13</v>
      </c>
      <c r="C2387" s="108" t="s">
        <v>30</v>
      </c>
      <c r="D2387" s="108">
        <v>64513.594616274197</v>
      </c>
      <c r="E2387" s="108">
        <v>0</v>
      </c>
      <c r="F2387" s="108" t="s">
        <v>136</v>
      </c>
      <c r="G2387" s="108"/>
      <c r="H2387" s="108">
        <v>1</v>
      </c>
    </row>
    <row r="2388" spans="1:8" ht="14">
      <c r="A2388" s="108">
        <v>2013</v>
      </c>
      <c r="B2388" s="108">
        <v>13</v>
      </c>
      <c r="C2388" s="108" t="s">
        <v>30</v>
      </c>
      <c r="D2388" s="108">
        <v>17354.741383725701</v>
      </c>
      <c r="E2388" s="108">
        <v>0</v>
      </c>
      <c r="F2388" s="108" t="s">
        <v>135</v>
      </c>
      <c r="G2388" s="108"/>
      <c r="H2388" s="108">
        <v>1</v>
      </c>
    </row>
    <row r="2389" spans="1:8" ht="14">
      <c r="A2389" s="108">
        <v>2013</v>
      </c>
      <c r="B2389" s="108">
        <v>13</v>
      </c>
      <c r="C2389" s="108" t="s">
        <v>138</v>
      </c>
      <c r="D2389" s="108">
        <v>34084.907924536798</v>
      </c>
      <c r="E2389" s="108">
        <v>0</v>
      </c>
      <c r="F2389" s="108" t="s">
        <v>136</v>
      </c>
      <c r="G2389" s="108"/>
      <c r="H2389" s="108">
        <v>1</v>
      </c>
    </row>
    <row r="2390" spans="1:8" ht="14">
      <c r="A2390" s="108">
        <v>2013</v>
      </c>
      <c r="B2390" s="108">
        <v>13</v>
      </c>
      <c r="C2390" s="108" t="s">
        <v>138</v>
      </c>
      <c r="D2390" s="108">
        <v>8571.5270754631892</v>
      </c>
      <c r="E2390" s="108">
        <v>0</v>
      </c>
      <c r="F2390" s="108" t="s">
        <v>135</v>
      </c>
      <c r="G2390" s="108"/>
      <c r="H2390" s="108">
        <v>1</v>
      </c>
    </row>
    <row r="2391" spans="1:8" ht="14">
      <c r="A2391" s="108">
        <v>2013</v>
      </c>
      <c r="B2391" s="108">
        <v>13</v>
      </c>
      <c r="C2391" s="108" t="s">
        <v>139</v>
      </c>
      <c r="D2391" s="108">
        <v>8783.2143082625607</v>
      </c>
      <c r="E2391" s="108">
        <v>0</v>
      </c>
      <c r="F2391" s="108" t="s">
        <v>135</v>
      </c>
      <c r="G2391" s="108"/>
      <c r="H2391" s="108">
        <v>1</v>
      </c>
    </row>
    <row r="2392" spans="1:8" ht="14">
      <c r="A2392" s="108">
        <v>2013</v>
      </c>
      <c r="B2392" s="108">
        <v>13</v>
      </c>
      <c r="C2392" s="108" t="s">
        <v>139</v>
      </c>
      <c r="D2392" s="108">
        <v>30428.686691737399</v>
      </c>
      <c r="E2392" s="108">
        <v>0</v>
      </c>
      <c r="F2392" s="108" t="s">
        <v>136</v>
      </c>
      <c r="G2392" s="108"/>
      <c r="H2392" s="108">
        <v>1</v>
      </c>
    </row>
    <row r="2393" spans="1:8" ht="14">
      <c r="A2393" s="108">
        <v>2013</v>
      </c>
      <c r="B2393" s="108">
        <v>19</v>
      </c>
      <c r="C2393" s="108" t="s">
        <v>30</v>
      </c>
      <c r="D2393" s="108">
        <v>1628.7303113057301</v>
      </c>
      <c r="E2393" s="108">
        <v>0</v>
      </c>
      <c r="F2393" s="108" t="s">
        <v>135</v>
      </c>
      <c r="G2393" s="108"/>
      <c r="H2393" s="108">
        <v>1</v>
      </c>
    </row>
    <row r="2394" spans="1:8" ht="14">
      <c r="A2394" s="108">
        <v>2013</v>
      </c>
      <c r="B2394" s="108">
        <v>19</v>
      </c>
      <c r="C2394" s="108" t="s">
        <v>30</v>
      </c>
      <c r="D2394" s="108">
        <v>8004.0886886942599</v>
      </c>
      <c r="E2394" s="108">
        <v>0</v>
      </c>
      <c r="F2394" s="108" t="s">
        <v>136</v>
      </c>
      <c r="G2394" s="108"/>
      <c r="H2394" s="108">
        <v>1</v>
      </c>
    </row>
    <row r="2395" spans="1:8" ht="14">
      <c r="A2395" s="108">
        <v>2013</v>
      </c>
      <c r="B2395" s="108">
        <v>19</v>
      </c>
      <c r="C2395" s="108" t="s">
        <v>138</v>
      </c>
      <c r="D2395" s="108">
        <v>6066.8913801293402</v>
      </c>
      <c r="E2395" s="108">
        <v>0</v>
      </c>
      <c r="F2395" s="108" t="s">
        <v>136</v>
      </c>
      <c r="G2395" s="108"/>
      <c r="H2395" s="108">
        <v>1</v>
      </c>
    </row>
    <row r="2396" spans="1:8" ht="14">
      <c r="A2396" s="108">
        <v>2013</v>
      </c>
      <c r="B2396" s="108">
        <v>19</v>
      </c>
      <c r="C2396" s="108" t="s">
        <v>138</v>
      </c>
      <c r="D2396" s="108">
        <v>566.64461987065101</v>
      </c>
      <c r="E2396" s="108">
        <v>0</v>
      </c>
      <c r="F2396" s="108" t="s">
        <v>135</v>
      </c>
      <c r="G2396" s="108"/>
      <c r="H2396" s="108">
        <v>1</v>
      </c>
    </row>
    <row r="2397" spans="1:8" ht="14">
      <c r="A2397" s="108">
        <v>2013</v>
      </c>
      <c r="B2397" s="108">
        <v>19</v>
      </c>
      <c r="C2397" s="108" t="s">
        <v>139</v>
      </c>
      <c r="D2397" s="108">
        <v>1062.08569143508</v>
      </c>
      <c r="E2397" s="108">
        <v>0</v>
      </c>
      <c r="F2397" s="108" t="s">
        <v>135</v>
      </c>
      <c r="G2397" s="108"/>
      <c r="H2397" s="108">
        <v>1</v>
      </c>
    </row>
    <row r="2398" spans="1:8" ht="14">
      <c r="A2398" s="108">
        <v>2013</v>
      </c>
      <c r="B2398" s="108">
        <v>19</v>
      </c>
      <c r="C2398" s="108" t="s">
        <v>139</v>
      </c>
      <c r="D2398" s="108">
        <v>1937.1973085649099</v>
      </c>
      <c r="E2398" s="108">
        <v>0</v>
      </c>
      <c r="F2398" s="108" t="s">
        <v>136</v>
      </c>
      <c r="G2398" s="108"/>
      <c r="H2398" s="108">
        <v>1</v>
      </c>
    </row>
    <row r="2399" spans="1:8" ht="14">
      <c r="A2399" s="108">
        <v>2013</v>
      </c>
      <c r="B2399" s="108">
        <v>21</v>
      </c>
      <c r="C2399" s="108" t="s">
        <v>30</v>
      </c>
      <c r="D2399" s="108">
        <v>660.45058771137803</v>
      </c>
      <c r="E2399" s="108">
        <v>0</v>
      </c>
      <c r="F2399" s="108" t="s">
        <v>135</v>
      </c>
      <c r="G2399" s="108"/>
      <c r="H2399" s="108">
        <v>1</v>
      </c>
    </row>
    <row r="2400" spans="1:8" ht="14">
      <c r="A2400" s="108">
        <v>2013</v>
      </c>
      <c r="B2400" s="108">
        <v>21</v>
      </c>
      <c r="C2400" s="108" t="s">
        <v>30</v>
      </c>
      <c r="D2400" s="108">
        <v>20093.9004122886</v>
      </c>
      <c r="E2400" s="108">
        <v>0</v>
      </c>
      <c r="F2400" s="108" t="s">
        <v>136</v>
      </c>
      <c r="G2400" s="108"/>
      <c r="H2400" s="108">
        <v>1</v>
      </c>
    </row>
    <row r="2401" spans="1:8" ht="14">
      <c r="A2401" s="108">
        <v>2013</v>
      </c>
      <c r="B2401" s="108">
        <v>21</v>
      </c>
      <c r="C2401" s="108" t="s">
        <v>138</v>
      </c>
      <c r="D2401" s="108">
        <v>14900.959922754901</v>
      </c>
      <c r="E2401" s="108">
        <v>0</v>
      </c>
      <c r="F2401" s="108" t="s">
        <v>136</v>
      </c>
      <c r="G2401" s="108"/>
      <c r="H2401" s="108">
        <v>1</v>
      </c>
    </row>
    <row r="2402" spans="1:8" ht="14">
      <c r="A2402" s="108">
        <v>2013</v>
      </c>
      <c r="B2402" s="108">
        <v>21</v>
      </c>
      <c r="C2402" s="108" t="s">
        <v>138</v>
      </c>
      <c r="D2402" s="108">
        <v>296.95907724508101</v>
      </c>
      <c r="E2402" s="108">
        <v>0</v>
      </c>
      <c r="F2402" s="108" t="s">
        <v>135</v>
      </c>
      <c r="G2402" s="108"/>
      <c r="H2402" s="108">
        <v>1</v>
      </c>
    </row>
    <row r="2403" spans="1:8" ht="14">
      <c r="A2403" s="108">
        <v>2013</v>
      </c>
      <c r="B2403" s="108">
        <v>21</v>
      </c>
      <c r="C2403" s="108" t="s">
        <v>139</v>
      </c>
      <c r="D2403" s="108">
        <v>363.49151046629697</v>
      </c>
      <c r="E2403" s="108">
        <v>0</v>
      </c>
      <c r="F2403" s="108" t="s">
        <v>135</v>
      </c>
      <c r="G2403" s="108"/>
      <c r="H2403" s="108">
        <v>1</v>
      </c>
    </row>
    <row r="2404" spans="1:8" ht="14">
      <c r="A2404" s="108">
        <v>2013</v>
      </c>
      <c r="B2404" s="108">
        <v>21</v>
      </c>
      <c r="C2404" s="108" t="s">
        <v>139</v>
      </c>
      <c r="D2404" s="108">
        <v>5192.9404895337002</v>
      </c>
      <c r="E2404" s="108">
        <v>0</v>
      </c>
      <c r="F2404" s="108" t="s">
        <v>136</v>
      </c>
      <c r="G2404" s="108"/>
      <c r="H2404" s="108">
        <v>1</v>
      </c>
    </row>
    <row r="2405" spans="1:8" ht="14">
      <c r="A2405" s="108">
        <v>2013</v>
      </c>
      <c r="B2405" s="108">
        <v>22</v>
      </c>
      <c r="C2405" s="108" t="s">
        <v>30</v>
      </c>
      <c r="D2405" s="108">
        <v>3627.9851969985798</v>
      </c>
      <c r="E2405" s="108">
        <v>0</v>
      </c>
      <c r="F2405" s="108" t="s">
        <v>135</v>
      </c>
      <c r="G2405" s="108"/>
      <c r="H2405" s="108">
        <v>1</v>
      </c>
    </row>
    <row r="2406" spans="1:8" ht="14">
      <c r="A2406" s="108">
        <v>2013</v>
      </c>
      <c r="B2406" s="108">
        <v>22</v>
      </c>
      <c r="C2406" s="108" t="s">
        <v>30</v>
      </c>
      <c r="D2406" s="108">
        <v>48558.122803001301</v>
      </c>
      <c r="E2406" s="108">
        <v>0</v>
      </c>
      <c r="F2406" s="108" t="s">
        <v>136</v>
      </c>
      <c r="G2406" s="108"/>
      <c r="H2406" s="108">
        <v>1</v>
      </c>
    </row>
    <row r="2407" spans="1:8" ht="14">
      <c r="A2407" s="108">
        <v>2013</v>
      </c>
      <c r="B2407" s="108">
        <v>22</v>
      </c>
      <c r="C2407" s="108" t="s">
        <v>138</v>
      </c>
      <c r="D2407" s="108">
        <v>1815.04772896862</v>
      </c>
      <c r="E2407" s="108">
        <v>0</v>
      </c>
      <c r="F2407" s="108" t="s">
        <v>135</v>
      </c>
      <c r="G2407" s="108"/>
      <c r="H2407" s="108">
        <v>1</v>
      </c>
    </row>
    <row r="2408" spans="1:8" ht="14">
      <c r="A2408" s="108">
        <v>2013</v>
      </c>
      <c r="B2408" s="108">
        <v>22</v>
      </c>
      <c r="C2408" s="108" t="s">
        <v>138</v>
      </c>
      <c r="D2408" s="108">
        <v>47545.692271031301</v>
      </c>
      <c r="E2408" s="108">
        <v>0</v>
      </c>
      <c r="F2408" s="108" t="s">
        <v>136</v>
      </c>
      <c r="G2408" s="108"/>
      <c r="H2408" s="108">
        <v>1</v>
      </c>
    </row>
    <row r="2409" spans="1:8" ht="14">
      <c r="A2409" s="108">
        <v>2013</v>
      </c>
      <c r="B2409" s="108">
        <v>22</v>
      </c>
      <c r="C2409" s="108" t="s">
        <v>139</v>
      </c>
      <c r="D2409" s="108">
        <v>1012.43053197004</v>
      </c>
      <c r="E2409" s="108">
        <v>0</v>
      </c>
      <c r="F2409" s="108" t="s">
        <v>136</v>
      </c>
      <c r="G2409" s="108"/>
      <c r="H2409" s="108">
        <v>1</v>
      </c>
    </row>
    <row r="2410" spans="1:8" ht="14">
      <c r="A2410" s="108">
        <v>2013</v>
      </c>
      <c r="B2410" s="108">
        <v>22</v>
      </c>
      <c r="C2410" s="108" t="s">
        <v>139</v>
      </c>
      <c r="D2410" s="108">
        <v>1812.93746802995</v>
      </c>
      <c r="E2410" s="108">
        <v>0</v>
      </c>
      <c r="F2410" s="108" t="s">
        <v>135</v>
      </c>
      <c r="G2410" s="108"/>
      <c r="H2410" s="108">
        <v>1</v>
      </c>
    </row>
    <row r="2411" spans="1:8" ht="14">
      <c r="A2411" s="108">
        <v>2013</v>
      </c>
      <c r="B2411" s="108">
        <v>23</v>
      </c>
      <c r="C2411" s="108" t="s">
        <v>30</v>
      </c>
      <c r="D2411" s="108">
        <v>12213.095398998999</v>
      </c>
      <c r="E2411" s="108">
        <v>0</v>
      </c>
      <c r="F2411" s="108" t="s">
        <v>136</v>
      </c>
      <c r="G2411" s="108"/>
      <c r="H2411" s="108">
        <v>1</v>
      </c>
    </row>
    <row r="2412" spans="1:8" ht="14">
      <c r="A2412" s="108">
        <v>2013</v>
      </c>
      <c r="B2412" s="108">
        <v>23</v>
      </c>
      <c r="C2412" s="108" t="s">
        <v>30</v>
      </c>
      <c r="D2412" s="108">
        <v>885.68060100092396</v>
      </c>
      <c r="E2412" s="108">
        <v>0</v>
      </c>
      <c r="F2412" s="108" t="s">
        <v>135</v>
      </c>
      <c r="G2412" s="108"/>
      <c r="H2412" s="108">
        <v>1</v>
      </c>
    </row>
    <row r="2413" spans="1:8" ht="14">
      <c r="A2413" s="108">
        <v>2013</v>
      </c>
      <c r="B2413" s="108">
        <v>23</v>
      </c>
      <c r="C2413" s="108" t="s">
        <v>138</v>
      </c>
      <c r="D2413" s="108">
        <v>420.11517050293901</v>
      </c>
      <c r="E2413" s="108">
        <v>0</v>
      </c>
      <c r="F2413" s="108" t="s">
        <v>135</v>
      </c>
      <c r="G2413" s="108"/>
      <c r="H2413" s="108">
        <v>1</v>
      </c>
    </row>
    <row r="2414" spans="1:8" ht="14">
      <c r="A2414" s="108">
        <v>2013</v>
      </c>
      <c r="B2414" s="108">
        <v>23</v>
      </c>
      <c r="C2414" s="108" t="s">
        <v>138</v>
      </c>
      <c r="D2414" s="108">
        <v>10403.950829497</v>
      </c>
      <c r="E2414" s="108">
        <v>0</v>
      </c>
      <c r="F2414" s="108" t="s">
        <v>136</v>
      </c>
      <c r="G2414" s="108"/>
      <c r="H2414" s="108">
        <v>1</v>
      </c>
    </row>
    <row r="2415" spans="1:8" ht="14">
      <c r="A2415" s="108">
        <v>2013</v>
      </c>
      <c r="B2415" s="108">
        <v>23</v>
      </c>
      <c r="C2415" s="108" t="s">
        <v>139</v>
      </c>
      <c r="D2415" s="108">
        <v>1809.14456950201</v>
      </c>
      <c r="E2415" s="108">
        <v>0</v>
      </c>
      <c r="F2415" s="108" t="s">
        <v>136</v>
      </c>
      <c r="G2415" s="108"/>
      <c r="H2415" s="108">
        <v>1</v>
      </c>
    </row>
    <row r="2416" spans="1:8" ht="14">
      <c r="A2416" s="108">
        <v>2013</v>
      </c>
      <c r="B2416" s="108">
        <v>23</v>
      </c>
      <c r="C2416" s="108" t="s">
        <v>139</v>
      </c>
      <c r="D2416" s="108">
        <v>465.56543049798398</v>
      </c>
      <c r="E2416" s="108">
        <v>0</v>
      </c>
      <c r="F2416" s="108" t="s">
        <v>135</v>
      </c>
      <c r="G2416" s="108"/>
      <c r="H2416" s="108">
        <v>1</v>
      </c>
    </row>
    <row r="2417" spans="1:8" ht="14">
      <c r="A2417" s="108">
        <v>2013</v>
      </c>
      <c r="B2417" s="108">
        <v>29</v>
      </c>
      <c r="C2417" s="108" t="s">
        <v>30</v>
      </c>
      <c r="D2417" s="108">
        <v>18258.101562031199</v>
      </c>
      <c r="E2417" s="108">
        <v>0</v>
      </c>
      <c r="F2417" s="108" t="s">
        <v>136</v>
      </c>
      <c r="G2417" s="108"/>
      <c r="H2417" s="108">
        <v>1</v>
      </c>
    </row>
    <row r="2418" spans="1:8" ht="14">
      <c r="A2418" s="108">
        <v>2013</v>
      </c>
      <c r="B2418" s="108">
        <v>29</v>
      </c>
      <c r="C2418" s="108" t="s">
        <v>30</v>
      </c>
      <c r="D2418" s="108">
        <v>17119.465437968702</v>
      </c>
      <c r="E2418" s="108">
        <v>0</v>
      </c>
      <c r="F2418" s="108" t="s">
        <v>135</v>
      </c>
      <c r="G2418" s="108"/>
      <c r="H2418" s="108">
        <v>1</v>
      </c>
    </row>
    <row r="2419" spans="1:8" ht="14">
      <c r="A2419" s="108">
        <v>2013</v>
      </c>
      <c r="B2419" s="108">
        <v>29</v>
      </c>
      <c r="C2419" s="108" t="s">
        <v>138</v>
      </c>
      <c r="D2419" s="108">
        <v>10503.7891879533</v>
      </c>
      <c r="E2419" s="108">
        <v>0</v>
      </c>
      <c r="F2419" s="108" t="s">
        <v>136</v>
      </c>
      <c r="G2419" s="108"/>
      <c r="H2419" s="108">
        <v>1</v>
      </c>
    </row>
    <row r="2420" spans="1:8" ht="14">
      <c r="A2420" s="108">
        <v>2013</v>
      </c>
      <c r="B2420" s="108">
        <v>29</v>
      </c>
      <c r="C2420" s="108" t="s">
        <v>138</v>
      </c>
      <c r="D2420" s="108">
        <v>13480.2088120465</v>
      </c>
      <c r="E2420" s="108">
        <v>0</v>
      </c>
      <c r="F2420" s="108" t="s">
        <v>135</v>
      </c>
      <c r="G2420" s="108"/>
      <c r="H2420" s="108">
        <v>1</v>
      </c>
    </row>
    <row r="2421" spans="1:8" ht="14">
      <c r="A2421" s="108">
        <v>2013</v>
      </c>
      <c r="B2421" s="108">
        <v>29</v>
      </c>
      <c r="C2421" s="108" t="s">
        <v>139</v>
      </c>
      <c r="D2421" s="108">
        <v>7754.3123740778001</v>
      </c>
      <c r="E2421" s="108">
        <v>0</v>
      </c>
      <c r="F2421" s="108" t="s">
        <v>136</v>
      </c>
      <c r="G2421" s="108"/>
      <c r="H2421" s="108">
        <v>1</v>
      </c>
    </row>
    <row r="2422" spans="1:8" ht="14">
      <c r="A2422" s="108">
        <v>2013</v>
      </c>
      <c r="B2422" s="108">
        <v>29</v>
      </c>
      <c r="C2422" s="108" t="s">
        <v>139</v>
      </c>
      <c r="D2422" s="108">
        <v>3639.2566259221899</v>
      </c>
      <c r="E2422" s="108">
        <v>0</v>
      </c>
      <c r="F2422" s="108" t="s">
        <v>135</v>
      </c>
      <c r="G2422" s="108"/>
      <c r="H2422" s="108">
        <v>1</v>
      </c>
    </row>
    <row r="2423" spans="1:8" ht="14">
      <c r="A2423" s="108">
        <v>2013</v>
      </c>
      <c r="B2423" s="108">
        <v>31</v>
      </c>
      <c r="C2423" s="108" t="s">
        <v>30</v>
      </c>
      <c r="D2423" s="108">
        <v>6.0274480116169498</v>
      </c>
      <c r="E2423" s="108">
        <v>39.470088900013899</v>
      </c>
      <c r="F2423" s="108" t="s">
        <v>137</v>
      </c>
      <c r="G2423" s="108">
        <v>39.470088796999903</v>
      </c>
      <c r="H2423" s="108">
        <v>1</v>
      </c>
    </row>
    <row r="2424" spans="1:8" ht="14">
      <c r="A2424" s="108">
        <v>2013</v>
      </c>
      <c r="B2424" s="108">
        <v>31</v>
      </c>
      <c r="C2424" s="108" t="s">
        <v>30</v>
      </c>
      <c r="D2424" s="108">
        <v>1088.3132303510199</v>
      </c>
      <c r="E2424" s="108">
        <v>155.63428585446499</v>
      </c>
      <c r="F2424" s="108" t="s">
        <v>135</v>
      </c>
      <c r="G2424" s="108">
        <v>155.63429147299999</v>
      </c>
      <c r="H2424" s="108">
        <v>1</v>
      </c>
    </row>
    <row r="2425" spans="1:8" ht="14">
      <c r="A2425" s="108">
        <v>2013</v>
      </c>
      <c r="B2425" s="108">
        <v>31</v>
      </c>
      <c r="C2425" s="108" t="s">
        <v>30</v>
      </c>
      <c r="D2425" s="108">
        <v>17103.182321637301</v>
      </c>
      <c r="E2425" s="108">
        <v>1396.5526252455099</v>
      </c>
      <c r="F2425" s="108" t="s">
        <v>136</v>
      </c>
      <c r="G2425" s="108">
        <v>1396.55260771499</v>
      </c>
      <c r="H2425" s="108">
        <v>1</v>
      </c>
    </row>
    <row r="2426" spans="1:8" ht="14">
      <c r="A2426" s="108">
        <v>2013</v>
      </c>
      <c r="B2426" s="108">
        <v>31</v>
      </c>
      <c r="C2426" s="108" t="s">
        <v>138</v>
      </c>
      <c r="D2426" s="108">
        <v>4.58179127665748</v>
      </c>
      <c r="E2426" s="108">
        <v>0.87786111268575995</v>
      </c>
      <c r="F2426" s="108" t="s">
        <v>137</v>
      </c>
      <c r="G2426" s="108">
        <v>0.877860952999999</v>
      </c>
      <c r="H2426" s="108">
        <v>1</v>
      </c>
    </row>
    <row r="2427" spans="1:8" ht="14">
      <c r="A2427" s="108">
        <v>2013</v>
      </c>
      <c r="B2427" s="108">
        <v>31</v>
      </c>
      <c r="C2427" s="108" t="s">
        <v>138</v>
      </c>
      <c r="D2427" s="108">
        <v>426.06670158760102</v>
      </c>
      <c r="E2427" s="108">
        <v>74.802296947037902</v>
      </c>
      <c r="F2427" s="108" t="s">
        <v>135</v>
      </c>
      <c r="G2427" s="108">
        <v>74.802306106999893</v>
      </c>
      <c r="H2427" s="108">
        <v>1</v>
      </c>
    </row>
    <row r="2428" spans="1:8" ht="14">
      <c r="A2428" s="108">
        <v>2013</v>
      </c>
      <c r="B2428" s="108">
        <v>31</v>
      </c>
      <c r="C2428" s="108" t="s">
        <v>138</v>
      </c>
      <c r="D2428" s="108">
        <v>10671.975507135699</v>
      </c>
      <c r="E2428" s="108">
        <v>758.10384194027495</v>
      </c>
      <c r="F2428" s="108" t="s">
        <v>136</v>
      </c>
      <c r="G2428" s="108">
        <v>758.10388420800098</v>
      </c>
      <c r="H2428" s="108">
        <v>1</v>
      </c>
    </row>
    <row r="2429" spans="1:8" ht="14">
      <c r="A2429" s="108">
        <v>2013</v>
      </c>
      <c r="B2429" s="108">
        <v>31</v>
      </c>
      <c r="C2429" s="108" t="s">
        <v>139</v>
      </c>
      <c r="D2429" s="108">
        <v>662.24652876341895</v>
      </c>
      <c r="E2429" s="108">
        <v>80.8319889074277</v>
      </c>
      <c r="F2429" s="108" t="s">
        <v>135</v>
      </c>
      <c r="G2429" s="108">
        <v>80.831985365999998</v>
      </c>
      <c r="H2429" s="108">
        <v>1</v>
      </c>
    </row>
    <row r="2430" spans="1:8" ht="14">
      <c r="A2430" s="108">
        <v>2013</v>
      </c>
      <c r="B2430" s="108">
        <v>31</v>
      </c>
      <c r="C2430" s="108" t="s">
        <v>139</v>
      </c>
      <c r="D2430" s="108">
        <v>6431.2068145016201</v>
      </c>
      <c r="E2430" s="108">
        <v>638.44878330524398</v>
      </c>
      <c r="F2430" s="108" t="s">
        <v>136</v>
      </c>
      <c r="G2430" s="108">
        <v>638.44872350699995</v>
      </c>
      <c r="H2430" s="108">
        <v>1</v>
      </c>
    </row>
    <row r="2431" spans="1:8" ht="14">
      <c r="A2431" s="108">
        <v>2013</v>
      </c>
      <c r="B2431" s="108">
        <v>31</v>
      </c>
      <c r="C2431" s="108" t="s">
        <v>139</v>
      </c>
      <c r="D2431" s="108">
        <v>1.44565673495947</v>
      </c>
      <c r="E2431" s="108">
        <v>38.592227787328099</v>
      </c>
      <c r="F2431" s="108" t="s">
        <v>137</v>
      </c>
      <c r="G2431" s="108">
        <v>38.592227844</v>
      </c>
      <c r="H2431" s="108">
        <v>1</v>
      </c>
    </row>
    <row r="2432" spans="1:8" ht="14">
      <c r="A2432" s="108">
        <v>2013</v>
      </c>
      <c r="B2432" s="108">
        <v>32</v>
      </c>
      <c r="C2432" s="108" t="s">
        <v>30</v>
      </c>
      <c r="D2432" s="108">
        <v>31227.165071743399</v>
      </c>
      <c r="E2432" s="108">
        <v>2599.1748845708898</v>
      </c>
      <c r="F2432" s="108" t="s">
        <v>136</v>
      </c>
      <c r="G2432" s="108">
        <v>5198.3498562089999</v>
      </c>
      <c r="H2432" s="108">
        <v>1</v>
      </c>
    </row>
    <row r="2433" spans="1:8" ht="14">
      <c r="A2433" s="108">
        <v>2013</v>
      </c>
      <c r="B2433" s="108">
        <v>32</v>
      </c>
      <c r="C2433" s="108" t="s">
        <v>30</v>
      </c>
      <c r="D2433" s="108">
        <v>18.459561910656301</v>
      </c>
      <c r="E2433" s="108">
        <v>52.4513008434323</v>
      </c>
      <c r="F2433" s="108" t="s">
        <v>137</v>
      </c>
      <c r="G2433" s="108">
        <v>104.90260751</v>
      </c>
      <c r="H2433" s="108">
        <v>1</v>
      </c>
    </row>
    <row r="2434" spans="1:8" ht="14">
      <c r="A2434" s="108">
        <v>2013</v>
      </c>
      <c r="B2434" s="108">
        <v>32</v>
      </c>
      <c r="C2434" s="108" t="s">
        <v>30</v>
      </c>
      <c r="D2434" s="108">
        <v>2161.6073663459401</v>
      </c>
      <c r="E2434" s="108">
        <v>189.97681458567499</v>
      </c>
      <c r="F2434" s="108" t="s">
        <v>135</v>
      </c>
      <c r="G2434" s="108">
        <v>379.95365430999902</v>
      </c>
      <c r="H2434" s="108">
        <v>1</v>
      </c>
    </row>
    <row r="2435" spans="1:8" ht="14">
      <c r="A2435" s="108">
        <v>2013</v>
      </c>
      <c r="B2435" s="108">
        <v>32</v>
      </c>
      <c r="C2435" s="108" t="s">
        <v>138</v>
      </c>
      <c r="D2435" s="108">
        <v>16.150150048021299</v>
      </c>
      <c r="E2435" s="108">
        <v>2.2696177025828201</v>
      </c>
      <c r="F2435" s="108" t="s">
        <v>137</v>
      </c>
      <c r="G2435" s="108">
        <v>4.5392356999999999</v>
      </c>
      <c r="H2435" s="108">
        <v>1</v>
      </c>
    </row>
    <row r="2436" spans="1:8" ht="14">
      <c r="A2436" s="108">
        <v>2013</v>
      </c>
      <c r="B2436" s="108">
        <v>32</v>
      </c>
      <c r="C2436" s="108" t="s">
        <v>138</v>
      </c>
      <c r="D2436" s="108">
        <v>1040.3039569492601</v>
      </c>
      <c r="E2436" s="108">
        <v>92.541375329358999</v>
      </c>
      <c r="F2436" s="108" t="s">
        <v>135</v>
      </c>
      <c r="G2436" s="108">
        <v>185.08275662</v>
      </c>
      <c r="H2436" s="108">
        <v>1</v>
      </c>
    </row>
    <row r="2437" spans="1:8" ht="14">
      <c r="A2437" s="108">
        <v>2013</v>
      </c>
      <c r="B2437" s="108">
        <v>32</v>
      </c>
      <c r="C2437" s="108" t="s">
        <v>138</v>
      </c>
      <c r="D2437" s="108">
        <v>18092.102893002699</v>
      </c>
      <c r="E2437" s="108">
        <v>1360.91500696806</v>
      </c>
      <c r="F2437" s="108" t="s">
        <v>136</v>
      </c>
      <c r="G2437" s="108">
        <v>2721.8301367089998</v>
      </c>
      <c r="H2437" s="108">
        <v>1</v>
      </c>
    </row>
    <row r="2438" spans="1:8" ht="14">
      <c r="A2438" s="108">
        <v>2013</v>
      </c>
      <c r="B2438" s="108">
        <v>32</v>
      </c>
      <c r="C2438" s="108" t="s">
        <v>139</v>
      </c>
      <c r="D2438" s="108">
        <v>2.30941186263501</v>
      </c>
      <c r="E2438" s="108">
        <v>50.181683140849501</v>
      </c>
      <c r="F2438" s="108" t="s">
        <v>137</v>
      </c>
      <c r="G2438" s="108">
        <v>100.36337181</v>
      </c>
      <c r="H2438" s="108">
        <v>1</v>
      </c>
    </row>
    <row r="2439" spans="1:8" ht="14">
      <c r="A2439" s="108">
        <v>2013</v>
      </c>
      <c r="B2439" s="108">
        <v>32</v>
      </c>
      <c r="C2439" s="108" t="s">
        <v>139</v>
      </c>
      <c r="D2439" s="108">
        <v>1121.3034093966701</v>
      </c>
      <c r="E2439" s="108">
        <v>97.435439256316499</v>
      </c>
      <c r="F2439" s="108" t="s">
        <v>135</v>
      </c>
      <c r="G2439" s="108">
        <v>194.87089768999999</v>
      </c>
      <c r="H2439" s="108">
        <v>1</v>
      </c>
    </row>
    <row r="2440" spans="1:8" ht="14">
      <c r="A2440" s="108">
        <v>2013</v>
      </c>
      <c r="B2440" s="108">
        <v>32</v>
      </c>
      <c r="C2440" s="108" t="s">
        <v>139</v>
      </c>
      <c r="D2440" s="108">
        <v>13135.0621787406</v>
      </c>
      <c r="E2440" s="108">
        <v>1238.2598776028301</v>
      </c>
      <c r="F2440" s="108" t="s">
        <v>136</v>
      </c>
      <c r="G2440" s="108">
        <v>2476.5197195000001</v>
      </c>
      <c r="H2440" s="108">
        <v>1</v>
      </c>
    </row>
    <row r="2441" spans="1:8" ht="14">
      <c r="A2441" s="108">
        <v>2013</v>
      </c>
      <c r="B2441" s="108">
        <v>33</v>
      </c>
      <c r="C2441" s="108" t="s">
        <v>30</v>
      </c>
      <c r="D2441" s="108">
        <v>26.553268629730798</v>
      </c>
      <c r="E2441" s="108">
        <v>4.4691069653334896</v>
      </c>
      <c r="F2441" s="108" t="s">
        <v>135</v>
      </c>
      <c r="G2441" s="108">
        <v>6.7036618460000001</v>
      </c>
      <c r="H2441" s="108">
        <v>1</v>
      </c>
    </row>
    <row r="2442" spans="1:8" ht="14">
      <c r="A2442" s="108">
        <v>2013</v>
      </c>
      <c r="B2442" s="108">
        <v>33</v>
      </c>
      <c r="C2442" s="108" t="s">
        <v>30</v>
      </c>
      <c r="D2442" s="108">
        <v>1067.28773137026</v>
      </c>
      <c r="E2442" s="108">
        <v>79.847893034666399</v>
      </c>
      <c r="F2442" s="108" t="s">
        <v>136</v>
      </c>
      <c r="G2442" s="108">
        <v>119.7718564</v>
      </c>
      <c r="H2442" s="108">
        <v>1</v>
      </c>
    </row>
    <row r="2443" spans="1:8" ht="14">
      <c r="A2443" s="108">
        <v>2013</v>
      </c>
      <c r="B2443" s="108">
        <v>33</v>
      </c>
      <c r="C2443" s="108" t="s">
        <v>138</v>
      </c>
      <c r="D2443" s="108">
        <v>13.9320599734254</v>
      </c>
      <c r="E2443" s="108">
        <v>1.8588691724020501</v>
      </c>
      <c r="F2443" s="108" t="s">
        <v>135</v>
      </c>
      <c r="G2443" s="108">
        <v>2.7883046199999999</v>
      </c>
      <c r="H2443" s="108">
        <v>1</v>
      </c>
    </row>
    <row r="2444" spans="1:8" ht="14">
      <c r="A2444" s="108">
        <v>2013</v>
      </c>
      <c r="B2444" s="108">
        <v>33</v>
      </c>
      <c r="C2444" s="108" t="s">
        <v>138</v>
      </c>
      <c r="D2444" s="108">
        <v>796.29094002657405</v>
      </c>
      <c r="E2444" s="108">
        <v>44.571130827597898</v>
      </c>
      <c r="F2444" s="108" t="s">
        <v>136</v>
      </c>
      <c r="G2444" s="108">
        <v>66.856702583000001</v>
      </c>
      <c r="H2444" s="108">
        <v>1</v>
      </c>
    </row>
    <row r="2445" spans="1:8" ht="14">
      <c r="A2445" s="108">
        <v>2013</v>
      </c>
      <c r="B2445" s="108">
        <v>33</v>
      </c>
      <c r="C2445" s="108" t="s">
        <v>139</v>
      </c>
      <c r="D2445" s="108">
        <v>12.621208656305299</v>
      </c>
      <c r="E2445" s="108">
        <v>2.61023779293143</v>
      </c>
      <c r="F2445" s="108" t="s">
        <v>135</v>
      </c>
      <c r="G2445" s="108">
        <v>3.9153572259999998</v>
      </c>
      <c r="H2445" s="108">
        <v>1</v>
      </c>
    </row>
    <row r="2446" spans="1:8" ht="14">
      <c r="A2446" s="108">
        <v>2013</v>
      </c>
      <c r="B2446" s="108">
        <v>33</v>
      </c>
      <c r="C2446" s="108" t="s">
        <v>139</v>
      </c>
      <c r="D2446" s="108">
        <v>270.99679134369399</v>
      </c>
      <c r="E2446" s="108">
        <v>35.276762207068501</v>
      </c>
      <c r="F2446" s="108" t="s">
        <v>136</v>
      </c>
      <c r="G2446" s="108">
        <v>52.915153816999897</v>
      </c>
      <c r="H2446" s="108">
        <v>1</v>
      </c>
    </row>
    <row r="2447" spans="1:8" ht="14">
      <c r="A2447" s="108">
        <v>2013</v>
      </c>
      <c r="B2447" s="108">
        <v>34</v>
      </c>
      <c r="C2447" s="108" t="s">
        <v>30</v>
      </c>
      <c r="D2447" s="108">
        <v>0.301200784948916</v>
      </c>
      <c r="E2447" s="108">
        <v>0.172108742967093</v>
      </c>
      <c r="F2447" s="108" t="s">
        <v>137</v>
      </c>
      <c r="G2447" s="108">
        <v>0.38724480999999999</v>
      </c>
      <c r="H2447" s="108">
        <v>1</v>
      </c>
    </row>
    <row r="2448" spans="1:8" ht="14">
      <c r="A2448" s="108">
        <v>2013</v>
      </c>
      <c r="B2448" s="108">
        <v>34</v>
      </c>
      <c r="C2448" s="108" t="s">
        <v>30</v>
      </c>
      <c r="D2448" s="108">
        <v>150.00335881046399</v>
      </c>
      <c r="E2448" s="108">
        <v>15.1126054842836</v>
      </c>
      <c r="F2448" s="108" t="s">
        <v>135</v>
      </c>
      <c r="G2448" s="108">
        <v>34.003368293000001</v>
      </c>
      <c r="H2448" s="108">
        <v>1</v>
      </c>
    </row>
    <row r="2449" spans="1:8" ht="14">
      <c r="A2449" s="108">
        <v>2013</v>
      </c>
      <c r="B2449" s="108">
        <v>34</v>
      </c>
      <c r="C2449" s="108" t="s">
        <v>30</v>
      </c>
      <c r="D2449" s="108">
        <v>4053.9204404045799</v>
      </c>
      <c r="E2449" s="108">
        <v>359.09728577274899</v>
      </c>
      <c r="F2449" s="108" t="s">
        <v>136</v>
      </c>
      <c r="G2449" s="108">
        <v>807.96876825199899</v>
      </c>
      <c r="H2449" s="108">
        <v>1</v>
      </c>
    </row>
    <row r="2450" spans="1:8" ht="14">
      <c r="A2450" s="108">
        <v>2013</v>
      </c>
      <c r="B2450" s="108">
        <v>34</v>
      </c>
      <c r="C2450" s="108" t="s">
        <v>138</v>
      </c>
      <c r="D2450" s="108">
        <v>0.301200784948916</v>
      </c>
      <c r="E2450" s="108">
        <v>3.4557402150286499E-2</v>
      </c>
      <c r="F2450" s="108" t="s">
        <v>137</v>
      </c>
      <c r="G2450" s="108">
        <v>7.7754089999999901E-2</v>
      </c>
      <c r="H2450" s="108">
        <v>1</v>
      </c>
    </row>
    <row r="2451" spans="1:8" ht="14">
      <c r="A2451" s="108">
        <v>2013</v>
      </c>
      <c r="B2451" s="108">
        <v>34</v>
      </c>
      <c r="C2451" s="108" t="s">
        <v>138</v>
      </c>
      <c r="D2451" s="108">
        <v>3011.77913442308</v>
      </c>
      <c r="E2451" s="108">
        <v>148.83007148049199</v>
      </c>
      <c r="F2451" s="108" t="s">
        <v>136</v>
      </c>
      <c r="G2451" s="108">
        <v>334.86767994199897</v>
      </c>
      <c r="H2451" s="108">
        <v>1</v>
      </c>
    </row>
    <row r="2452" spans="1:8" ht="14">
      <c r="A2452" s="108">
        <v>2013</v>
      </c>
      <c r="B2452" s="108">
        <v>34</v>
      </c>
      <c r="C2452" s="108" t="s">
        <v>138</v>
      </c>
      <c r="D2452" s="108">
        <v>72.583664791962406</v>
      </c>
      <c r="E2452" s="108">
        <v>7.2773711173570197</v>
      </c>
      <c r="F2452" s="108" t="s">
        <v>135</v>
      </c>
      <c r="G2452" s="108">
        <v>16.374089222999999</v>
      </c>
      <c r="H2452" s="108">
        <v>1</v>
      </c>
    </row>
    <row r="2453" spans="1:8" ht="14">
      <c r="A2453" s="108">
        <v>2013</v>
      </c>
      <c r="B2453" s="108">
        <v>34</v>
      </c>
      <c r="C2453" s="108" t="s">
        <v>139</v>
      </c>
      <c r="D2453" s="108">
        <v>77.419694018501602</v>
      </c>
      <c r="E2453" s="108">
        <v>7.8352343669266302</v>
      </c>
      <c r="F2453" s="108" t="s">
        <v>135</v>
      </c>
      <c r="G2453" s="108">
        <v>17.629279069999999</v>
      </c>
      <c r="H2453" s="108">
        <v>1</v>
      </c>
    </row>
    <row r="2454" spans="1:8" ht="14">
      <c r="A2454" s="108">
        <v>2013</v>
      </c>
      <c r="B2454" s="108">
        <v>34</v>
      </c>
      <c r="C2454" s="108" t="s">
        <v>139</v>
      </c>
      <c r="D2454" s="108">
        <v>0</v>
      </c>
      <c r="E2454" s="108">
        <v>0.13755134081680601</v>
      </c>
      <c r="F2454" s="108" t="s">
        <v>137</v>
      </c>
      <c r="G2454" s="108">
        <v>0.30949072</v>
      </c>
      <c r="H2454" s="108">
        <v>1</v>
      </c>
    </row>
    <row r="2455" spans="1:8" ht="14">
      <c r="A2455" s="108">
        <v>2013</v>
      </c>
      <c r="B2455" s="108">
        <v>34</v>
      </c>
      <c r="C2455" s="108" t="s">
        <v>139</v>
      </c>
      <c r="D2455" s="108">
        <v>1042.1413059814899</v>
      </c>
      <c r="E2455" s="108">
        <v>210.267214292256</v>
      </c>
      <c r="F2455" s="108" t="s">
        <v>136</v>
      </c>
      <c r="G2455" s="108">
        <v>473.101088309999</v>
      </c>
      <c r="H2455" s="108">
        <v>1</v>
      </c>
    </row>
    <row r="2456" spans="1:8" ht="14">
      <c r="A2456" s="108">
        <v>2013</v>
      </c>
      <c r="B2456" s="108">
        <v>51</v>
      </c>
      <c r="C2456" s="108" t="s">
        <v>30</v>
      </c>
      <c r="D2456" s="108">
        <v>34868.429092786602</v>
      </c>
      <c r="E2456" s="108">
        <v>3131.47940767621</v>
      </c>
      <c r="F2456" s="108" t="s">
        <v>136</v>
      </c>
      <c r="G2456" s="108"/>
      <c r="H2456" s="108">
        <v>1</v>
      </c>
    </row>
    <row r="2457" spans="1:8" ht="14">
      <c r="A2457" s="108">
        <v>2013</v>
      </c>
      <c r="B2457" s="108">
        <v>51</v>
      </c>
      <c r="C2457" s="108" t="s">
        <v>30</v>
      </c>
      <c r="D2457" s="108">
        <v>6852.7929072133802</v>
      </c>
      <c r="E2457" s="108">
        <v>579.87959232378898</v>
      </c>
      <c r="F2457" s="108" t="s">
        <v>135</v>
      </c>
      <c r="G2457" s="108"/>
      <c r="H2457" s="108">
        <v>1</v>
      </c>
    </row>
    <row r="2458" spans="1:8" ht="14">
      <c r="A2458" s="108">
        <v>2013</v>
      </c>
      <c r="B2458" s="108">
        <v>51</v>
      </c>
      <c r="C2458" s="108" t="s">
        <v>138</v>
      </c>
      <c r="D2458" s="108">
        <v>3395.6193151914099</v>
      </c>
      <c r="E2458" s="108">
        <v>285.22621958019602</v>
      </c>
      <c r="F2458" s="108" t="s">
        <v>135</v>
      </c>
      <c r="G2458" s="108"/>
      <c r="H2458" s="108">
        <v>1</v>
      </c>
    </row>
    <row r="2459" spans="1:8" ht="14">
      <c r="A2459" s="108">
        <v>2013</v>
      </c>
      <c r="B2459" s="108">
        <v>51</v>
      </c>
      <c r="C2459" s="108" t="s">
        <v>138</v>
      </c>
      <c r="D2459" s="108">
        <v>20323.713684808499</v>
      </c>
      <c r="E2459" s="108">
        <v>1604.6407804198</v>
      </c>
      <c r="F2459" s="108" t="s">
        <v>136</v>
      </c>
      <c r="G2459" s="108"/>
      <c r="H2459" s="108">
        <v>1</v>
      </c>
    </row>
    <row r="2460" spans="1:8" ht="14">
      <c r="A2460" s="108">
        <v>2013</v>
      </c>
      <c r="B2460" s="108">
        <v>51</v>
      </c>
      <c r="C2460" s="108" t="s">
        <v>139</v>
      </c>
      <c r="D2460" s="108">
        <v>14544.715407977999</v>
      </c>
      <c r="E2460" s="108">
        <v>1526.8386272564001</v>
      </c>
      <c r="F2460" s="108" t="s">
        <v>136</v>
      </c>
      <c r="G2460" s="108"/>
      <c r="H2460" s="108">
        <v>1</v>
      </c>
    </row>
    <row r="2461" spans="1:8" ht="14">
      <c r="A2461" s="108">
        <v>2013</v>
      </c>
      <c r="B2461" s="108">
        <v>51</v>
      </c>
      <c r="C2461" s="108" t="s">
        <v>139</v>
      </c>
      <c r="D2461" s="108">
        <v>3457.1735920219598</v>
      </c>
      <c r="E2461" s="108">
        <v>294.65337274359302</v>
      </c>
      <c r="F2461" s="108" t="s">
        <v>135</v>
      </c>
      <c r="G2461" s="108"/>
      <c r="H2461" s="108">
        <v>1</v>
      </c>
    </row>
    <row r="2462" spans="1:8" ht="14">
      <c r="A2462" s="108">
        <v>2013</v>
      </c>
      <c r="B2462" s="108">
        <v>52</v>
      </c>
      <c r="C2462" s="108" t="s">
        <v>30</v>
      </c>
      <c r="D2462" s="108">
        <v>0</v>
      </c>
      <c r="E2462" s="108">
        <v>1221.0111244572399</v>
      </c>
      <c r="F2462" s="108" t="s">
        <v>135</v>
      </c>
      <c r="G2462" s="108"/>
      <c r="H2462" s="108">
        <v>1</v>
      </c>
    </row>
    <row r="2463" spans="1:8" ht="14">
      <c r="A2463" s="108">
        <v>2013</v>
      </c>
      <c r="B2463" s="108">
        <v>52</v>
      </c>
      <c r="C2463" s="108" t="s">
        <v>30</v>
      </c>
      <c r="D2463" s="108">
        <v>0</v>
      </c>
      <c r="E2463" s="108">
        <v>4242.1018755427503</v>
      </c>
      <c r="F2463" s="108" t="s">
        <v>136</v>
      </c>
      <c r="G2463" s="108"/>
      <c r="H2463" s="108">
        <v>1</v>
      </c>
    </row>
    <row r="2464" spans="1:8" ht="14">
      <c r="A2464" s="108">
        <v>2013</v>
      </c>
      <c r="B2464" s="108">
        <v>52</v>
      </c>
      <c r="C2464" s="108" t="s">
        <v>138</v>
      </c>
      <c r="D2464" s="108">
        <v>0</v>
      </c>
      <c r="E2464" s="108">
        <v>2049.2604894272499</v>
      </c>
      <c r="F2464" s="108" t="s">
        <v>136</v>
      </c>
      <c r="G2464" s="108"/>
      <c r="H2464" s="108">
        <v>1</v>
      </c>
    </row>
    <row r="2465" spans="1:8" ht="14">
      <c r="A2465" s="108">
        <v>2013</v>
      </c>
      <c r="B2465" s="108">
        <v>52</v>
      </c>
      <c r="C2465" s="108" t="s">
        <v>138</v>
      </c>
      <c r="D2465" s="108">
        <v>0</v>
      </c>
      <c r="E2465" s="108">
        <v>615.83451057274601</v>
      </c>
      <c r="F2465" s="108" t="s">
        <v>135</v>
      </c>
      <c r="G2465" s="108"/>
      <c r="H2465" s="108">
        <v>1</v>
      </c>
    </row>
    <row r="2466" spans="1:8" ht="14">
      <c r="A2466" s="108">
        <v>2013</v>
      </c>
      <c r="B2466" s="108">
        <v>52</v>
      </c>
      <c r="C2466" s="108" t="s">
        <v>139</v>
      </c>
      <c r="D2466" s="108">
        <v>0</v>
      </c>
      <c r="E2466" s="108">
        <v>2192.8413861155</v>
      </c>
      <c r="F2466" s="108" t="s">
        <v>136</v>
      </c>
      <c r="G2466" s="108"/>
      <c r="H2466" s="108">
        <v>1</v>
      </c>
    </row>
    <row r="2467" spans="1:8" ht="14">
      <c r="A2467" s="108">
        <v>2013</v>
      </c>
      <c r="B2467" s="108">
        <v>52</v>
      </c>
      <c r="C2467" s="108" t="s">
        <v>139</v>
      </c>
      <c r="D2467" s="108">
        <v>0</v>
      </c>
      <c r="E2467" s="108">
        <v>605.17661388449403</v>
      </c>
      <c r="F2467" s="108" t="s">
        <v>135</v>
      </c>
      <c r="G2467" s="108"/>
      <c r="H2467" s="108">
        <v>1</v>
      </c>
    </row>
    <row r="2468" spans="1:8" ht="14">
      <c r="A2468" s="108">
        <v>2013</v>
      </c>
      <c r="B2468" s="108">
        <v>53</v>
      </c>
      <c r="C2468" s="108" t="s">
        <v>30</v>
      </c>
      <c r="D2468" s="108">
        <v>0</v>
      </c>
      <c r="E2468" s="108">
        <v>39.262</v>
      </c>
      <c r="F2468" s="108" t="s">
        <v>135</v>
      </c>
      <c r="G2468" s="108"/>
      <c r="H2468" s="108">
        <v>1</v>
      </c>
    </row>
    <row r="2469" spans="1:8" ht="14">
      <c r="A2469" s="108">
        <v>2013</v>
      </c>
      <c r="B2469" s="108">
        <v>53</v>
      </c>
      <c r="C2469" s="108" t="s">
        <v>30</v>
      </c>
      <c r="D2469" s="108">
        <v>0</v>
      </c>
      <c r="E2469" s="108">
        <v>101.728999999999</v>
      </c>
      <c r="F2469" s="108" t="s">
        <v>136</v>
      </c>
      <c r="G2469" s="108"/>
      <c r="H2469" s="108">
        <v>1</v>
      </c>
    </row>
    <row r="2470" spans="1:8" ht="14">
      <c r="A2470" s="108">
        <v>2013</v>
      </c>
      <c r="B2470" s="108">
        <v>53</v>
      </c>
      <c r="C2470" s="108" t="s">
        <v>138</v>
      </c>
      <c r="D2470" s="108">
        <v>0</v>
      </c>
      <c r="E2470" s="108">
        <v>49.75</v>
      </c>
      <c r="F2470" s="108" t="s">
        <v>136</v>
      </c>
      <c r="G2470" s="108"/>
      <c r="H2470" s="108">
        <v>1</v>
      </c>
    </row>
    <row r="2471" spans="1:8" ht="14">
      <c r="A2471" s="108">
        <v>2013</v>
      </c>
      <c r="B2471" s="108">
        <v>53</v>
      </c>
      <c r="C2471" s="108" t="s">
        <v>138</v>
      </c>
      <c r="D2471" s="108">
        <v>0</v>
      </c>
      <c r="E2471" s="108">
        <v>19.812000000000001</v>
      </c>
      <c r="F2471" s="108" t="s">
        <v>135</v>
      </c>
      <c r="G2471" s="108"/>
      <c r="H2471" s="108">
        <v>1</v>
      </c>
    </row>
    <row r="2472" spans="1:8" ht="14">
      <c r="A2472" s="108">
        <v>2013</v>
      </c>
      <c r="B2472" s="108">
        <v>53</v>
      </c>
      <c r="C2472" s="108" t="s">
        <v>139</v>
      </c>
      <c r="D2472" s="108">
        <v>0</v>
      </c>
      <c r="E2472" s="108">
        <v>19.45</v>
      </c>
      <c r="F2472" s="108" t="s">
        <v>135</v>
      </c>
      <c r="G2472" s="108"/>
      <c r="H2472" s="108">
        <v>1</v>
      </c>
    </row>
    <row r="2473" spans="1:8" ht="14">
      <c r="A2473" s="108">
        <v>2013</v>
      </c>
      <c r="B2473" s="108">
        <v>53</v>
      </c>
      <c r="C2473" s="108" t="s">
        <v>139</v>
      </c>
      <c r="D2473" s="108">
        <v>0</v>
      </c>
      <c r="E2473" s="108">
        <v>51.978999999999999</v>
      </c>
      <c r="F2473" s="108" t="s">
        <v>136</v>
      </c>
      <c r="G2473" s="108"/>
      <c r="H2473" s="108">
        <v>1</v>
      </c>
    </row>
    <row r="2474" spans="1:8" ht="14">
      <c r="A2474" s="108">
        <v>2013</v>
      </c>
      <c r="B2474" s="108">
        <v>54</v>
      </c>
      <c r="C2474" s="108" t="s">
        <v>30</v>
      </c>
      <c r="D2474" s="108">
        <v>5649.38780033689</v>
      </c>
      <c r="E2474" s="108">
        <v>3632.7441145564699</v>
      </c>
      <c r="F2474" s="108" t="s">
        <v>136</v>
      </c>
      <c r="G2474" s="108"/>
      <c r="H2474" s="108">
        <v>1</v>
      </c>
    </row>
    <row r="2475" spans="1:8" ht="14">
      <c r="A2475" s="108">
        <v>2013</v>
      </c>
      <c r="B2475" s="108">
        <v>54</v>
      </c>
      <c r="C2475" s="108" t="s">
        <v>30</v>
      </c>
      <c r="D2475" s="108">
        <v>701.55919966310501</v>
      </c>
      <c r="E2475" s="108">
        <v>165.32488544352699</v>
      </c>
      <c r="F2475" s="108" t="s">
        <v>135</v>
      </c>
      <c r="G2475" s="108"/>
      <c r="H2475" s="108">
        <v>1</v>
      </c>
    </row>
    <row r="2476" spans="1:8" ht="14">
      <c r="A2476" s="108">
        <v>2013</v>
      </c>
      <c r="B2476" s="108">
        <v>54</v>
      </c>
      <c r="C2476" s="108" t="s">
        <v>138</v>
      </c>
      <c r="D2476" s="108">
        <v>378.87255110131503</v>
      </c>
      <c r="E2476" s="108">
        <v>80.194123252941395</v>
      </c>
      <c r="F2476" s="108" t="s">
        <v>135</v>
      </c>
      <c r="G2476" s="108"/>
      <c r="H2476" s="108">
        <v>1</v>
      </c>
    </row>
    <row r="2477" spans="1:8" ht="14">
      <c r="A2477" s="108">
        <v>2013</v>
      </c>
      <c r="B2477" s="108">
        <v>54</v>
      </c>
      <c r="C2477" s="108" t="s">
        <v>138</v>
      </c>
      <c r="D2477" s="108">
        <v>3168.6324488986802</v>
      </c>
      <c r="E2477" s="108">
        <v>2227.1138767470502</v>
      </c>
      <c r="F2477" s="108" t="s">
        <v>136</v>
      </c>
      <c r="G2477" s="108"/>
      <c r="H2477" s="108">
        <v>1</v>
      </c>
    </row>
    <row r="2478" spans="1:8" ht="14">
      <c r="A2478" s="108">
        <v>2013</v>
      </c>
      <c r="B2478" s="108">
        <v>54</v>
      </c>
      <c r="C2478" s="108" t="s">
        <v>139</v>
      </c>
      <c r="D2478" s="108">
        <v>322.68664856178901</v>
      </c>
      <c r="E2478" s="108">
        <v>85.130762190586495</v>
      </c>
      <c r="F2478" s="108" t="s">
        <v>135</v>
      </c>
      <c r="G2478" s="108"/>
      <c r="H2478" s="108">
        <v>1</v>
      </c>
    </row>
    <row r="2479" spans="1:8" ht="14">
      <c r="A2479" s="108">
        <v>2013</v>
      </c>
      <c r="B2479" s="108">
        <v>54</v>
      </c>
      <c r="C2479" s="108" t="s">
        <v>139</v>
      </c>
      <c r="D2479" s="108">
        <v>2480.7553514382098</v>
      </c>
      <c r="E2479" s="108">
        <v>1405.6302378094099</v>
      </c>
      <c r="F2479" s="108" t="s">
        <v>136</v>
      </c>
      <c r="G2479" s="108"/>
      <c r="H2479" s="108">
        <v>1</v>
      </c>
    </row>
    <row r="2480" spans="1:8" ht="14">
      <c r="A2480" s="108">
        <v>2013</v>
      </c>
      <c r="B2480" s="108">
        <v>59</v>
      </c>
      <c r="C2480" s="108" t="s">
        <v>30</v>
      </c>
      <c r="D2480" s="108">
        <v>0.218</v>
      </c>
      <c r="E2480" s="108">
        <v>0.97397938144329899</v>
      </c>
      <c r="F2480" s="108" t="s">
        <v>136</v>
      </c>
      <c r="G2480" s="108"/>
      <c r="H2480" s="108">
        <v>1</v>
      </c>
    </row>
    <row r="2481" spans="1:8" ht="14">
      <c r="A2481" s="108">
        <v>2013</v>
      </c>
      <c r="B2481" s="108">
        <v>59</v>
      </c>
      <c r="C2481" s="108" t="s">
        <v>30</v>
      </c>
      <c r="D2481" s="108">
        <v>1.018</v>
      </c>
      <c r="E2481" s="108">
        <v>2.0540206185567</v>
      </c>
      <c r="F2481" s="108" t="s">
        <v>135</v>
      </c>
      <c r="G2481" s="108"/>
      <c r="H2481" s="108">
        <v>1</v>
      </c>
    </row>
    <row r="2482" spans="1:8" ht="14">
      <c r="A2482" s="108">
        <v>2013</v>
      </c>
      <c r="B2482" s="108">
        <v>59</v>
      </c>
      <c r="C2482" s="108" t="s">
        <v>138</v>
      </c>
      <c r="D2482" s="108">
        <v>0.57599999999999996</v>
      </c>
      <c r="E2482" s="108">
        <v>1.23199999999999</v>
      </c>
      <c r="F2482" s="108" t="s">
        <v>135</v>
      </c>
      <c r="G2482" s="108"/>
      <c r="H2482" s="108">
        <v>1</v>
      </c>
    </row>
    <row r="2483" spans="1:8" ht="14">
      <c r="A2483" s="108">
        <v>2013</v>
      </c>
      <c r="B2483" s="108">
        <v>59</v>
      </c>
      <c r="C2483" s="108" t="s">
        <v>138</v>
      </c>
      <c r="D2483" s="108">
        <v>0.128</v>
      </c>
      <c r="E2483" s="108">
        <v>0.53100000000000003</v>
      </c>
      <c r="F2483" s="108" t="s">
        <v>136</v>
      </c>
      <c r="G2483" s="108"/>
      <c r="H2483" s="108">
        <v>1</v>
      </c>
    </row>
    <row r="2484" spans="1:8" ht="14">
      <c r="A2484" s="108">
        <v>2013</v>
      </c>
      <c r="B2484" s="108">
        <v>59</v>
      </c>
      <c r="C2484" s="108" t="s">
        <v>139</v>
      </c>
      <c r="D2484" s="108">
        <v>0.09</v>
      </c>
      <c r="E2484" s="108">
        <v>0.44297938144329901</v>
      </c>
      <c r="F2484" s="108" t="s">
        <v>136</v>
      </c>
      <c r="G2484" s="108"/>
      <c r="H2484" s="108">
        <v>1</v>
      </c>
    </row>
    <row r="2485" spans="1:8" ht="14">
      <c r="A2485" s="108">
        <v>2013</v>
      </c>
      <c r="B2485" s="108">
        <v>59</v>
      </c>
      <c r="C2485" s="108" t="s">
        <v>139</v>
      </c>
      <c r="D2485" s="108">
        <v>0.442</v>
      </c>
      <c r="E2485" s="108">
        <v>0.82202061855670105</v>
      </c>
      <c r="F2485" s="108" t="s">
        <v>135</v>
      </c>
      <c r="G2485" s="108"/>
      <c r="H2485" s="108">
        <v>1</v>
      </c>
    </row>
    <row r="2486" spans="1:8" ht="14">
      <c r="A2486" s="108">
        <v>2013</v>
      </c>
      <c r="B2486" s="108">
        <v>61</v>
      </c>
      <c r="C2486" s="108" t="s">
        <v>30</v>
      </c>
      <c r="D2486" s="108">
        <v>24314.119843973502</v>
      </c>
      <c r="E2486" s="108">
        <v>1696.92802216428</v>
      </c>
      <c r="F2486" s="108" t="s">
        <v>136</v>
      </c>
      <c r="G2486" s="108"/>
      <c r="H2486" s="108">
        <v>1</v>
      </c>
    </row>
    <row r="2487" spans="1:8" ht="14">
      <c r="A2487" s="108">
        <v>2013</v>
      </c>
      <c r="B2487" s="108">
        <v>61</v>
      </c>
      <c r="C2487" s="108" t="s">
        <v>30</v>
      </c>
      <c r="D2487" s="108">
        <v>12553.8001560264</v>
      </c>
      <c r="E2487" s="108">
        <v>1000.59897783571</v>
      </c>
      <c r="F2487" s="108" t="s">
        <v>135</v>
      </c>
      <c r="G2487" s="108"/>
      <c r="H2487" s="108">
        <v>1</v>
      </c>
    </row>
    <row r="2488" spans="1:8" ht="14">
      <c r="A2488" s="108">
        <v>2013</v>
      </c>
      <c r="B2488" s="108">
        <v>61</v>
      </c>
      <c r="C2488" s="108" t="s">
        <v>138</v>
      </c>
      <c r="D2488" s="108">
        <v>14319.360069882099</v>
      </c>
      <c r="E2488" s="108">
        <v>855.50327503933204</v>
      </c>
      <c r="F2488" s="108" t="s">
        <v>136</v>
      </c>
      <c r="G2488" s="108"/>
      <c r="H2488" s="108">
        <v>1</v>
      </c>
    </row>
    <row r="2489" spans="1:8" ht="14">
      <c r="A2489" s="108">
        <v>2013</v>
      </c>
      <c r="B2489" s="108">
        <v>61</v>
      </c>
      <c r="C2489" s="108" t="s">
        <v>138</v>
      </c>
      <c r="D2489" s="108">
        <v>6142.4729301178404</v>
      </c>
      <c r="E2489" s="108">
        <v>494.60272496066801</v>
      </c>
      <c r="F2489" s="108" t="s">
        <v>135</v>
      </c>
      <c r="G2489" s="108"/>
      <c r="H2489" s="108">
        <v>1</v>
      </c>
    </row>
    <row r="2490" spans="1:8" ht="14">
      <c r="A2490" s="108">
        <v>2013</v>
      </c>
      <c r="B2490" s="108">
        <v>61</v>
      </c>
      <c r="C2490" s="108" t="s">
        <v>139</v>
      </c>
      <c r="D2490" s="108">
        <v>6411.3272259085898</v>
      </c>
      <c r="E2490" s="108">
        <v>505.99625287505</v>
      </c>
      <c r="F2490" s="108" t="s">
        <v>135</v>
      </c>
      <c r="G2490" s="108"/>
      <c r="H2490" s="108">
        <v>1</v>
      </c>
    </row>
    <row r="2491" spans="1:8" ht="14">
      <c r="A2491" s="108">
        <v>2013</v>
      </c>
      <c r="B2491" s="108">
        <v>61</v>
      </c>
      <c r="C2491" s="108" t="s">
        <v>139</v>
      </c>
      <c r="D2491" s="108">
        <v>9994.7597740914007</v>
      </c>
      <c r="E2491" s="108">
        <v>841.42474712494902</v>
      </c>
      <c r="F2491" s="108" t="s">
        <v>136</v>
      </c>
      <c r="G2491" s="108"/>
      <c r="H2491" s="108">
        <v>1</v>
      </c>
    </row>
    <row r="2492" spans="1:8" ht="14">
      <c r="A2492" s="108">
        <v>2013</v>
      </c>
      <c r="B2492" s="108">
        <v>62</v>
      </c>
      <c r="C2492" s="108" t="s">
        <v>30</v>
      </c>
      <c r="D2492" s="108">
        <v>465.20403957785499</v>
      </c>
      <c r="E2492" s="108">
        <v>52.4839335658286</v>
      </c>
      <c r="F2492" s="108" t="s">
        <v>136</v>
      </c>
      <c r="G2492" s="108"/>
      <c r="H2492" s="108">
        <v>1</v>
      </c>
    </row>
    <row r="2493" spans="1:8" ht="14">
      <c r="A2493" s="108">
        <v>2013</v>
      </c>
      <c r="B2493" s="108">
        <v>62</v>
      </c>
      <c r="C2493" s="108" t="s">
        <v>30</v>
      </c>
      <c r="D2493" s="108">
        <v>6.4079604221447397</v>
      </c>
      <c r="E2493" s="108">
        <v>4.3530664341713896</v>
      </c>
      <c r="F2493" s="108" t="s">
        <v>135</v>
      </c>
      <c r="G2493" s="108"/>
      <c r="H2493" s="108">
        <v>1</v>
      </c>
    </row>
    <row r="2494" spans="1:8" ht="14">
      <c r="A2494" s="108">
        <v>2013</v>
      </c>
      <c r="B2494" s="108">
        <v>62</v>
      </c>
      <c r="C2494" s="108" t="s">
        <v>138</v>
      </c>
      <c r="D2494" s="108">
        <v>3.1826440677966001</v>
      </c>
      <c r="E2494" s="108">
        <v>2.2050740740740702</v>
      </c>
      <c r="F2494" s="108" t="s">
        <v>135</v>
      </c>
      <c r="G2494" s="108"/>
      <c r="H2494" s="108">
        <v>1</v>
      </c>
    </row>
    <row r="2495" spans="1:8" ht="14">
      <c r="A2495" s="108">
        <v>2013</v>
      </c>
      <c r="B2495" s="108">
        <v>62</v>
      </c>
      <c r="C2495" s="108" t="s">
        <v>138</v>
      </c>
      <c r="D2495" s="108">
        <v>338.51835593220301</v>
      </c>
      <c r="E2495" s="108">
        <v>33.834925925925901</v>
      </c>
      <c r="F2495" s="108" t="s">
        <v>136</v>
      </c>
      <c r="G2495" s="108"/>
      <c r="H2495" s="108">
        <v>1</v>
      </c>
    </row>
    <row r="2496" spans="1:8" ht="14">
      <c r="A2496" s="108">
        <v>2013</v>
      </c>
      <c r="B2496" s="108">
        <v>62</v>
      </c>
      <c r="C2496" s="108" t="s">
        <v>139</v>
      </c>
      <c r="D2496" s="108">
        <v>3.2253163543481298</v>
      </c>
      <c r="E2496" s="108">
        <v>2.1479923600973199</v>
      </c>
      <c r="F2496" s="108" t="s">
        <v>135</v>
      </c>
      <c r="G2496" s="108"/>
      <c r="H2496" s="108">
        <v>1</v>
      </c>
    </row>
    <row r="2497" spans="1:8" ht="14">
      <c r="A2497" s="108">
        <v>2013</v>
      </c>
      <c r="B2497" s="108">
        <v>62</v>
      </c>
      <c r="C2497" s="108" t="s">
        <v>139</v>
      </c>
      <c r="D2497" s="108">
        <v>126.685683645651</v>
      </c>
      <c r="E2497" s="108">
        <v>18.649007639902599</v>
      </c>
      <c r="F2497" s="108" t="s">
        <v>136</v>
      </c>
      <c r="G2497" s="108"/>
      <c r="H2497" s="108">
        <v>1</v>
      </c>
    </row>
    <row r="2498" spans="1:8" ht="14">
      <c r="A2498" s="108">
        <v>2013</v>
      </c>
      <c r="B2498" s="108">
        <v>63</v>
      </c>
      <c r="C2498" s="108" t="s">
        <v>30</v>
      </c>
      <c r="D2498" s="108">
        <v>9618.4036549654993</v>
      </c>
      <c r="E2498" s="108">
        <v>626.07922274128396</v>
      </c>
      <c r="F2498" s="108" t="s">
        <v>136</v>
      </c>
      <c r="G2498" s="108"/>
      <c r="H2498" s="108">
        <v>1</v>
      </c>
    </row>
    <row r="2499" spans="1:8" ht="14">
      <c r="A2499" s="108">
        <v>2013</v>
      </c>
      <c r="B2499" s="108">
        <v>63</v>
      </c>
      <c r="C2499" s="108" t="s">
        <v>30</v>
      </c>
      <c r="D2499" s="108">
        <v>23.879345034500901</v>
      </c>
      <c r="E2499" s="108">
        <v>5.3787772587156697</v>
      </c>
      <c r="F2499" s="108" t="s">
        <v>135</v>
      </c>
      <c r="G2499" s="108"/>
      <c r="H2499" s="108">
        <v>1</v>
      </c>
    </row>
    <row r="2500" spans="1:8" ht="14">
      <c r="A2500" s="108">
        <v>2013</v>
      </c>
      <c r="B2500" s="108">
        <v>63</v>
      </c>
      <c r="C2500" s="108" t="s">
        <v>138</v>
      </c>
      <c r="D2500" s="108">
        <v>16.118577034500898</v>
      </c>
      <c r="E2500" s="108">
        <v>2.8290631775700898</v>
      </c>
      <c r="F2500" s="108" t="s">
        <v>135</v>
      </c>
      <c r="G2500" s="108"/>
      <c r="H2500" s="108">
        <v>1</v>
      </c>
    </row>
    <row r="2501" spans="1:8" ht="14">
      <c r="A2501" s="108">
        <v>2013</v>
      </c>
      <c r="B2501" s="108">
        <v>63</v>
      </c>
      <c r="C2501" s="108" t="s">
        <v>138</v>
      </c>
      <c r="D2501" s="108">
        <v>7435.6324229655002</v>
      </c>
      <c r="E2501" s="108">
        <v>315.537936822429</v>
      </c>
      <c r="F2501" s="108" t="s">
        <v>136</v>
      </c>
      <c r="G2501" s="108"/>
      <c r="H2501" s="108">
        <v>1</v>
      </c>
    </row>
    <row r="2502" spans="1:8" ht="14">
      <c r="A2502" s="108">
        <v>2013</v>
      </c>
      <c r="B2502" s="108">
        <v>63</v>
      </c>
      <c r="C2502" s="108" t="s">
        <v>139</v>
      </c>
      <c r="D2502" s="108">
        <v>7.7607679999999899</v>
      </c>
      <c r="E2502" s="108">
        <v>2.5497140811455798</v>
      </c>
      <c r="F2502" s="108" t="s">
        <v>135</v>
      </c>
      <c r="G2502" s="108"/>
      <c r="H2502" s="108">
        <v>1</v>
      </c>
    </row>
    <row r="2503" spans="1:8" ht="14">
      <c r="A2503" s="108">
        <v>2013</v>
      </c>
      <c r="B2503" s="108">
        <v>63</v>
      </c>
      <c r="C2503" s="108" t="s">
        <v>139</v>
      </c>
      <c r="D2503" s="108">
        <v>2182.7712319999901</v>
      </c>
      <c r="E2503" s="108">
        <v>310.54128591885399</v>
      </c>
      <c r="F2503" s="108" t="s">
        <v>136</v>
      </c>
      <c r="G2503" s="108"/>
      <c r="H2503" s="108">
        <v>1</v>
      </c>
    </row>
    <row r="2504" spans="1:8" ht="14">
      <c r="A2504" s="108">
        <v>2013</v>
      </c>
      <c r="B2504" s="108">
        <v>69</v>
      </c>
      <c r="C2504" s="108" t="s">
        <v>30</v>
      </c>
      <c r="D2504" s="108">
        <v>0.155</v>
      </c>
      <c r="E2504" s="108">
        <v>0.122</v>
      </c>
      <c r="F2504" s="108" t="s">
        <v>136</v>
      </c>
      <c r="G2504" s="108"/>
      <c r="H2504" s="108">
        <v>1</v>
      </c>
    </row>
    <row r="2505" spans="1:8" ht="14">
      <c r="A2505" s="108">
        <v>2013</v>
      </c>
      <c r="B2505" s="108">
        <v>69</v>
      </c>
      <c r="C2505" s="108" t="s">
        <v>138</v>
      </c>
      <c r="D2505" s="108">
        <v>0.155</v>
      </c>
      <c r="E2505" s="108">
        <v>0.122</v>
      </c>
      <c r="F2505" s="108" t="s">
        <v>136</v>
      </c>
      <c r="G2505" s="108"/>
      <c r="H2505" s="108">
        <v>1</v>
      </c>
    </row>
    <row r="2506" spans="1:8" ht="14">
      <c r="A2506" s="108">
        <v>2013</v>
      </c>
      <c r="B2506" s="108">
        <v>91</v>
      </c>
      <c r="C2506" s="108" t="s">
        <v>30</v>
      </c>
      <c r="D2506" s="108">
        <v>6946.3642987883504</v>
      </c>
      <c r="E2506" s="108">
        <v>0</v>
      </c>
      <c r="F2506" s="108" t="s">
        <v>136</v>
      </c>
      <c r="G2506" s="108"/>
      <c r="H2506" s="108">
        <v>1</v>
      </c>
    </row>
    <row r="2507" spans="1:8" ht="14">
      <c r="A2507" s="108">
        <v>2013</v>
      </c>
      <c r="B2507" s="108">
        <v>91</v>
      </c>
      <c r="C2507" s="108" t="s">
        <v>30</v>
      </c>
      <c r="D2507" s="108">
        <v>75.541701211641794</v>
      </c>
      <c r="E2507" s="108">
        <v>0</v>
      </c>
      <c r="F2507" s="108" t="s">
        <v>135</v>
      </c>
      <c r="G2507" s="108"/>
      <c r="H2507" s="108">
        <v>1</v>
      </c>
    </row>
    <row r="2508" spans="1:8" ht="14">
      <c r="A2508" s="108">
        <v>2013</v>
      </c>
      <c r="B2508" s="108">
        <v>91</v>
      </c>
      <c r="C2508" s="108" t="s">
        <v>138</v>
      </c>
      <c r="D2508" s="108">
        <v>70.689221759555593</v>
      </c>
      <c r="E2508" s="108">
        <v>0</v>
      </c>
      <c r="F2508" s="108" t="s">
        <v>135</v>
      </c>
      <c r="G2508" s="108"/>
      <c r="H2508" s="108">
        <v>1</v>
      </c>
    </row>
    <row r="2509" spans="1:8" ht="14">
      <c r="A2509" s="108">
        <v>2013</v>
      </c>
      <c r="B2509" s="108">
        <v>91</v>
      </c>
      <c r="C2509" s="108" t="s">
        <v>138</v>
      </c>
      <c r="D2509" s="108">
        <v>6544.0697782404404</v>
      </c>
      <c r="E2509" s="108">
        <v>0</v>
      </c>
      <c r="F2509" s="108" t="s">
        <v>136</v>
      </c>
      <c r="G2509" s="108"/>
      <c r="H2509" s="108">
        <v>1</v>
      </c>
    </row>
    <row r="2510" spans="1:8" ht="14">
      <c r="A2510" s="108">
        <v>2013</v>
      </c>
      <c r="B2510" s="108">
        <v>91</v>
      </c>
      <c r="C2510" s="108" t="s">
        <v>139</v>
      </c>
      <c r="D2510" s="108">
        <v>4.8524794520861798</v>
      </c>
      <c r="E2510" s="108">
        <v>0</v>
      </c>
      <c r="F2510" s="108" t="s">
        <v>135</v>
      </c>
      <c r="G2510" s="108"/>
      <c r="H2510" s="108">
        <v>1</v>
      </c>
    </row>
    <row r="2511" spans="1:8" ht="14">
      <c r="A2511" s="108">
        <v>2013</v>
      </c>
      <c r="B2511" s="108">
        <v>91</v>
      </c>
      <c r="C2511" s="108" t="s">
        <v>139</v>
      </c>
      <c r="D2511" s="108">
        <v>402.29452054791301</v>
      </c>
      <c r="E2511" s="108">
        <v>0</v>
      </c>
      <c r="F2511" s="108" t="s">
        <v>136</v>
      </c>
      <c r="G2511" s="108"/>
      <c r="H2511" s="108">
        <v>1</v>
      </c>
    </row>
    <row r="2512" spans="1:8" ht="14">
      <c r="A2512" s="108">
        <v>2013</v>
      </c>
      <c r="B2512" s="108">
        <v>92</v>
      </c>
      <c r="C2512" s="108" t="s">
        <v>30</v>
      </c>
      <c r="D2512" s="108">
        <v>177.02550931351601</v>
      </c>
      <c r="E2512" s="108">
        <v>0</v>
      </c>
      <c r="F2512" s="108" t="s">
        <v>135</v>
      </c>
      <c r="G2512" s="108"/>
      <c r="H2512" s="108">
        <v>1</v>
      </c>
    </row>
    <row r="2513" spans="1:8" ht="14">
      <c r="A2513" s="108">
        <v>2013</v>
      </c>
      <c r="B2513" s="108">
        <v>92</v>
      </c>
      <c r="C2513" s="108" t="s">
        <v>30</v>
      </c>
      <c r="D2513" s="108">
        <v>8813.6424906864795</v>
      </c>
      <c r="E2513" s="108">
        <v>0</v>
      </c>
      <c r="F2513" s="108" t="s">
        <v>136</v>
      </c>
      <c r="G2513" s="108"/>
      <c r="H2513" s="108">
        <v>1</v>
      </c>
    </row>
    <row r="2514" spans="1:8" ht="14">
      <c r="A2514" s="108">
        <v>2013</v>
      </c>
      <c r="B2514" s="108">
        <v>92</v>
      </c>
      <c r="C2514" s="108" t="s">
        <v>138</v>
      </c>
      <c r="D2514" s="108">
        <v>99.653346132734796</v>
      </c>
      <c r="E2514" s="108">
        <v>0</v>
      </c>
      <c r="F2514" s="108" t="s">
        <v>135</v>
      </c>
      <c r="G2514" s="108"/>
      <c r="H2514" s="108">
        <v>1</v>
      </c>
    </row>
    <row r="2515" spans="1:8" ht="14">
      <c r="A2515" s="108">
        <v>2013</v>
      </c>
      <c r="B2515" s="108">
        <v>92</v>
      </c>
      <c r="C2515" s="108" t="s">
        <v>138</v>
      </c>
      <c r="D2515" s="108">
        <v>4327.3716538672597</v>
      </c>
      <c r="E2515" s="108">
        <v>0</v>
      </c>
      <c r="F2515" s="108" t="s">
        <v>136</v>
      </c>
      <c r="G2515" s="108"/>
      <c r="H2515" s="108">
        <v>1</v>
      </c>
    </row>
    <row r="2516" spans="1:8" ht="14">
      <c r="A2516" s="108">
        <v>2013</v>
      </c>
      <c r="B2516" s="108">
        <v>92</v>
      </c>
      <c r="C2516" s="108" t="s">
        <v>139</v>
      </c>
      <c r="D2516" s="108">
        <v>4486.2708368192098</v>
      </c>
      <c r="E2516" s="108">
        <v>0</v>
      </c>
      <c r="F2516" s="108" t="s">
        <v>136</v>
      </c>
      <c r="G2516" s="108"/>
      <c r="H2516" s="108">
        <v>1</v>
      </c>
    </row>
    <row r="2517" spans="1:8" ht="14">
      <c r="A2517" s="108">
        <v>2013</v>
      </c>
      <c r="B2517" s="108">
        <v>92</v>
      </c>
      <c r="C2517" s="108" t="s">
        <v>139</v>
      </c>
      <c r="D2517" s="108">
        <v>77.372163180781897</v>
      </c>
      <c r="E2517" s="108">
        <v>0</v>
      </c>
      <c r="F2517" s="108" t="s">
        <v>135</v>
      </c>
      <c r="G2517" s="108"/>
      <c r="H2517" s="108">
        <v>1</v>
      </c>
    </row>
    <row r="2518" spans="1:8" ht="14">
      <c r="A2518" s="108">
        <v>2013</v>
      </c>
      <c r="B2518" s="108">
        <v>99</v>
      </c>
      <c r="C2518" s="108" t="s">
        <v>30</v>
      </c>
      <c r="D2518" s="108">
        <v>0</v>
      </c>
      <c r="E2518" s="108">
        <v>0</v>
      </c>
      <c r="F2518" s="108" t="s">
        <v>137</v>
      </c>
      <c r="G2518" s="108"/>
      <c r="H2518" s="108">
        <v>1</v>
      </c>
    </row>
    <row r="2519" spans="1:8" ht="14">
      <c r="A2519" s="108">
        <v>2013</v>
      </c>
      <c r="B2519" s="108">
        <v>99</v>
      </c>
      <c r="C2519" s="108" t="s">
        <v>30</v>
      </c>
      <c r="D2519" s="108">
        <v>3127.7138747594299</v>
      </c>
      <c r="E2519" s="108">
        <v>0</v>
      </c>
      <c r="F2519" s="108" t="s">
        <v>136</v>
      </c>
      <c r="G2519" s="108"/>
      <c r="H2519" s="108">
        <v>1</v>
      </c>
    </row>
    <row r="2520" spans="1:8" ht="14">
      <c r="A2520" s="108">
        <v>2013</v>
      </c>
      <c r="B2520" s="108">
        <v>99</v>
      </c>
      <c r="C2520" s="108" t="s">
        <v>30</v>
      </c>
      <c r="D2520" s="108">
        <v>2259.7431252405599</v>
      </c>
      <c r="E2520" s="108">
        <v>0</v>
      </c>
      <c r="F2520" s="108" t="s">
        <v>135</v>
      </c>
      <c r="G2520" s="108"/>
      <c r="H2520" s="108">
        <v>1</v>
      </c>
    </row>
    <row r="2521" spans="1:8" ht="14">
      <c r="A2521" s="108">
        <v>2013</v>
      </c>
      <c r="B2521" s="108">
        <v>99</v>
      </c>
      <c r="C2521" s="108" t="s">
        <v>138</v>
      </c>
      <c r="D2521" s="108">
        <v>771.55903779487096</v>
      </c>
      <c r="E2521" s="108">
        <v>0</v>
      </c>
      <c r="F2521" s="108" t="s">
        <v>135</v>
      </c>
      <c r="G2521" s="108"/>
      <c r="H2521" s="108">
        <v>1</v>
      </c>
    </row>
    <row r="2522" spans="1:8" ht="14">
      <c r="A2522" s="108">
        <v>2013</v>
      </c>
      <c r="B2522" s="108">
        <v>99</v>
      </c>
      <c r="C2522" s="108" t="s">
        <v>138</v>
      </c>
      <c r="D2522" s="108">
        <v>0</v>
      </c>
      <c r="E2522" s="108">
        <v>0</v>
      </c>
      <c r="F2522" s="108" t="s">
        <v>137</v>
      </c>
      <c r="G2522" s="108"/>
      <c r="H2522" s="108">
        <v>1</v>
      </c>
    </row>
    <row r="2523" spans="1:8" ht="14">
      <c r="A2523" s="108">
        <v>2013</v>
      </c>
      <c r="B2523" s="108">
        <v>99</v>
      </c>
      <c r="C2523" s="108" t="s">
        <v>138</v>
      </c>
      <c r="D2523" s="108">
        <v>2216.54896220512</v>
      </c>
      <c r="E2523" s="108">
        <v>0</v>
      </c>
      <c r="F2523" s="108" t="s">
        <v>136</v>
      </c>
      <c r="G2523" s="108"/>
      <c r="H2523" s="108">
        <v>1</v>
      </c>
    </row>
    <row r="2524" spans="1:8" ht="14">
      <c r="A2524" s="108">
        <v>2013</v>
      </c>
      <c r="B2524" s="108">
        <v>99</v>
      </c>
      <c r="C2524" s="108" t="s">
        <v>139</v>
      </c>
      <c r="D2524" s="108">
        <v>911.16491255430606</v>
      </c>
      <c r="E2524" s="108">
        <v>0</v>
      </c>
      <c r="F2524" s="108" t="s">
        <v>136</v>
      </c>
      <c r="G2524" s="108"/>
      <c r="H2524" s="108">
        <v>1</v>
      </c>
    </row>
    <row r="2525" spans="1:8" ht="14">
      <c r="A2525" s="108">
        <v>2013</v>
      </c>
      <c r="B2525" s="108">
        <v>99</v>
      </c>
      <c r="C2525" s="108" t="s">
        <v>139</v>
      </c>
      <c r="D2525" s="108">
        <v>1488.18408744569</v>
      </c>
      <c r="E2525" s="108">
        <v>0</v>
      </c>
      <c r="F2525" s="108" t="s">
        <v>135</v>
      </c>
      <c r="G2525" s="108"/>
      <c r="H2525" s="108">
        <v>1</v>
      </c>
    </row>
    <row r="2526" spans="1:8" ht="14">
      <c r="A2526" s="108">
        <v>2014</v>
      </c>
      <c r="B2526" s="108">
        <v>11</v>
      </c>
      <c r="C2526" s="108" t="s">
        <v>30</v>
      </c>
      <c r="D2526" s="108">
        <v>821.66617415884002</v>
      </c>
      <c r="E2526" s="108">
        <v>0</v>
      </c>
      <c r="F2526" s="108" t="s">
        <v>135</v>
      </c>
      <c r="G2526" s="108"/>
      <c r="H2526" s="108">
        <v>1</v>
      </c>
    </row>
    <row r="2527" spans="1:8" ht="14">
      <c r="A2527" s="108">
        <v>2014</v>
      </c>
      <c r="B2527" s="108">
        <v>11</v>
      </c>
      <c r="C2527" s="108" t="s">
        <v>30</v>
      </c>
      <c r="D2527" s="108">
        <v>11973.3038258411</v>
      </c>
      <c r="E2527" s="108">
        <v>0</v>
      </c>
      <c r="F2527" s="108" t="s">
        <v>136</v>
      </c>
      <c r="G2527" s="108"/>
      <c r="H2527" s="108">
        <v>1</v>
      </c>
    </row>
    <row r="2528" spans="1:8" ht="14">
      <c r="A2528" s="108">
        <v>2014</v>
      </c>
      <c r="B2528" s="108">
        <v>11</v>
      </c>
      <c r="C2528" s="108" t="s">
        <v>138</v>
      </c>
      <c r="D2528" s="108">
        <v>9321.7235038384697</v>
      </c>
      <c r="E2528" s="108">
        <v>0</v>
      </c>
      <c r="F2528" s="108" t="s">
        <v>136</v>
      </c>
      <c r="G2528" s="108"/>
      <c r="H2528" s="108">
        <v>1</v>
      </c>
    </row>
    <row r="2529" spans="1:8" ht="14">
      <c r="A2529" s="108">
        <v>2014</v>
      </c>
      <c r="B2529" s="108">
        <v>11</v>
      </c>
      <c r="C2529" s="108" t="s">
        <v>138</v>
      </c>
      <c r="D2529" s="108">
        <v>416.51649616152798</v>
      </c>
      <c r="E2529" s="108">
        <v>0</v>
      </c>
      <c r="F2529" s="108" t="s">
        <v>135</v>
      </c>
      <c r="G2529" s="108"/>
      <c r="H2529" s="108">
        <v>1</v>
      </c>
    </row>
    <row r="2530" spans="1:8" ht="14">
      <c r="A2530" s="108">
        <v>2014</v>
      </c>
      <c r="B2530" s="108">
        <v>11</v>
      </c>
      <c r="C2530" s="108" t="s">
        <v>139</v>
      </c>
      <c r="D2530" s="108">
        <v>405.14967799731198</v>
      </c>
      <c r="E2530" s="108">
        <v>0</v>
      </c>
      <c r="F2530" s="108" t="s">
        <v>135</v>
      </c>
      <c r="G2530" s="108"/>
      <c r="H2530" s="108">
        <v>1</v>
      </c>
    </row>
    <row r="2531" spans="1:8" ht="14">
      <c r="A2531" s="108">
        <v>2014</v>
      </c>
      <c r="B2531" s="108">
        <v>11</v>
      </c>
      <c r="C2531" s="108" t="s">
        <v>139</v>
      </c>
      <c r="D2531" s="108">
        <v>2651.5803220026801</v>
      </c>
      <c r="E2531" s="108">
        <v>0</v>
      </c>
      <c r="F2531" s="108" t="s">
        <v>136</v>
      </c>
      <c r="G2531" s="108"/>
      <c r="H2531" s="108">
        <v>1</v>
      </c>
    </row>
    <row r="2532" spans="1:8" ht="14">
      <c r="A2532" s="108">
        <v>2014</v>
      </c>
      <c r="B2532" s="108">
        <v>12</v>
      </c>
      <c r="C2532" s="108" t="s">
        <v>30</v>
      </c>
      <c r="D2532" s="108">
        <v>67201.036188478</v>
      </c>
      <c r="E2532" s="108">
        <v>0</v>
      </c>
      <c r="F2532" s="108" t="s">
        <v>136</v>
      </c>
      <c r="G2532" s="108"/>
      <c r="H2532" s="108">
        <v>1</v>
      </c>
    </row>
    <row r="2533" spans="1:8" ht="14">
      <c r="A2533" s="108">
        <v>2014</v>
      </c>
      <c r="B2533" s="108">
        <v>12</v>
      </c>
      <c r="C2533" s="108" t="s">
        <v>30</v>
      </c>
      <c r="D2533" s="108">
        <v>22260.148811521802</v>
      </c>
      <c r="E2533" s="108">
        <v>0</v>
      </c>
      <c r="F2533" s="108" t="s">
        <v>135</v>
      </c>
      <c r="G2533" s="108"/>
      <c r="H2533" s="108">
        <v>1</v>
      </c>
    </row>
    <row r="2534" spans="1:8" ht="14">
      <c r="A2534" s="108">
        <v>2014</v>
      </c>
      <c r="B2534" s="108">
        <v>12</v>
      </c>
      <c r="C2534" s="108" t="s">
        <v>138</v>
      </c>
      <c r="D2534" s="108">
        <v>40312.562323679304</v>
      </c>
      <c r="E2534" s="108">
        <v>0</v>
      </c>
      <c r="F2534" s="108" t="s">
        <v>136</v>
      </c>
      <c r="G2534" s="108"/>
      <c r="H2534" s="108">
        <v>1</v>
      </c>
    </row>
    <row r="2535" spans="1:8" ht="14">
      <c r="A2535" s="108">
        <v>2014</v>
      </c>
      <c r="B2535" s="108">
        <v>12</v>
      </c>
      <c r="C2535" s="108" t="s">
        <v>138</v>
      </c>
      <c r="D2535" s="108">
        <v>12275.191676320601</v>
      </c>
      <c r="E2535" s="108">
        <v>0</v>
      </c>
      <c r="F2535" s="108" t="s">
        <v>135</v>
      </c>
      <c r="G2535" s="108"/>
      <c r="H2535" s="108">
        <v>1</v>
      </c>
    </row>
    <row r="2536" spans="1:8" ht="14">
      <c r="A2536" s="108">
        <v>2014</v>
      </c>
      <c r="B2536" s="108">
        <v>12</v>
      </c>
      <c r="C2536" s="108" t="s">
        <v>139</v>
      </c>
      <c r="D2536" s="108">
        <v>9984.9571352012699</v>
      </c>
      <c r="E2536" s="108">
        <v>0</v>
      </c>
      <c r="F2536" s="108" t="s">
        <v>135</v>
      </c>
      <c r="G2536" s="108"/>
      <c r="H2536" s="108">
        <v>1</v>
      </c>
    </row>
    <row r="2537" spans="1:8" ht="14">
      <c r="A2537" s="108">
        <v>2014</v>
      </c>
      <c r="B2537" s="108">
        <v>12</v>
      </c>
      <c r="C2537" s="108" t="s">
        <v>139</v>
      </c>
      <c r="D2537" s="108">
        <v>26888.4738647987</v>
      </c>
      <c r="E2537" s="108">
        <v>0</v>
      </c>
      <c r="F2537" s="108" t="s">
        <v>136</v>
      </c>
      <c r="G2537" s="108"/>
      <c r="H2537" s="108">
        <v>1</v>
      </c>
    </row>
    <row r="2538" spans="1:8" ht="14">
      <c r="A2538" s="108">
        <v>2014</v>
      </c>
      <c r="B2538" s="108">
        <v>13</v>
      </c>
      <c r="C2538" s="108" t="s">
        <v>30</v>
      </c>
      <c r="D2538" s="108">
        <v>58736.663061179599</v>
      </c>
      <c r="E2538" s="108">
        <v>0</v>
      </c>
      <c r="F2538" s="108" t="s">
        <v>136</v>
      </c>
      <c r="G2538" s="108"/>
      <c r="H2538" s="108">
        <v>1</v>
      </c>
    </row>
    <row r="2539" spans="1:8" ht="14">
      <c r="A2539" s="108">
        <v>2014</v>
      </c>
      <c r="B2539" s="108">
        <v>13</v>
      </c>
      <c r="C2539" s="108" t="s">
        <v>30</v>
      </c>
      <c r="D2539" s="108">
        <v>15718.0469388203</v>
      </c>
      <c r="E2539" s="108">
        <v>0</v>
      </c>
      <c r="F2539" s="108" t="s">
        <v>135</v>
      </c>
      <c r="G2539" s="108"/>
      <c r="H2539" s="108">
        <v>1</v>
      </c>
    </row>
    <row r="2540" spans="1:8" ht="14">
      <c r="A2540" s="108">
        <v>2014</v>
      </c>
      <c r="B2540" s="108">
        <v>13</v>
      </c>
      <c r="C2540" s="108" t="s">
        <v>138</v>
      </c>
      <c r="D2540" s="108">
        <v>34000.742696249901</v>
      </c>
      <c r="E2540" s="108">
        <v>0</v>
      </c>
      <c r="F2540" s="108" t="s">
        <v>136</v>
      </c>
      <c r="G2540" s="108"/>
      <c r="H2540" s="108">
        <v>1</v>
      </c>
    </row>
    <row r="2541" spans="1:8" ht="14">
      <c r="A2541" s="108">
        <v>2014</v>
      </c>
      <c r="B2541" s="108">
        <v>13</v>
      </c>
      <c r="C2541" s="108" t="s">
        <v>138</v>
      </c>
      <c r="D2541" s="108">
        <v>7672.2093037499899</v>
      </c>
      <c r="E2541" s="108">
        <v>0</v>
      </c>
      <c r="F2541" s="108" t="s">
        <v>135</v>
      </c>
      <c r="G2541" s="108"/>
      <c r="H2541" s="108">
        <v>1</v>
      </c>
    </row>
    <row r="2542" spans="1:8" ht="14">
      <c r="A2542" s="108">
        <v>2014</v>
      </c>
      <c r="B2542" s="108">
        <v>13</v>
      </c>
      <c r="C2542" s="108" t="s">
        <v>139</v>
      </c>
      <c r="D2542" s="108">
        <v>8045.8376350703902</v>
      </c>
      <c r="E2542" s="108">
        <v>0</v>
      </c>
      <c r="F2542" s="108" t="s">
        <v>135</v>
      </c>
      <c r="G2542" s="108"/>
      <c r="H2542" s="108">
        <v>1</v>
      </c>
    </row>
    <row r="2543" spans="1:8" ht="14">
      <c r="A2543" s="108">
        <v>2014</v>
      </c>
      <c r="B2543" s="108">
        <v>13</v>
      </c>
      <c r="C2543" s="108" t="s">
        <v>139</v>
      </c>
      <c r="D2543" s="108">
        <v>24735.9203649296</v>
      </c>
      <c r="E2543" s="108">
        <v>0</v>
      </c>
      <c r="F2543" s="108" t="s">
        <v>136</v>
      </c>
      <c r="G2543" s="108"/>
      <c r="H2543" s="108">
        <v>1</v>
      </c>
    </row>
    <row r="2544" spans="1:8" ht="14">
      <c r="A2544" s="108">
        <v>2014</v>
      </c>
      <c r="B2544" s="108">
        <v>19</v>
      </c>
      <c r="C2544" s="108" t="s">
        <v>30</v>
      </c>
      <c r="D2544" s="108">
        <v>8908.9101548454091</v>
      </c>
      <c r="E2544" s="108">
        <v>0</v>
      </c>
      <c r="F2544" s="108" t="s">
        <v>136</v>
      </c>
      <c r="G2544" s="108"/>
      <c r="H2544" s="108">
        <v>1</v>
      </c>
    </row>
    <row r="2545" spans="1:8" ht="14">
      <c r="A2545" s="108">
        <v>2014</v>
      </c>
      <c r="B2545" s="108">
        <v>19</v>
      </c>
      <c r="C2545" s="108" t="s">
        <v>30</v>
      </c>
      <c r="D2545" s="108">
        <v>2176.8208451545802</v>
      </c>
      <c r="E2545" s="108">
        <v>0</v>
      </c>
      <c r="F2545" s="108" t="s">
        <v>135</v>
      </c>
      <c r="G2545" s="108"/>
      <c r="H2545" s="108">
        <v>1</v>
      </c>
    </row>
    <row r="2546" spans="1:8" ht="14">
      <c r="A2546" s="108">
        <v>2014</v>
      </c>
      <c r="B2546" s="108">
        <v>19</v>
      </c>
      <c r="C2546" s="108" t="s">
        <v>138</v>
      </c>
      <c r="D2546" s="108">
        <v>5332.0660319612398</v>
      </c>
      <c r="E2546" s="108">
        <v>0</v>
      </c>
      <c r="F2546" s="108" t="s">
        <v>136</v>
      </c>
      <c r="G2546" s="108"/>
      <c r="H2546" s="108">
        <v>1</v>
      </c>
    </row>
    <row r="2547" spans="1:8" ht="14">
      <c r="A2547" s="108">
        <v>2014</v>
      </c>
      <c r="B2547" s="108">
        <v>19</v>
      </c>
      <c r="C2547" s="108" t="s">
        <v>138</v>
      </c>
      <c r="D2547" s="108">
        <v>810.85796803875201</v>
      </c>
      <c r="E2547" s="108">
        <v>0</v>
      </c>
      <c r="F2547" s="108" t="s">
        <v>135</v>
      </c>
      <c r="G2547" s="108"/>
      <c r="H2547" s="108">
        <v>1</v>
      </c>
    </row>
    <row r="2548" spans="1:8" ht="14">
      <c r="A2548" s="108">
        <v>2014</v>
      </c>
      <c r="B2548" s="108">
        <v>19</v>
      </c>
      <c r="C2548" s="108" t="s">
        <v>139</v>
      </c>
      <c r="D2548" s="108">
        <v>1365.96287711583</v>
      </c>
      <c r="E2548" s="108">
        <v>0</v>
      </c>
      <c r="F2548" s="108" t="s">
        <v>135</v>
      </c>
      <c r="G2548" s="108"/>
      <c r="H2548" s="108">
        <v>1</v>
      </c>
    </row>
    <row r="2549" spans="1:8" ht="14">
      <c r="A2549" s="108">
        <v>2014</v>
      </c>
      <c r="B2549" s="108">
        <v>19</v>
      </c>
      <c r="C2549" s="108" t="s">
        <v>139</v>
      </c>
      <c r="D2549" s="108">
        <v>3576.8441228841598</v>
      </c>
      <c r="E2549" s="108">
        <v>0</v>
      </c>
      <c r="F2549" s="108" t="s">
        <v>136</v>
      </c>
      <c r="G2549" s="108"/>
      <c r="H2549" s="108">
        <v>1</v>
      </c>
    </row>
    <row r="2550" spans="1:8" ht="14">
      <c r="A2550" s="108">
        <v>2014</v>
      </c>
      <c r="B2550" s="108">
        <v>21</v>
      </c>
      <c r="C2550" s="108" t="s">
        <v>30</v>
      </c>
      <c r="D2550" s="108">
        <v>19970.7924499482</v>
      </c>
      <c r="E2550" s="108">
        <v>0</v>
      </c>
      <c r="F2550" s="108" t="s">
        <v>136</v>
      </c>
      <c r="G2550" s="108"/>
      <c r="H2550" s="108">
        <v>1</v>
      </c>
    </row>
    <row r="2551" spans="1:8" ht="14">
      <c r="A2551" s="108">
        <v>2014</v>
      </c>
      <c r="B2551" s="108">
        <v>21</v>
      </c>
      <c r="C2551" s="108" t="s">
        <v>30</v>
      </c>
      <c r="D2551" s="108">
        <v>811.73355005172698</v>
      </c>
      <c r="E2551" s="108">
        <v>0</v>
      </c>
      <c r="F2551" s="108" t="s">
        <v>135</v>
      </c>
      <c r="G2551" s="108"/>
      <c r="H2551" s="108">
        <v>1</v>
      </c>
    </row>
    <row r="2552" spans="1:8" ht="14">
      <c r="A2552" s="108">
        <v>2014</v>
      </c>
      <c r="B2552" s="108">
        <v>21</v>
      </c>
      <c r="C2552" s="108" t="s">
        <v>138</v>
      </c>
      <c r="D2552" s="108">
        <v>469.64876889648798</v>
      </c>
      <c r="E2552" s="108">
        <v>0</v>
      </c>
      <c r="F2552" s="108" t="s">
        <v>135</v>
      </c>
      <c r="G2552" s="108"/>
      <c r="H2552" s="108">
        <v>1</v>
      </c>
    </row>
    <row r="2553" spans="1:8" ht="14">
      <c r="A2553" s="108">
        <v>2014</v>
      </c>
      <c r="B2553" s="108">
        <v>21</v>
      </c>
      <c r="C2553" s="108" t="s">
        <v>138</v>
      </c>
      <c r="D2553" s="108">
        <v>15401.887231103499</v>
      </c>
      <c r="E2553" s="108">
        <v>0</v>
      </c>
      <c r="F2553" s="108" t="s">
        <v>136</v>
      </c>
      <c r="G2553" s="108"/>
      <c r="H2553" s="108">
        <v>1</v>
      </c>
    </row>
    <row r="2554" spans="1:8" ht="14">
      <c r="A2554" s="108">
        <v>2014</v>
      </c>
      <c r="B2554" s="108">
        <v>21</v>
      </c>
      <c r="C2554" s="108" t="s">
        <v>139</v>
      </c>
      <c r="D2554" s="108">
        <v>342.08478115523798</v>
      </c>
      <c r="E2554" s="108">
        <v>0</v>
      </c>
      <c r="F2554" s="108" t="s">
        <v>135</v>
      </c>
      <c r="G2554" s="108"/>
      <c r="H2554" s="108">
        <v>1</v>
      </c>
    </row>
    <row r="2555" spans="1:8" ht="14">
      <c r="A2555" s="108">
        <v>2014</v>
      </c>
      <c r="B2555" s="108">
        <v>21</v>
      </c>
      <c r="C2555" s="108" t="s">
        <v>139</v>
      </c>
      <c r="D2555" s="108">
        <v>4568.9052188447604</v>
      </c>
      <c r="E2555" s="108">
        <v>0</v>
      </c>
      <c r="F2555" s="108" t="s">
        <v>136</v>
      </c>
      <c r="G2555" s="108"/>
      <c r="H2555" s="108">
        <v>1</v>
      </c>
    </row>
    <row r="2556" spans="1:8" ht="14">
      <c r="A2556" s="108">
        <v>2014</v>
      </c>
      <c r="B2556" s="108">
        <v>22</v>
      </c>
      <c r="C2556" s="108" t="s">
        <v>30</v>
      </c>
      <c r="D2556" s="108">
        <v>41201.5938684582</v>
      </c>
      <c r="E2556" s="108">
        <v>0</v>
      </c>
      <c r="F2556" s="108" t="s">
        <v>136</v>
      </c>
      <c r="G2556" s="108"/>
      <c r="H2556" s="108">
        <v>1</v>
      </c>
    </row>
    <row r="2557" spans="1:8" ht="14">
      <c r="A2557" s="108">
        <v>2014</v>
      </c>
      <c r="B2557" s="108">
        <v>22</v>
      </c>
      <c r="C2557" s="108" t="s">
        <v>30</v>
      </c>
      <c r="D2557" s="108">
        <v>3456.87813154175</v>
      </c>
      <c r="E2557" s="108">
        <v>0</v>
      </c>
      <c r="F2557" s="108" t="s">
        <v>135</v>
      </c>
      <c r="G2557" s="108"/>
      <c r="H2557" s="108">
        <v>1</v>
      </c>
    </row>
    <row r="2558" spans="1:8" ht="14">
      <c r="A2558" s="108">
        <v>2014</v>
      </c>
      <c r="B2558" s="108">
        <v>22</v>
      </c>
      <c r="C2558" s="108" t="s">
        <v>138</v>
      </c>
      <c r="D2558" s="108">
        <v>1693.2812988798401</v>
      </c>
      <c r="E2558" s="108">
        <v>0</v>
      </c>
      <c r="F2558" s="108" t="s">
        <v>135</v>
      </c>
      <c r="G2558" s="108"/>
      <c r="H2558" s="108">
        <v>1</v>
      </c>
    </row>
    <row r="2559" spans="1:8" ht="14">
      <c r="A2559" s="108">
        <v>2014</v>
      </c>
      <c r="B2559" s="108">
        <v>22</v>
      </c>
      <c r="C2559" s="108" t="s">
        <v>138</v>
      </c>
      <c r="D2559" s="108">
        <v>40271.8167011201</v>
      </c>
      <c r="E2559" s="108">
        <v>0</v>
      </c>
      <c r="F2559" s="108" t="s">
        <v>136</v>
      </c>
      <c r="G2559" s="108"/>
      <c r="H2559" s="108">
        <v>1</v>
      </c>
    </row>
    <row r="2560" spans="1:8" ht="14">
      <c r="A2560" s="108">
        <v>2014</v>
      </c>
      <c r="B2560" s="108">
        <v>22</v>
      </c>
      <c r="C2560" s="108" t="s">
        <v>139</v>
      </c>
      <c r="D2560" s="108">
        <v>929.777167338092</v>
      </c>
      <c r="E2560" s="108">
        <v>0</v>
      </c>
      <c r="F2560" s="108" t="s">
        <v>136</v>
      </c>
      <c r="G2560" s="108"/>
      <c r="H2560" s="108">
        <v>1</v>
      </c>
    </row>
    <row r="2561" spans="1:8" ht="14">
      <c r="A2561" s="108">
        <v>2014</v>
      </c>
      <c r="B2561" s="108">
        <v>22</v>
      </c>
      <c r="C2561" s="108" t="s">
        <v>139</v>
      </c>
      <c r="D2561" s="108">
        <v>1763.5968326619</v>
      </c>
      <c r="E2561" s="108">
        <v>0</v>
      </c>
      <c r="F2561" s="108" t="s">
        <v>135</v>
      </c>
      <c r="G2561" s="108"/>
      <c r="H2561" s="108">
        <v>1</v>
      </c>
    </row>
    <row r="2562" spans="1:8" ht="14">
      <c r="A2562" s="108">
        <v>2014</v>
      </c>
      <c r="B2562" s="108">
        <v>23</v>
      </c>
      <c r="C2562" s="108" t="s">
        <v>30</v>
      </c>
      <c r="D2562" s="108">
        <v>12802.8394505083</v>
      </c>
      <c r="E2562" s="108">
        <v>0</v>
      </c>
      <c r="F2562" s="108" t="s">
        <v>136</v>
      </c>
      <c r="G2562" s="108"/>
      <c r="H2562" s="108">
        <v>1</v>
      </c>
    </row>
    <row r="2563" spans="1:8" ht="14">
      <c r="A2563" s="108">
        <v>2014</v>
      </c>
      <c r="B2563" s="108">
        <v>23</v>
      </c>
      <c r="C2563" s="108" t="s">
        <v>30</v>
      </c>
      <c r="D2563" s="108">
        <v>1323.9185494916501</v>
      </c>
      <c r="E2563" s="108">
        <v>0</v>
      </c>
      <c r="F2563" s="108" t="s">
        <v>135</v>
      </c>
      <c r="G2563" s="108"/>
      <c r="H2563" s="108">
        <v>1</v>
      </c>
    </row>
    <row r="2564" spans="1:8" ht="14">
      <c r="A2564" s="108">
        <v>2014</v>
      </c>
      <c r="B2564" s="108">
        <v>23</v>
      </c>
      <c r="C2564" s="108" t="s">
        <v>138</v>
      </c>
      <c r="D2564" s="108">
        <v>10034.4499979498</v>
      </c>
      <c r="E2564" s="108">
        <v>0</v>
      </c>
      <c r="F2564" s="108" t="s">
        <v>136</v>
      </c>
      <c r="G2564" s="108"/>
      <c r="H2564" s="108">
        <v>1</v>
      </c>
    </row>
    <row r="2565" spans="1:8" ht="14">
      <c r="A2565" s="108">
        <v>2014</v>
      </c>
      <c r="B2565" s="108">
        <v>23</v>
      </c>
      <c r="C2565" s="108" t="s">
        <v>138</v>
      </c>
      <c r="D2565" s="108">
        <v>724.26900205016705</v>
      </c>
      <c r="E2565" s="108">
        <v>0</v>
      </c>
      <c r="F2565" s="108" t="s">
        <v>135</v>
      </c>
      <c r="G2565" s="108"/>
      <c r="H2565" s="108">
        <v>1</v>
      </c>
    </row>
    <row r="2566" spans="1:8" ht="14">
      <c r="A2566" s="108">
        <v>2014</v>
      </c>
      <c r="B2566" s="108">
        <v>23</v>
      </c>
      <c r="C2566" s="108" t="s">
        <v>139</v>
      </c>
      <c r="D2566" s="108">
        <v>2768.3894525585001</v>
      </c>
      <c r="E2566" s="108">
        <v>0</v>
      </c>
      <c r="F2566" s="108" t="s">
        <v>136</v>
      </c>
      <c r="G2566" s="108"/>
      <c r="H2566" s="108">
        <v>1</v>
      </c>
    </row>
    <row r="2567" spans="1:8" ht="14">
      <c r="A2567" s="108">
        <v>2014</v>
      </c>
      <c r="B2567" s="108">
        <v>23</v>
      </c>
      <c r="C2567" s="108" t="s">
        <v>139</v>
      </c>
      <c r="D2567" s="108">
        <v>599.64954744148997</v>
      </c>
      <c r="E2567" s="108">
        <v>0</v>
      </c>
      <c r="F2567" s="108" t="s">
        <v>135</v>
      </c>
      <c r="G2567" s="108"/>
      <c r="H2567" s="108">
        <v>1</v>
      </c>
    </row>
    <row r="2568" spans="1:8" ht="14">
      <c r="A2568" s="108">
        <v>2014</v>
      </c>
      <c r="B2568" s="108">
        <v>29</v>
      </c>
      <c r="C2568" s="108" t="s">
        <v>30</v>
      </c>
      <c r="D2568" s="108">
        <v>21665.4596963486</v>
      </c>
      <c r="E2568" s="108">
        <v>0</v>
      </c>
      <c r="F2568" s="108" t="s">
        <v>136</v>
      </c>
      <c r="G2568" s="108"/>
      <c r="H2568" s="108">
        <v>1</v>
      </c>
    </row>
    <row r="2569" spans="1:8" ht="14">
      <c r="A2569" s="108">
        <v>2014</v>
      </c>
      <c r="B2569" s="108">
        <v>29</v>
      </c>
      <c r="C2569" s="108" t="s">
        <v>30</v>
      </c>
      <c r="D2569" s="108">
        <v>20751.8353036513</v>
      </c>
      <c r="E2569" s="108">
        <v>0</v>
      </c>
      <c r="F2569" s="108" t="s">
        <v>135</v>
      </c>
      <c r="G2569" s="108"/>
      <c r="H2569" s="108">
        <v>1</v>
      </c>
    </row>
    <row r="2570" spans="1:8" ht="14">
      <c r="A2570" s="108">
        <v>2014</v>
      </c>
      <c r="B2570" s="108">
        <v>29</v>
      </c>
      <c r="C2570" s="108" t="s">
        <v>138</v>
      </c>
      <c r="D2570" s="108">
        <v>13636.223335123001</v>
      </c>
      <c r="E2570" s="108">
        <v>0</v>
      </c>
      <c r="F2570" s="108" t="s">
        <v>136</v>
      </c>
      <c r="G2570" s="108"/>
      <c r="H2570" s="108">
        <v>1</v>
      </c>
    </row>
    <row r="2571" spans="1:8" ht="14">
      <c r="A2571" s="108">
        <v>2014</v>
      </c>
      <c r="B2571" s="108">
        <v>29</v>
      </c>
      <c r="C2571" s="108" t="s">
        <v>138</v>
      </c>
      <c r="D2571" s="108">
        <v>16079.204664876899</v>
      </c>
      <c r="E2571" s="108">
        <v>0</v>
      </c>
      <c r="F2571" s="108" t="s">
        <v>135</v>
      </c>
      <c r="G2571" s="108"/>
      <c r="H2571" s="108">
        <v>1</v>
      </c>
    </row>
    <row r="2572" spans="1:8" ht="14">
      <c r="A2572" s="108">
        <v>2014</v>
      </c>
      <c r="B2572" s="108">
        <v>29</v>
      </c>
      <c r="C2572" s="108" t="s">
        <v>139</v>
      </c>
      <c r="D2572" s="108">
        <v>4672.6306387744298</v>
      </c>
      <c r="E2572" s="108">
        <v>0</v>
      </c>
      <c r="F2572" s="108" t="s">
        <v>135</v>
      </c>
      <c r="G2572" s="108"/>
      <c r="H2572" s="108">
        <v>1</v>
      </c>
    </row>
    <row r="2573" spans="1:8" ht="14">
      <c r="A2573" s="108">
        <v>2014</v>
      </c>
      <c r="B2573" s="108">
        <v>29</v>
      </c>
      <c r="C2573" s="108" t="s">
        <v>139</v>
      </c>
      <c r="D2573" s="108">
        <v>8029.2363612255604</v>
      </c>
      <c r="E2573" s="108">
        <v>0</v>
      </c>
      <c r="F2573" s="108" t="s">
        <v>136</v>
      </c>
      <c r="G2573" s="108"/>
      <c r="H2573" s="108">
        <v>1</v>
      </c>
    </row>
    <row r="2574" spans="1:8" ht="14">
      <c r="A2574" s="108">
        <v>2014</v>
      </c>
      <c r="B2574" s="108">
        <v>31</v>
      </c>
      <c r="C2574" s="108" t="s">
        <v>30</v>
      </c>
      <c r="D2574" s="108">
        <v>3.56158449434658</v>
      </c>
      <c r="E2574" s="108">
        <v>36.557734701085302</v>
      </c>
      <c r="F2574" s="108" t="s">
        <v>137</v>
      </c>
      <c r="G2574" s="108">
        <v>36.557732089999902</v>
      </c>
      <c r="H2574" s="108">
        <v>1</v>
      </c>
    </row>
    <row r="2575" spans="1:8" ht="14">
      <c r="A2575" s="108">
        <v>2014</v>
      </c>
      <c r="B2575" s="108">
        <v>31</v>
      </c>
      <c r="C2575" s="108" t="s">
        <v>30</v>
      </c>
      <c r="D2575" s="108">
        <v>18306.095614463498</v>
      </c>
      <c r="E2575" s="108">
        <v>1550.2870290353301</v>
      </c>
      <c r="F2575" s="108" t="s">
        <v>136</v>
      </c>
      <c r="G2575" s="108">
        <v>1550.2868933889999</v>
      </c>
      <c r="H2575" s="108">
        <v>1</v>
      </c>
    </row>
    <row r="2576" spans="1:8" ht="14">
      <c r="A2576" s="108">
        <v>2014</v>
      </c>
      <c r="B2576" s="108">
        <v>31</v>
      </c>
      <c r="C2576" s="108" t="s">
        <v>30</v>
      </c>
      <c r="D2576" s="108">
        <v>1050.8388010421399</v>
      </c>
      <c r="E2576" s="108">
        <v>151.868236263586</v>
      </c>
      <c r="F2576" s="108" t="s">
        <v>135</v>
      </c>
      <c r="G2576" s="108">
        <v>151.86822009299999</v>
      </c>
      <c r="H2576" s="108">
        <v>1</v>
      </c>
    </row>
    <row r="2577" spans="1:8" ht="14">
      <c r="A2577" s="108">
        <v>2014</v>
      </c>
      <c r="B2577" s="108">
        <v>31</v>
      </c>
      <c r="C2577" s="108" t="s">
        <v>138</v>
      </c>
      <c r="D2577" s="108">
        <v>438.53328549027998</v>
      </c>
      <c r="E2577" s="108">
        <v>74.463667426134506</v>
      </c>
      <c r="F2577" s="108" t="s">
        <v>135</v>
      </c>
      <c r="G2577" s="108">
        <v>74.463662774999904</v>
      </c>
      <c r="H2577" s="108">
        <v>1</v>
      </c>
    </row>
    <row r="2578" spans="1:8" ht="14">
      <c r="A2578" s="108">
        <v>2014</v>
      </c>
      <c r="B2578" s="108">
        <v>31</v>
      </c>
      <c r="C2578" s="108" t="s">
        <v>138</v>
      </c>
      <c r="D2578" s="108">
        <v>11667.0121300153</v>
      </c>
      <c r="E2578" s="108">
        <v>835.41918301574697</v>
      </c>
      <c r="F2578" s="108" t="s">
        <v>136</v>
      </c>
      <c r="G2578" s="108">
        <v>835.41912481699796</v>
      </c>
      <c r="H2578" s="108">
        <v>1</v>
      </c>
    </row>
    <row r="2579" spans="1:8" ht="14">
      <c r="A2579" s="108">
        <v>2014</v>
      </c>
      <c r="B2579" s="108">
        <v>31</v>
      </c>
      <c r="C2579" s="108" t="s">
        <v>138</v>
      </c>
      <c r="D2579" s="108">
        <v>3.56158449434658</v>
      </c>
      <c r="E2579" s="108">
        <v>0.83014955812108604</v>
      </c>
      <c r="F2579" s="108" t="s">
        <v>137</v>
      </c>
      <c r="G2579" s="108">
        <v>0.83014953700000005</v>
      </c>
      <c r="H2579" s="108">
        <v>1</v>
      </c>
    </row>
    <row r="2580" spans="1:8" ht="14">
      <c r="A2580" s="108">
        <v>2014</v>
      </c>
      <c r="B2580" s="108">
        <v>31</v>
      </c>
      <c r="C2580" s="108" t="s">
        <v>139</v>
      </c>
      <c r="D2580" s="108">
        <v>612.30551555186196</v>
      </c>
      <c r="E2580" s="108">
        <v>77.404568837452203</v>
      </c>
      <c r="F2580" s="108" t="s">
        <v>135</v>
      </c>
      <c r="G2580" s="108">
        <v>77.404557318000002</v>
      </c>
      <c r="H2580" s="108">
        <v>1</v>
      </c>
    </row>
    <row r="2581" spans="1:8" ht="14">
      <c r="A2581" s="108">
        <v>2014</v>
      </c>
      <c r="B2581" s="108">
        <v>31</v>
      </c>
      <c r="C2581" s="108" t="s">
        <v>139</v>
      </c>
      <c r="D2581" s="108">
        <v>0</v>
      </c>
      <c r="E2581" s="108">
        <v>35.727585142964202</v>
      </c>
      <c r="F2581" s="108" t="s">
        <v>137</v>
      </c>
      <c r="G2581" s="108">
        <v>35.727582552999898</v>
      </c>
      <c r="H2581" s="108">
        <v>1</v>
      </c>
    </row>
    <row r="2582" spans="1:8" ht="14">
      <c r="A2582" s="108">
        <v>2014</v>
      </c>
      <c r="B2582" s="108">
        <v>31</v>
      </c>
      <c r="C2582" s="108" t="s">
        <v>139</v>
      </c>
      <c r="D2582" s="108">
        <v>6639.0834844481296</v>
      </c>
      <c r="E2582" s="108">
        <v>714.86784601958402</v>
      </c>
      <c r="F2582" s="108" t="s">
        <v>136</v>
      </c>
      <c r="G2582" s="108">
        <v>714.86776857200005</v>
      </c>
      <c r="H2582" s="108">
        <v>1</v>
      </c>
    </row>
    <row r="2583" spans="1:8" ht="14">
      <c r="A2583" s="108">
        <v>2014</v>
      </c>
      <c r="B2583" s="108">
        <v>32</v>
      </c>
      <c r="C2583" s="108" t="s">
        <v>30</v>
      </c>
      <c r="D2583" s="108">
        <v>31370.9168034051</v>
      </c>
      <c r="E2583" s="108">
        <v>2843.84941934478</v>
      </c>
      <c r="F2583" s="108" t="s">
        <v>136</v>
      </c>
      <c r="G2583" s="108">
        <v>5687.6991785649798</v>
      </c>
      <c r="H2583" s="108">
        <v>1</v>
      </c>
    </row>
    <row r="2584" spans="1:8" ht="14">
      <c r="A2584" s="108">
        <v>2014</v>
      </c>
      <c r="B2584" s="108">
        <v>32</v>
      </c>
      <c r="C2584" s="108" t="s">
        <v>30</v>
      </c>
      <c r="D2584" s="108">
        <v>10.3810397580623</v>
      </c>
      <c r="E2584" s="108">
        <v>54.382470292845802</v>
      </c>
      <c r="F2584" s="108" t="s">
        <v>137</v>
      </c>
      <c r="G2584" s="108">
        <v>108.76490434999999</v>
      </c>
      <c r="H2584" s="108">
        <v>1</v>
      </c>
    </row>
    <row r="2585" spans="1:8" ht="14">
      <c r="A2585" s="108">
        <v>2014</v>
      </c>
      <c r="B2585" s="108">
        <v>32</v>
      </c>
      <c r="C2585" s="108" t="s">
        <v>30</v>
      </c>
      <c r="D2585" s="108">
        <v>2442.5441568367601</v>
      </c>
      <c r="E2585" s="108">
        <v>218.81811036236701</v>
      </c>
      <c r="F2585" s="108" t="s">
        <v>135</v>
      </c>
      <c r="G2585" s="108">
        <v>437.63618349000001</v>
      </c>
      <c r="H2585" s="108">
        <v>1</v>
      </c>
    </row>
    <row r="2586" spans="1:8" ht="14">
      <c r="A2586" s="108">
        <v>2014</v>
      </c>
      <c r="B2586" s="108">
        <v>32</v>
      </c>
      <c r="C2586" s="108" t="s">
        <v>138</v>
      </c>
      <c r="D2586" s="108">
        <v>1239.39127435513</v>
      </c>
      <c r="E2586" s="108">
        <v>106.935812277244</v>
      </c>
      <c r="F2586" s="108" t="s">
        <v>135</v>
      </c>
      <c r="G2586" s="108">
        <v>213.87158887999999</v>
      </c>
      <c r="H2586" s="108">
        <v>1</v>
      </c>
    </row>
    <row r="2587" spans="1:8" ht="14">
      <c r="A2587" s="108">
        <v>2014</v>
      </c>
      <c r="B2587" s="108">
        <v>32</v>
      </c>
      <c r="C2587" s="108" t="s">
        <v>138</v>
      </c>
      <c r="D2587" s="108">
        <v>18896.9800524397</v>
      </c>
      <c r="E2587" s="108">
        <v>1463.59561346486</v>
      </c>
      <c r="F2587" s="108" t="s">
        <v>136</v>
      </c>
      <c r="G2587" s="108">
        <v>2927.1914172499901</v>
      </c>
      <c r="H2587" s="108">
        <v>1</v>
      </c>
    </row>
    <row r="2588" spans="1:8" ht="14">
      <c r="A2588" s="108">
        <v>2014</v>
      </c>
      <c r="B2588" s="108">
        <v>32</v>
      </c>
      <c r="C2588" s="108" t="s">
        <v>138</v>
      </c>
      <c r="D2588" s="108">
        <v>10.363673205086201</v>
      </c>
      <c r="E2588" s="108">
        <v>1.4485742578904399</v>
      </c>
      <c r="F2588" s="108" t="s">
        <v>137</v>
      </c>
      <c r="G2588" s="108">
        <v>2.8971492300000001</v>
      </c>
      <c r="H2588" s="108">
        <v>1</v>
      </c>
    </row>
    <row r="2589" spans="1:8" ht="14">
      <c r="A2589" s="108">
        <v>2014</v>
      </c>
      <c r="B2589" s="108">
        <v>32</v>
      </c>
      <c r="C2589" s="108" t="s">
        <v>139</v>
      </c>
      <c r="D2589" s="108">
        <v>1.73665529760723E-2</v>
      </c>
      <c r="E2589" s="108">
        <v>52.933896034955403</v>
      </c>
      <c r="F2589" s="108" t="s">
        <v>137</v>
      </c>
      <c r="G2589" s="108">
        <v>105.86775512</v>
      </c>
      <c r="H2589" s="108">
        <v>1</v>
      </c>
    </row>
    <row r="2590" spans="1:8" ht="14">
      <c r="A2590" s="108">
        <v>2014</v>
      </c>
      <c r="B2590" s="108">
        <v>32</v>
      </c>
      <c r="C2590" s="108" t="s">
        <v>139</v>
      </c>
      <c r="D2590" s="108">
        <v>1203.1528824816301</v>
      </c>
      <c r="E2590" s="108">
        <v>111.882298085122</v>
      </c>
      <c r="F2590" s="108" t="s">
        <v>135</v>
      </c>
      <c r="G2590" s="108">
        <v>223.76459460999899</v>
      </c>
      <c r="H2590" s="108">
        <v>1</v>
      </c>
    </row>
    <row r="2591" spans="1:8" ht="14">
      <c r="A2591" s="108">
        <v>2014</v>
      </c>
      <c r="B2591" s="108">
        <v>32</v>
      </c>
      <c r="C2591" s="108" t="s">
        <v>139</v>
      </c>
      <c r="D2591" s="108">
        <v>12473.9367509653</v>
      </c>
      <c r="E2591" s="108">
        <v>1380.25380587992</v>
      </c>
      <c r="F2591" s="108" t="s">
        <v>136</v>
      </c>
      <c r="G2591" s="108">
        <v>2760.5077613149901</v>
      </c>
      <c r="H2591" s="108">
        <v>1</v>
      </c>
    </row>
    <row r="2592" spans="1:8" ht="14">
      <c r="A2592" s="108">
        <v>2014</v>
      </c>
      <c r="B2592" s="108">
        <v>33</v>
      </c>
      <c r="C2592" s="108" t="s">
        <v>30</v>
      </c>
      <c r="D2592" s="108">
        <v>8.0510086490920205</v>
      </c>
      <c r="E2592" s="108">
        <v>5.1523712700708098</v>
      </c>
      <c r="F2592" s="108" t="s">
        <v>135</v>
      </c>
      <c r="G2592" s="108">
        <v>7.7285582569999898</v>
      </c>
      <c r="H2592" s="108">
        <v>1</v>
      </c>
    </row>
    <row r="2593" spans="1:8" ht="14">
      <c r="A2593" s="108">
        <v>2014</v>
      </c>
      <c r="B2593" s="108">
        <v>33</v>
      </c>
      <c r="C2593" s="108" t="s">
        <v>30</v>
      </c>
      <c r="D2593" s="108">
        <v>839.85899135090801</v>
      </c>
      <c r="E2593" s="108">
        <v>57.668418453999202</v>
      </c>
      <c r="F2593" s="108" t="s">
        <v>136</v>
      </c>
      <c r="G2593" s="108">
        <v>86.502654202999906</v>
      </c>
      <c r="H2593" s="108">
        <v>1</v>
      </c>
    </row>
    <row r="2594" spans="1:8" ht="14">
      <c r="A2594" s="108">
        <v>2014</v>
      </c>
      <c r="B2594" s="108">
        <v>33</v>
      </c>
      <c r="C2594" s="108" t="s">
        <v>30</v>
      </c>
      <c r="D2594" s="108">
        <v>0</v>
      </c>
      <c r="E2594" s="108">
        <v>4.8210275929980097E-2</v>
      </c>
      <c r="F2594" s="108" t="s">
        <v>137</v>
      </c>
      <c r="G2594" s="108">
        <v>7.2315439999999995E-2</v>
      </c>
      <c r="H2594" s="108">
        <v>1</v>
      </c>
    </row>
    <row r="2595" spans="1:8" ht="14">
      <c r="A2595" s="108">
        <v>2014</v>
      </c>
      <c r="B2595" s="108">
        <v>33</v>
      </c>
      <c r="C2595" s="108" t="s">
        <v>138</v>
      </c>
      <c r="D2595" s="108">
        <v>586.16745326384603</v>
      </c>
      <c r="E2595" s="108">
        <v>28.822876494857301</v>
      </c>
      <c r="F2595" s="108" t="s">
        <v>136</v>
      </c>
      <c r="G2595" s="108">
        <v>43.234327301999997</v>
      </c>
      <c r="H2595" s="108">
        <v>1</v>
      </c>
    </row>
    <row r="2596" spans="1:8" ht="14">
      <c r="A2596" s="108">
        <v>2014</v>
      </c>
      <c r="B2596" s="108">
        <v>33</v>
      </c>
      <c r="C2596" s="108" t="s">
        <v>138</v>
      </c>
      <c r="D2596" s="108">
        <v>4.4985467361531102</v>
      </c>
      <c r="E2596" s="108">
        <v>2.1643543251030501</v>
      </c>
      <c r="F2596" s="108" t="s">
        <v>135</v>
      </c>
      <c r="G2596" s="108">
        <v>3.2465309289999902</v>
      </c>
      <c r="H2596" s="108">
        <v>1</v>
      </c>
    </row>
    <row r="2597" spans="1:8" ht="14">
      <c r="A2597" s="108">
        <v>2014</v>
      </c>
      <c r="B2597" s="108">
        <v>33</v>
      </c>
      <c r="C2597" s="108" t="s">
        <v>138</v>
      </c>
      <c r="D2597" s="108">
        <v>0</v>
      </c>
      <c r="E2597" s="108">
        <v>7.69180039569136E-4</v>
      </c>
      <c r="F2597" s="108" t="s">
        <v>137</v>
      </c>
      <c r="G2597" s="108">
        <v>1.1537699999999999E-3</v>
      </c>
      <c r="H2597" s="108">
        <v>1</v>
      </c>
    </row>
    <row r="2598" spans="1:8" ht="14">
      <c r="A2598" s="108">
        <v>2014</v>
      </c>
      <c r="B2598" s="108">
        <v>33</v>
      </c>
      <c r="C2598" s="108" t="s">
        <v>139</v>
      </c>
      <c r="D2598" s="108">
        <v>0</v>
      </c>
      <c r="E2598" s="108">
        <v>4.74410958904109E-2</v>
      </c>
      <c r="F2598" s="108" t="s">
        <v>137</v>
      </c>
      <c r="G2598" s="108">
        <v>7.1161669999999996E-2</v>
      </c>
      <c r="H2598" s="108">
        <v>1</v>
      </c>
    </row>
    <row r="2599" spans="1:8" ht="14">
      <c r="A2599" s="108">
        <v>2014</v>
      </c>
      <c r="B2599" s="108">
        <v>33</v>
      </c>
      <c r="C2599" s="108" t="s">
        <v>139</v>
      </c>
      <c r="D2599" s="108">
        <v>3.5524619129389099</v>
      </c>
      <c r="E2599" s="108">
        <v>2.98801694496776</v>
      </c>
      <c r="F2599" s="108" t="s">
        <v>135</v>
      </c>
      <c r="G2599" s="108">
        <v>4.4820273279999903</v>
      </c>
      <c r="H2599" s="108">
        <v>1</v>
      </c>
    </row>
    <row r="2600" spans="1:8" ht="14">
      <c r="A2600" s="108">
        <v>2014</v>
      </c>
      <c r="B2600" s="108">
        <v>33</v>
      </c>
      <c r="C2600" s="108" t="s">
        <v>139</v>
      </c>
      <c r="D2600" s="108">
        <v>253.69153808706099</v>
      </c>
      <c r="E2600" s="108">
        <v>28.845541959141801</v>
      </c>
      <c r="F2600" s="108" t="s">
        <v>136</v>
      </c>
      <c r="G2600" s="108">
        <v>43.268326900999902</v>
      </c>
      <c r="H2600" s="108">
        <v>1</v>
      </c>
    </row>
    <row r="2601" spans="1:8" ht="14">
      <c r="A2601" s="108">
        <v>2014</v>
      </c>
      <c r="B2601" s="108">
        <v>34</v>
      </c>
      <c r="C2601" s="108" t="s">
        <v>30</v>
      </c>
      <c r="D2601" s="108">
        <v>442.55871181371703</v>
      </c>
      <c r="E2601" s="108">
        <v>32.192433481985802</v>
      </c>
      <c r="F2601" s="108" t="s">
        <v>135</v>
      </c>
      <c r="G2601" s="108">
        <v>72.432977022000003</v>
      </c>
      <c r="H2601" s="108">
        <v>1</v>
      </c>
    </row>
    <row r="2602" spans="1:8" ht="14">
      <c r="A2602" s="108">
        <v>2014</v>
      </c>
      <c r="B2602" s="108">
        <v>34</v>
      </c>
      <c r="C2602" s="108" t="s">
        <v>30</v>
      </c>
      <c r="D2602" s="108">
        <v>0.36366648280481501</v>
      </c>
      <c r="E2602" s="108">
        <v>0.57624330873551699</v>
      </c>
      <c r="F2602" s="108" t="s">
        <v>137</v>
      </c>
      <c r="G2602" s="108">
        <v>1.2965477480000001</v>
      </c>
      <c r="H2602" s="108">
        <v>1</v>
      </c>
    </row>
    <row r="2603" spans="1:8" ht="14">
      <c r="A2603" s="108">
        <v>2014</v>
      </c>
      <c r="B2603" s="108">
        <v>34</v>
      </c>
      <c r="C2603" s="108" t="s">
        <v>30</v>
      </c>
      <c r="D2603" s="108">
        <v>6780.6146217034702</v>
      </c>
      <c r="E2603" s="108">
        <v>609.136323209279</v>
      </c>
      <c r="F2603" s="108" t="s">
        <v>136</v>
      </c>
      <c r="G2603" s="108">
        <v>1370.5566109230001</v>
      </c>
      <c r="H2603" s="108">
        <v>1</v>
      </c>
    </row>
    <row r="2604" spans="1:8" ht="14">
      <c r="A2604" s="108">
        <v>2014</v>
      </c>
      <c r="B2604" s="108">
        <v>34</v>
      </c>
      <c r="C2604" s="108" t="s">
        <v>138</v>
      </c>
      <c r="D2604" s="108">
        <v>228.371553295643</v>
      </c>
      <c r="E2604" s="108">
        <v>15.7263156108483</v>
      </c>
      <c r="F2604" s="108" t="s">
        <v>135</v>
      </c>
      <c r="G2604" s="108">
        <v>35.384202131999999</v>
      </c>
      <c r="H2604" s="108">
        <v>1</v>
      </c>
    </row>
    <row r="2605" spans="1:8" ht="14">
      <c r="A2605" s="108">
        <v>2014</v>
      </c>
      <c r="B2605" s="108">
        <v>34</v>
      </c>
      <c r="C2605" s="108" t="s">
        <v>138</v>
      </c>
      <c r="D2605" s="108">
        <v>0.35545611990033099</v>
      </c>
      <c r="E2605" s="108">
        <v>2.2918091416678599E-2</v>
      </c>
      <c r="F2605" s="108" t="s">
        <v>137</v>
      </c>
      <c r="G2605" s="108">
        <v>5.1565739999999999E-2</v>
      </c>
      <c r="H2605" s="108">
        <v>1</v>
      </c>
    </row>
    <row r="2606" spans="1:8" ht="14">
      <c r="A2606" s="108">
        <v>2014</v>
      </c>
      <c r="B2606" s="108">
        <v>34</v>
      </c>
      <c r="C2606" s="108" t="s">
        <v>138</v>
      </c>
      <c r="D2606" s="108">
        <v>4432.2899905844497</v>
      </c>
      <c r="E2606" s="108">
        <v>299.45676629773499</v>
      </c>
      <c r="F2606" s="108" t="s">
        <v>136</v>
      </c>
      <c r="G2606" s="108">
        <v>673.77761357299903</v>
      </c>
      <c r="H2606" s="108">
        <v>1</v>
      </c>
    </row>
    <row r="2607" spans="1:8" ht="14">
      <c r="A2607" s="108">
        <v>2014</v>
      </c>
      <c r="B2607" s="108">
        <v>34</v>
      </c>
      <c r="C2607" s="108" t="s">
        <v>139</v>
      </c>
      <c r="D2607" s="108">
        <v>214.18715851807301</v>
      </c>
      <c r="E2607" s="108">
        <v>16.466117871137399</v>
      </c>
      <c r="F2607" s="108" t="s">
        <v>135</v>
      </c>
      <c r="G2607" s="108">
        <v>37.048774889999898</v>
      </c>
      <c r="H2607" s="108">
        <v>1</v>
      </c>
    </row>
    <row r="2608" spans="1:8" ht="14">
      <c r="A2608" s="108">
        <v>2014</v>
      </c>
      <c r="B2608" s="108">
        <v>34</v>
      </c>
      <c r="C2608" s="108" t="s">
        <v>139</v>
      </c>
      <c r="D2608" s="108">
        <v>8.2103629044840403E-3</v>
      </c>
      <c r="E2608" s="108">
        <v>0.55332521731883899</v>
      </c>
      <c r="F2608" s="108" t="s">
        <v>137</v>
      </c>
      <c r="G2608" s="108">
        <v>1.24498200799999</v>
      </c>
      <c r="H2608" s="108">
        <v>1</v>
      </c>
    </row>
    <row r="2609" spans="1:8" ht="14">
      <c r="A2609" s="108">
        <v>2014</v>
      </c>
      <c r="B2609" s="108">
        <v>34</v>
      </c>
      <c r="C2609" s="108" t="s">
        <v>139</v>
      </c>
      <c r="D2609" s="108">
        <v>2348.3246311190201</v>
      </c>
      <c r="E2609" s="108">
        <v>309.67955691154299</v>
      </c>
      <c r="F2609" s="108" t="s">
        <v>136</v>
      </c>
      <c r="G2609" s="108">
        <v>696.77899734999903</v>
      </c>
      <c r="H2609" s="108">
        <v>1</v>
      </c>
    </row>
    <row r="2610" spans="1:8" ht="14">
      <c r="A2610" s="108">
        <v>2014</v>
      </c>
      <c r="B2610" s="108">
        <v>51</v>
      </c>
      <c r="C2610" s="108" t="s">
        <v>30</v>
      </c>
      <c r="D2610" s="108">
        <v>37463.683727763397</v>
      </c>
      <c r="E2610" s="108">
        <v>3315.8496989577102</v>
      </c>
      <c r="F2610" s="108" t="s">
        <v>136</v>
      </c>
      <c r="G2610" s="108"/>
      <c r="H2610" s="108">
        <v>1</v>
      </c>
    </row>
    <row r="2611" spans="1:8" ht="14">
      <c r="A2611" s="108">
        <v>2014</v>
      </c>
      <c r="B2611" s="108">
        <v>51</v>
      </c>
      <c r="C2611" s="108" t="s">
        <v>30</v>
      </c>
      <c r="D2611" s="108">
        <v>6735.9092722365904</v>
      </c>
      <c r="E2611" s="108">
        <v>589.80530104228399</v>
      </c>
      <c r="F2611" s="108" t="s">
        <v>135</v>
      </c>
      <c r="G2611" s="108"/>
      <c r="H2611" s="108">
        <v>1</v>
      </c>
    </row>
    <row r="2612" spans="1:8" ht="14">
      <c r="A2612" s="108">
        <v>2014</v>
      </c>
      <c r="B2612" s="108">
        <v>51</v>
      </c>
      <c r="C2612" s="108" t="s">
        <v>138</v>
      </c>
      <c r="D2612" s="108">
        <v>3362.2720794901802</v>
      </c>
      <c r="E2612" s="108">
        <v>293.83249831356397</v>
      </c>
      <c r="F2612" s="108" t="s">
        <v>135</v>
      </c>
      <c r="G2612" s="108"/>
      <c r="H2612" s="108">
        <v>1</v>
      </c>
    </row>
    <row r="2613" spans="1:8" ht="14">
      <c r="A2613" s="108">
        <v>2014</v>
      </c>
      <c r="B2613" s="108">
        <v>51</v>
      </c>
      <c r="C2613" s="108" t="s">
        <v>138</v>
      </c>
      <c r="D2613" s="108">
        <v>21767.703920509801</v>
      </c>
      <c r="E2613" s="108">
        <v>1622.92250168643</v>
      </c>
      <c r="F2613" s="108" t="s">
        <v>136</v>
      </c>
      <c r="G2613" s="108"/>
      <c r="H2613" s="108">
        <v>1</v>
      </c>
    </row>
    <row r="2614" spans="1:8" ht="14">
      <c r="A2614" s="108">
        <v>2014</v>
      </c>
      <c r="B2614" s="108">
        <v>51</v>
      </c>
      <c r="C2614" s="108" t="s">
        <v>139</v>
      </c>
      <c r="D2614" s="108">
        <v>15695.9798072535</v>
      </c>
      <c r="E2614" s="108">
        <v>1692.92719727128</v>
      </c>
      <c r="F2614" s="108" t="s">
        <v>136</v>
      </c>
      <c r="G2614" s="108"/>
      <c r="H2614" s="108">
        <v>1</v>
      </c>
    </row>
    <row r="2615" spans="1:8" ht="14">
      <c r="A2615" s="108">
        <v>2014</v>
      </c>
      <c r="B2615" s="108">
        <v>51</v>
      </c>
      <c r="C2615" s="108" t="s">
        <v>139</v>
      </c>
      <c r="D2615" s="108">
        <v>3373.6371927464102</v>
      </c>
      <c r="E2615" s="108">
        <v>295.97280272872001</v>
      </c>
      <c r="F2615" s="108" t="s">
        <v>135</v>
      </c>
      <c r="G2615" s="108"/>
      <c r="H2615" s="108">
        <v>1</v>
      </c>
    </row>
    <row r="2616" spans="1:8" ht="14">
      <c r="A2616" s="108">
        <v>2014</v>
      </c>
      <c r="B2616" s="108">
        <v>52</v>
      </c>
      <c r="C2616" s="108" t="s">
        <v>30</v>
      </c>
      <c r="D2616" s="108">
        <v>0</v>
      </c>
      <c r="E2616" s="108">
        <v>1187.2527140884799</v>
      </c>
      <c r="F2616" s="108" t="s">
        <v>135</v>
      </c>
      <c r="G2616" s="108"/>
      <c r="H2616" s="108">
        <v>1</v>
      </c>
    </row>
    <row r="2617" spans="1:8" ht="14">
      <c r="A2617" s="108">
        <v>2014</v>
      </c>
      <c r="B2617" s="108">
        <v>52</v>
      </c>
      <c r="C2617" s="108" t="s">
        <v>30</v>
      </c>
      <c r="D2617" s="108">
        <v>0</v>
      </c>
      <c r="E2617" s="108">
        <v>4384.4282859115101</v>
      </c>
      <c r="F2617" s="108" t="s">
        <v>136</v>
      </c>
      <c r="G2617" s="108"/>
      <c r="H2617" s="108">
        <v>1</v>
      </c>
    </row>
    <row r="2618" spans="1:8" ht="14">
      <c r="A2618" s="108">
        <v>2014</v>
      </c>
      <c r="B2618" s="108">
        <v>52</v>
      </c>
      <c r="C2618" s="108" t="s">
        <v>138</v>
      </c>
      <c r="D2618" s="108">
        <v>0</v>
      </c>
      <c r="E2618" s="108">
        <v>2166.4767262269802</v>
      </c>
      <c r="F2618" s="108" t="s">
        <v>136</v>
      </c>
      <c r="G2618" s="108"/>
      <c r="H2618" s="108">
        <v>1</v>
      </c>
    </row>
    <row r="2619" spans="1:8" ht="14">
      <c r="A2619" s="108">
        <v>2014</v>
      </c>
      <c r="B2619" s="108">
        <v>52</v>
      </c>
      <c r="C2619" s="108" t="s">
        <v>138</v>
      </c>
      <c r="D2619" s="108">
        <v>0</v>
      </c>
      <c r="E2619" s="108">
        <v>585.28427377301898</v>
      </c>
      <c r="F2619" s="108" t="s">
        <v>135</v>
      </c>
      <c r="G2619" s="108"/>
      <c r="H2619" s="108">
        <v>1</v>
      </c>
    </row>
    <row r="2620" spans="1:8" ht="14">
      <c r="A2620" s="108">
        <v>2014</v>
      </c>
      <c r="B2620" s="108">
        <v>52</v>
      </c>
      <c r="C2620" s="108" t="s">
        <v>139</v>
      </c>
      <c r="D2620" s="108">
        <v>0</v>
      </c>
      <c r="E2620" s="108">
        <v>601.96844031546698</v>
      </c>
      <c r="F2620" s="108" t="s">
        <v>135</v>
      </c>
      <c r="G2620" s="108"/>
      <c r="H2620" s="108">
        <v>1</v>
      </c>
    </row>
    <row r="2621" spans="1:8" ht="14">
      <c r="A2621" s="108">
        <v>2014</v>
      </c>
      <c r="B2621" s="108">
        <v>52</v>
      </c>
      <c r="C2621" s="108" t="s">
        <v>139</v>
      </c>
      <c r="D2621" s="108">
        <v>0</v>
      </c>
      <c r="E2621" s="108">
        <v>2217.9515596845299</v>
      </c>
      <c r="F2621" s="108" t="s">
        <v>136</v>
      </c>
      <c r="G2621" s="108"/>
      <c r="H2621" s="108">
        <v>1</v>
      </c>
    </row>
    <row r="2622" spans="1:8" ht="14">
      <c r="A2622" s="108">
        <v>2014</v>
      </c>
      <c r="B2622" s="108">
        <v>53</v>
      </c>
      <c r="C2622" s="108" t="s">
        <v>30</v>
      </c>
      <c r="D2622" s="108">
        <v>0</v>
      </c>
      <c r="E2622" s="108">
        <v>40.325000000000003</v>
      </c>
      <c r="F2622" s="108" t="s">
        <v>135</v>
      </c>
      <c r="G2622" s="108"/>
      <c r="H2622" s="108">
        <v>1</v>
      </c>
    </row>
    <row r="2623" spans="1:8" ht="14">
      <c r="A2623" s="108">
        <v>2014</v>
      </c>
      <c r="B2623" s="108">
        <v>53</v>
      </c>
      <c r="C2623" s="108" t="s">
        <v>30</v>
      </c>
      <c r="D2623" s="108">
        <v>0</v>
      </c>
      <c r="E2623" s="108">
        <v>124.46299999999999</v>
      </c>
      <c r="F2623" s="108" t="s">
        <v>136</v>
      </c>
      <c r="G2623" s="108"/>
      <c r="H2623" s="108">
        <v>1</v>
      </c>
    </row>
    <row r="2624" spans="1:8" ht="14">
      <c r="A2624" s="108">
        <v>2014</v>
      </c>
      <c r="B2624" s="108">
        <v>53</v>
      </c>
      <c r="C2624" s="108" t="s">
        <v>138</v>
      </c>
      <c r="D2624" s="108">
        <v>0</v>
      </c>
      <c r="E2624" s="108">
        <v>20.638000000000002</v>
      </c>
      <c r="F2624" s="108" t="s">
        <v>135</v>
      </c>
      <c r="G2624" s="108"/>
      <c r="H2624" s="108">
        <v>1</v>
      </c>
    </row>
    <row r="2625" spans="1:8" ht="14">
      <c r="A2625" s="108">
        <v>2014</v>
      </c>
      <c r="B2625" s="108">
        <v>53</v>
      </c>
      <c r="C2625" s="108" t="s">
        <v>138</v>
      </c>
      <c r="D2625" s="108">
        <v>0</v>
      </c>
      <c r="E2625" s="108">
        <v>62.988999999999997</v>
      </c>
      <c r="F2625" s="108" t="s">
        <v>136</v>
      </c>
      <c r="G2625" s="108"/>
      <c r="H2625" s="108">
        <v>1</v>
      </c>
    </row>
    <row r="2626" spans="1:8" ht="14">
      <c r="A2626" s="108">
        <v>2014</v>
      </c>
      <c r="B2626" s="108">
        <v>53</v>
      </c>
      <c r="C2626" s="108" t="s">
        <v>139</v>
      </c>
      <c r="D2626" s="108">
        <v>0</v>
      </c>
      <c r="E2626" s="108">
        <v>61.473999999999897</v>
      </c>
      <c r="F2626" s="108" t="s">
        <v>136</v>
      </c>
      <c r="G2626" s="108"/>
      <c r="H2626" s="108">
        <v>1</v>
      </c>
    </row>
    <row r="2627" spans="1:8" ht="14">
      <c r="A2627" s="108">
        <v>2014</v>
      </c>
      <c r="B2627" s="108">
        <v>53</v>
      </c>
      <c r="C2627" s="108" t="s">
        <v>139</v>
      </c>
      <c r="D2627" s="108">
        <v>0</v>
      </c>
      <c r="E2627" s="108">
        <v>19.687000000000001</v>
      </c>
      <c r="F2627" s="108" t="s">
        <v>135</v>
      </c>
      <c r="G2627" s="108"/>
      <c r="H2627" s="108">
        <v>1</v>
      </c>
    </row>
    <row r="2628" spans="1:8" ht="14">
      <c r="A2628" s="108">
        <v>2014</v>
      </c>
      <c r="B2628" s="108">
        <v>54</v>
      </c>
      <c r="C2628" s="108" t="s">
        <v>30</v>
      </c>
      <c r="D2628" s="108">
        <v>523.27505646357997</v>
      </c>
      <c r="E2628" s="108">
        <v>199.79694531105201</v>
      </c>
      <c r="F2628" s="108" t="s">
        <v>135</v>
      </c>
      <c r="G2628" s="108"/>
      <c r="H2628" s="108">
        <v>1</v>
      </c>
    </row>
    <row r="2629" spans="1:8" ht="14">
      <c r="A2629" s="108">
        <v>2014</v>
      </c>
      <c r="B2629" s="108">
        <v>54</v>
      </c>
      <c r="C2629" s="108" t="s">
        <v>30</v>
      </c>
      <c r="D2629" s="108">
        <v>6439.0669435364198</v>
      </c>
      <c r="E2629" s="108">
        <v>3946.5340546889402</v>
      </c>
      <c r="F2629" s="108" t="s">
        <v>136</v>
      </c>
      <c r="G2629" s="108"/>
      <c r="H2629" s="108">
        <v>1</v>
      </c>
    </row>
    <row r="2630" spans="1:8" ht="14">
      <c r="A2630" s="108">
        <v>2014</v>
      </c>
      <c r="B2630" s="108">
        <v>54</v>
      </c>
      <c r="C2630" s="108" t="s">
        <v>138</v>
      </c>
      <c r="D2630" s="108">
        <v>264.228218128994</v>
      </c>
      <c r="E2630" s="108">
        <v>101.25880935885</v>
      </c>
      <c r="F2630" s="108" t="s">
        <v>135</v>
      </c>
      <c r="G2630" s="108"/>
      <c r="H2630" s="108">
        <v>1</v>
      </c>
    </row>
    <row r="2631" spans="1:8" ht="14">
      <c r="A2631" s="108">
        <v>2014</v>
      </c>
      <c r="B2631" s="108">
        <v>54</v>
      </c>
      <c r="C2631" s="108" t="s">
        <v>138</v>
      </c>
      <c r="D2631" s="108">
        <v>3833.696781871</v>
      </c>
      <c r="E2631" s="108">
        <v>2566.0571906411501</v>
      </c>
      <c r="F2631" s="108" t="s">
        <v>136</v>
      </c>
      <c r="G2631" s="108"/>
      <c r="H2631" s="108">
        <v>1</v>
      </c>
    </row>
    <row r="2632" spans="1:8" ht="14">
      <c r="A2632" s="108">
        <v>2014</v>
      </c>
      <c r="B2632" s="108">
        <v>54</v>
      </c>
      <c r="C2632" s="108" t="s">
        <v>139</v>
      </c>
      <c r="D2632" s="108">
        <v>2605.3701616654098</v>
      </c>
      <c r="E2632" s="108">
        <v>1380.4768640477901</v>
      </c>
      <c r="F2632" s="108" t="s">
        <v>136</v>
      </c>
      <c r="G2632" s="108"/>
      <c r="H2632" s="108">
        <v>1</v>
      </c>
    </row>
    <row r="2633" spans="1:8" ht="14">
      <c r="A2633" s="108">
        <v>2014</v>
      </c>
      <c r="B2633" s="108">
        <v>54</v>
      </c>
      <c r="C2633" s="108" t="s">
        <v>139</v>
      </c>
      <c r="D2633" s="108">
        <v>259.046838334585</v>
      </c>
      <c r="E2633" s="108">
        <v>98.538135952202197</v>
      </c>
      <c r="F2633" s="108" t="s">
        <v>135</v>
      </c>
      <c r="G2633" s="108"/>
      <c r="H2633" s="108">
        <v>1</v>
      </c>
    </row>
    <row r="2634" spans="1:8" ht="14">
      <c r="A2634" s="108">
        <v>2014</v>
      </c>
      <c r="B2634" s="108">
        <v>59</v>
      </c>
      <c r="C2634" s="108" t="s">
        <v>30</v>
      </c>
      <c r="D2634" s="108">
        <v>0.182</v>
      </c>
      <c r="E2634" s="108">
        <v>1.0349999999999999</v>
      </c>
      <c r="F2634" s="108" t="s">
        <v>135</v>
      </c>
      <c r="G2634" s="108"/>
      <c r="H2634" s="108">
        <v>1</v>
      </c>
    </row>
    <row r="2635" spans="1:8" ht="14">
      <c r="A2635" s="108">
        <v>2014</v>
      </c>
      <c r="B2635" s="108">
        <v>59</v>
      </c>
      <c r="C2635" s="108" t="s">
        <v>30</v>
      </c>
      <c r="D2635" s="108">
        <v>1.44599999999999</v>
      </c>
      <c r="E2635" s="108">
        <v>0.47399999999999998</v>
      </c>
      <c r="F2635" s="108" t="s">
        <v>136</v>
      </c>
      <c r="G2635" s="108"/>
      <c r="H2635" s="108">
        <v>1</v>
      </c>
    </row>
    <row r="2636" spans="1:8" ht="14">
      <c r="A2636" s="108">
        <v>2014</v>
      </c>
      <c r="B2636" s="108">
        <v>59</v>
      </c>
      <c r="C2636" s="108" t="s">
        <v>138</v>
      </c>
      <c r="D2636" s="108">
        <v>6.7000000000000004E-2</v>
      </c>
      <c r="E2636" s="108">
        <v>0.20599999999999999</v>
      </c>
      <c r="F2636" s="108" t="s">
        <v>136</v>
      </c>
      <c r="G2636" s="108"/>
      <c r="H2636" s="108">
        <v>1</v>
      </c>
    </row>
    <row r="2637" spans="1:8" ht="14">
      <c r="A2637" s="108">
        <v>2014</v>
      </c>
      <c r="B2637" s="108">
        <v>59</v>
      </c>
      <c r="C2637" s="108" t="s">
        <v>138</v>
      </c>
      <c r="D2637" s="108">
        <v>9.0999999999999998E-2</v>
      </c>
      <c r="E2637" s="108">
        <v>0.46299999999999902</v>
      </c>
      <c r="F2637" s="108" t="s">
        <v>135</v>
      </c>
      <c r="G2637" s="108"/>
      <c r="H2637" s="108">
        <v>1</v>
      </c>
    </row>
    <row r="2638" spans="1:8" ht="14">
      <c r="A2638" s="108">
        <v>2014</v>
      </c>
      <c r="B2638" s="108">
        <v>59</v>
      </c>
      <c r="C2638" s="108" t="s">
        <v>139</v>
      </c>
      <c r="D2638" s="108">
        <v>9.0999999999999998E-2</v>
      </c>
      <c r="E2638" s="108">
        <v>0.57199999999999995</v>
      </c>
      <c r="F2638" s="108" t="s">
        <v>135</v>
      </c>
      <c r="G2638" s="108"/>
      <c r="H2638" s="108">
        <v>1</v>
      </c>
    </row>
    <row r="2639" spans="1:8" ht="14">
      <c r="A2639" s="108">
        <v>2014</v>
      </c>
      <c r="B2639" s="108">
        <v>59</v>
      </c>
      <c r="C2639" s="108" t="s">
        <v>139</v>
      </c>
      <c r="D2639" s="108">
        <v>1.379</v>
      </c>
      <c r="E2639" s="108">
        <v>0.26800000000000002</v>
      </c>
      <c r="F2639" s="108" t="s">
        <v>136</v>
      </c>
      <c r="G2639" s="108"/>
      <c r="H2639" s="108">
        <v>1</v>
      </c>
    </row>
    <row r="2640" spans="1:8" ht="14">
      <c r="A2640" s="108">
        <v>2014</v>
      </c>
      <c r="B2640" s="108">
        <v>61</v>
      </c>
      <c r="C2640" s="108" t="s">
        <v>30</v>
      </c>
      <c r="D2640" s="108">
        <v>25323.062705589298</v>
      </c>
      <c r="E2640" s="108">
        <v>1785.71153390672</v>
      </c>
      <c r="F2640" s="108" t="s">
        <v>136</v>
      </c>
      <c r="G2640" s="108"/>
      <c r="H2640" s="108">
        <v>1</v>
      </c>
    </row>
    <row r="2641" spans="1:8" ht="14">
      <c r="A2641" s="108">
        <v>2014</v>
      </c>
      <c r="B2641" s="108">
        <v>61</v>
      </c>
      <c r="C2641" s="108" t="s">
        <v>30</v>
      </c>
      <c r="D2641" s="108">
        <v>13270.6992944106</v>
      </c>
      <c r="E2641" s="108">
        <v>1003.13046609327</v>
      </c>
      <c r="F2641" s="108" t="s">
        <v>135</v>
      </c>
      <c r="G2641" s="108"/>
      <c r="H2641" s="108">
        <v>1</v>
      </c>
    </row>
    <row r="2642" spans="1:8" ht="14">
      <c r="A2642" s="108">
        <v>2014</v>
      </c>
      <c r="B2642" s="108">
        <v>61</v>
      </c>
      <c r="C2642" s="108" t="s">
        <v>138</v>
      </c>
      <c r="D2642" s="108">
        <v>6569.8236930760104</v>
      </c>
      <c r="E2642" s="108">
        <v>503.07450762202899</v>
      </c>
      <c r="F2642" s="108" t="s">
        <v>135</v>
      </c>
      <c r="G2642" s="108"/>
      <c r="H2642" s="108">
        <v>1</v>
      </c>
    </row>
    <row r="2643" spans="1:8" ht="14">
      <c r="A2643" s="108">
        <v>2014</v>
      </c>
      <c r="B2643" s="108">
        <v>61</v>
      </c>
      <c r="C2643" s="108" t="s">
        <v>138</v>
      </c>
      <c r="D2643" s="108">
        <v>15310.1303069239</v>
      </c>
      <c r="E2643" s="108">
        <v>905.89249237797003</v>
      </c>
      <c r="F2643" s="108" t="s">
        <v>136</v>
      </c>
      <c r="G2643" s="108"/>
      <c r="H2643" s="108">
        <v>1</v>
      </c>
    </row>
    <row r="2644" spans="1:8" ht="14">
      <c r="A2644" s="108">
        <v>2014</v>
      </c>
      <c r="B2644" s="108">
        <v>61</v>
      </c>
      <c r="C2644" s="108" t="s">
        <v>139</v>
      </c>
      <c r="D2644" s="108">
        <v>6700.8756013346801</v>
      </c>
      <c r="E2644" s="108">
        <v>500.05595847124698</v>
      </c>
      <c r="F2644" s="108" t="s">
        <v>135</v>
      </c>
      <c r="G2644" s="108"/>
      <c r="H2644" s="108">
        <v>1</v>
      </c>
    </row>
    <row r="2645" spans="1:8" ht="14">
      <c r="A2645" s="108">
        <v>2014</v>
      </c>
      <c r="B2645" s="108">
        <v>61</v>
      </c>
      <c r="C2645" s="108" t="s">
        <v>139</v>
      </c>
      <c r="D2645" s="108">
        <v>10012.9323986653</v>
      </c>
      <c r="E2645" s="108">
        <v>879.819041528752</v>
      </c>
      <c r="F2645" s="108" t="s">
        <v>136</v>
      </c>
      <c r="G2645" s="108"/>
      <c r="H2645" s="108">
        <v>1</v>
      </c>
    </row>
    <row r="2646" spans="1:8" ht="14">
      <c r="A2646" s="108">
        <v>2014</v>
      </c>
      <c r="B2646" s="108">
        <v>62</v>
      </c>
      <c r="C2646" s="108" t="s">
        <v>30</v>
      </c>
      <c r="D2646" s="108">
        <v>7.1623149454841197</v>
      </c>
      <c r="E2646" s="108">
        <v>5.6915189323050797</v>
      </c>
      <c r="F2646" s="108" t="s">
        <v>135</v>
      </c>
      <c r="G2646" s="108"/>
      <c r="H2646" s="108">
        <v>1</v>
      </c>
    </row>
    <row r="2647" spans="1:8" ht="14">
      <c r="A2647" s="108">
        <v>2014</v>
      </c>
      <c r="B2647" s="108">
        <v>62</v>
      </c>
      <c r="C2647" s="108" t="s">
        <v>30</v>
      </c>
      <c r="D2647" s="108">
        <v>231.05068505451499</v>
      </c>
      <c r="E2647" s="108">
        <v>34.473481067694898</v>
      </c>
      <c r="F2647" s="108" t="s">
        <v>136</v>
      </c>
      <c r="G2647" s="108"/>
      <c r="H2647" s="108">
        <v>1</v>
      </c>
    </row>
    <row r="2648" spans="1:8" ht="14">
      <c r="A2648" s="108">
        <v>2014</v>
      </c>
      <c r="B2648" s="108">
        <v>62</v>
      </c>
      <c r="C2648" s="108" t="s">
        <v>138</v>
      </c>
      <c r="D2648" s="108">
        <v>160.03064715286499</v>
      </c>
      <c r="E2648" s="108">
        <v>20.524840145763701</v>
      </c>
      <c r="F2648" s="108" t="s">
        <v>136</v>
      </c>
      <c r="G2648" s="108"/>
      <c r="H2648" s="108">
        <v>1</v>
      </c>
    </row>
    <row r="2649" spans="1:8" ht="14">
      <c r="A2649" s="108">
        <v>2014</v>
      </c>
      <c r="B2649" s="108">
        <v>62</v>
      </c>
      <c r="C2649" s="108" t="s">
        <v>138</v>
      </c>
      <c r="D2649" s="108">
        <v>3.4643528471348999</v>
      </c>
      <c r="E2649" s="108">
        <v>2.82015985423625</v>
      </c>
      <c r="F2649" s="108" t="s">
        <v>135</v>
      </c>
      <c r="G2649" s="108"/>
      <c r="H2649" s="108">
        <v>1</v>
      </c>
    </row>
    <row r="2650" spans="1:8" ht="14">
      <c r="A2650" s="108">
        <v>2014</v>
      </c>
      <c r="B2650" s="108">
        <v>62</v>
      </c>
      <c r="C2650" s="108" t="s">
        <v>139</v>
      </c>
      <c r="D2650" s="108">
        <v>71.020037901650696</v>
      </c>
      <c r="E2650" s="108">
        <v>13.9486409219311</v>
      </c>
      <c r="F2650" s="108" t="s">
        <v>136</v>
      </c>
      <c r="G2650" s="108"/>
      <c r="H2650" s="108">
        <v>1</v>
      </c>
    </row>
    <row r="2651" spans="1:8" ht="14">
      <c r="A2651" s="108">
        <v>2014</v>
      </c>
      <c r="B2651" s="108">
        <v>62</v>
      </c>
      <c r="C2651" s="108" t="s">
        <v>139</v>
      </c>
      <c r="D2651" s="108">
        <v>3.6979620983492199</v>
      </c>
      <c r="E2651" s="108">
        <v>2.8713590780688198</v>
      </c>
      <c r="F2651" s="108" t="s">
        <v>135</v>
      </c>
      <c r="G2651" s="108"/>
      <c r="H2651" s="108">
        <v>1</v>
      </c>
    </row>
    <row r="2652" spans="1:8" ht="14">
      <c r="A2652" s="108">
        <v>2014</v>
      </c>
      <c r="B2652" s="108">
        <v>63</v>
      </c>
      <c r="C2652" s="108" t="s">
        <v>30</v>
      </c>
      <c r="D2652" s="108">
        <v>25.919606088352399</v>
      </c>
      <c r="E2652" s="108">
        <v>5.7325788428070599</v>
      </c>
      <c r="F2652" s="108" t="s">
        <v>135</v>
      </c>
      <c r="G2652" s="108"/>
      <c r="H2652" s="108">
        <v>1</v>
      </c>
    </row>
    <row r="2653" spans="1:8" ht="14">
      <c r="A2653" s="108">
        <v>2014</v>
      </c>
      <c r="B2653" s="108">
        <v>63</v>
      </c>
      <c r="C2653" s="108" t="s">
        <v>30</v>
      </c>
      <c r="D2653" s="108">
        <v>9575.4423939116405</v>
      </c>
      <c r="E2653" s="108">
        <v>578.95442115719197</v>
      </c>
      <c r="F2653" s="108" t="s">
        <v>136</v>
      </c>
      <c r="G2653" s="108"/>
      <c r="H2653" s="108">
        <v>1</v>
      </c>
    </row>
    <row r="2654" spans="1:8" ht="14">
      <c r="A2654" s="108">
        <v>2014</v>
      </c>
      <c r="B2654" s="108">
        <v>63</v>
      </c>
      <c r="C2654" s="108" t="s">
        <v>138</v>
      </c>
      <c r="D2654" s="108">
        <v>14.287581294963999</v>
      </c>
      <c r="E2654" s="108">
        <v>2.5525633012820501</v>
      </c>
      <c r="F2654" s="108" t="s">
        <v>135</v>
      </c>
      <c r="G2654" s="108"/>
      <c r="H2654" s="108">
        <v>1</v>
      </c>
    </row>
    <row r="2655" spans="1:8" ht="14">
      <c r="A2655" s="108">
        <v>2014</v>
      </c>
      <c r="B2655" s="108">
        <v>63</v>
      </c>
      <c r="C2655" s="108" t="s">
        <v>138</v>
      </c>
      <c r="D2655" s="108">
        <v>7074.7444187050296</v>
      </c>
      <c r="E2655" s="108">
        <v>288.23843669871701</v>
      </c>
      <c r="F2655" s="108" t="s">
        <v>136</v>
      </c>
      <c r="G2655" s="108"/>
      <c r="H2655" s="108">
        <v>1</v>
      </c>
    </row>
    <row r="2656" spans="1:8" ht="14">
      <c r="A2656" s="108">
        <v>2014</v>
      </c>
      <c r="B2656" s="108">
        <v>63</v>
      </c>
      <c r="C2656" s="108" t="s">
        <v>139</v>
      </c>
      <c r="D2656" s="108">
        <v>11.6320247933884</v>
      </c>
      <c r="E2656" s="108">
        <v>3.1800155415250102</v>
      </c>
      <c r="F2656" s="108" t="s">
        <v>135</v>
      </c>
      <c r="G2656" s="108"/>
      <c r="H2656" s="108">
        <v>1</v>
      </c>
    </row>
    <row r="2657" spans="1:8" ht="14">
      <c r="A2657" s="108">
        <v>2014</v>
      </c>
      <c r="B2657" s="108">
        <v>63</v>
      </c>
      <c r="C2657" s="108" t="s">
        <v>139</v>
      </c>
      <c r="D2657" s="108">
        <v>2500.69797520661</v>
      </c>
      <c r="E2657" s="108">
        <v>290.715984458474</v>
      </c>
      <c r="F2657" s="108" t="s">
        <v>136</v>
      </c>
      <c r="G2657" s="108"/>
      <c r="H2657" s="108">
        <v>1</v>
      </c>
    </row>
    <row r="2658" spans="1:8" ht="14">
      <c r="A2658" s="108">
        <v>2014</v>
      </c>
      <c r="B2658" s="108">
        <v>69</v>
      </c>
      <c r="C2658" s="108" t="s">
        <v>30</v>
      </c>
      <c r="D2658" s="108">
        <v>17.024000000000001</v>
      </c>
      <c r="E2658" s="108">
        <v>0.90600000000000003</v>
      </c>
      <c r="F2658" s="108" t="s">
        <v>136</v>
      </c>
      <c r="G2658" s="108"/>
      <c r="H2658" s="108">
        <v>1</v>
      </c>
    </row>
    <row r="2659" spans="1:8" ht="14">
      <c r="A2659" s="108">
        <v>2014</v>
      </c>
      <c r="B2659" s="108">
        <v>69</v>
      </c>
      <c r="C2659" s="108" t="s">
        <v>138</v>
      </c>
      <c r="D2659" s="108">
        <v>4.04</v>
      </c>
      <c r="E2659" s="108">
        <v>0.371</v>
      </c>
      <c r="F2659" s="108" t="s">
        <v>136</v>
      </c>
      <c r="G2659" s="108"/>
      <c r="H2659" s="108">
        <v>1</v>
      </c>
    </row>
    <row r="2660" spans="1:8" ht="14">
      <c r="A2660" s="108">
        <v>2014</v>
      </c>
      <c r="B2660" s="108">
        <v>69</v>
      </c>
      <c r="C2660" s="108" t="s">
        <v>139</v>
      </c>
      <c r="D2660" s="108">
        <v>12.984</v>
      </c>
      <c r="E2660" s="108">
        <v>0.53500000000000003</v>
      </c>
      <c r="F2660" s="108" t="s">
        <v>136</v>
      </c>
      <c r="G2660" s="108"/>
      <c r="H2660" s="108">
        <v>1</v>
      </c>
    </row>
    <row r="2661" spans="1:8" ht="14">
      <c r="A2661" s="108">
        <v>2014</v>
      </c>
      <c r="B2661" s="108">
        <v>91</v>
      </c>
      <c r="C2661" s="108" t="s">
        <v>30</v>
      </c>
      <c r="D2661" s="108">
        <v>129.085619378319</v>
      </c>
      <c r="E2661" s="108">
        <v>0</v>
      </c>
      <c r="F2661" s="108" t="s">
        <v>135</v>
      </c>
      <c r="G2661" s="108"/>
      <c r="H2661" s="108">
        <v>1</v>
      </c>
    </row>
    <row r="2662" spans="1:8" ht="14">
      <c r="A2662" s="108">
        <v>2014</v>
      </c>
      <c r="B2662" s="108">
        <v>91</v>
      </c>
      <c r="C2662" s="108" t="s">
        <v>30</v>
      </c>
      <c r="D2662" s="108">
        <v>5574.9433806216803</v>
      </c>
      <c r="E2662" s="108">
        <v>0</v>
      </c>
      <c r="F2662" s="108" t="s">
        <v>136</v>
      </c>
      <c r="G2662" s="108"/>
      <c r="H2662" s="108">
        <v>1</v>
      </c>
    </row>
    <row r="2663" spans="1:8" ht="14">
      <c r="A2663" s="108">
        <v>2014</v>
      </c>
      <c r="B2663" s="108">
        <v>91</v>
      </c>
      <c r="C2663" s="108" t="s">
        <v>138</v>
      </c>
      <c r="D2663" s="108">
        <v>5461.6988031007504</v>
      </c>
      <c r="E2663" s="108">
        <v>0</v>
      </c>
      <c r="F2663" s="108" t="s">
        <v>136</v>
      </c>
      <c r="G2663" s="108"/>
      <c r="H2663" s="108">
        <v>1</v>
      </c>
    </row>
    <row r="2664" spans="1:8" ht="14">
      <c r="A2664" s="108">
        <v>2014</v>
      </c>
      <c r="B2664" s="108">
        <v>91</v>
      </c>
      <c r="C2664" s="108" t="s">
        <v>138</v>
      </c>
      <c r="D2664" s="108">
        <v>121.52619689924801</v>
      </c>
      <c r="E2664" s="108">
        <v>0</v>
      </c>
      <c r="F2664" s="108" t="s">
        <v>135</v>
      </c>
      <c r="G2664" s="108"/>
      <c r="H2664" s="108">
        <v>1</v>
      </c>
    </row>
    <row r="2665" spans="1:8" ht="14">
      <c r="A2665" s="108">
        <v>2014</v>
      </c>
      <c r="B2665" s="108">
        <v>91</v>
      </c>
      <c r="C2665" s="108" t="s">
        <v>139</v>
      </c>
      <c r="D2665" s="108">
        <v>113.244577520928</v>
      </c>
      <c r="E2665" s="108">
        <v>0</v>
      </c>
      <c r="F2665" s="108" t="s">
        <v>136</v>
      </c>
      <c r="G2665" s="108"/>
      <c r="H2665" s="108">
        <v>1</v>
      </c>
    </row>
    <row r="2666" spans="1:8" ht="14">
      <c r="A2666" s="108">
        <v>2014</v>
      </c>
      <c r="B2666" s="108">
        <v>91</v>
      </c>
      <c r="C2666" s="108" t="s">
        <v>139</v>
      </c>
      <c r="D2666" s="108">
        <v>7.5594224790715696</v>
      </c>
      <c r="E2666" s="108">
        <v>0</v>
      </c>
      <c r="F2666" s="108" t="s">
        <v>135</v>
      </c>
      <c r="G2666" s="108"/>
      <c r="H2666" s="108">
        <v>1</v>
      </c>
    </row>
    <row r="2667" spans="1:8" ht="14">
      <c r="A2667" s="108">
        <v>2014</v>
      </c>
      <c r="B2667" s="108">
        <v>92</v>
      </c>
      <c r="C2667" s="108" t="s">
        <v>30</v>
      </c>
      <c r="D2667" s="108">
        <v>9801.89352005621</v>
      </c>
      <c r="E2667" s="108">
        <v>0</v>
      </c>
      <c r="F2667" s="108" t="s">
        <v>136</v>
      </c>
      <c r="G2667" s="108"/>
      <c r="H2667" s="108">
        <v>1</v>
      </c>
    </row>
    <row r="2668" spans="1:8" ht="14">
      <c r="A2668" s="108">
        <v>2014</v>
      </c>
      <c r="B2668" s="108">
        <v>92</v>
      </c>
      <c r="C2668" s="108" t="s">
        <v>30</v>
      </c>
      <c r="D2668" s="108">
        <v>172.78847994378901</v>
      </c>
      <c r="E2668" s="108">
        <v>0</v>
      </c>
      <c r="F2668" s="108" t="s">
        <v>135</v>
      </c>
      <c r="G2668" s="108"/>
      <c r="H2668" s="108">
        <v>1</v>
      </c>
    </row>
    <row r="2669" spans="1:8" ht="14">
      <c r="A2669" s="108">
        <v>2014</v>
      </c>
      <c r="B2669" s="108">
        <v>92</v>
      </c>
      <c r="C2669" s="108" t="s">
        <v>138</v>
      </c>
      <c r="D2669" s="108">
        <v>5092.1117981973703</v>
      </c>
      <c r="E2669" s="108">
        <v>0</v>
      </c>
      <c r="F2669" s="108" t="s">
        <v>136</v>
      </c>
      <c r="G2669" s="108"/>
      <c r="H2669" s="108">
        <v>1</v>
      </c>
    </row>
    <row r="2670" spans="1:8" ht="14">
      <c r="A2670" s="108">
        <v>2014</v>
      </c>
      <c r="B2670" s="108">
        <v>92</v>
      </c>
      <c r="C2670" s="108" t="s">
        <v>138</v>
      </c>
      <c r="D2670" s="108">
        <v>108.490201802621</v>
      </c>
      <c r="E2670" s="108">
        <v>0</v>
      </c>
      <c r="F2670" s="108" t="s">
        <v>135</v>
      </c>
      <c r="G2670" s="108"/>
      <c r="H2670" s="108">
        <v>1</v>
      </c>
    </row>
    <row r="2671" spans="1:8" ht="14">
      <c r="A2671" s="108">
        <v>2014</v>
      </c>
      <c r="B2671" s="108">
        <v>92</v>
      </c>
      <c r="C2671" s="108" t="s">
        <v>139</v>
      </c>
      <c r="D2671" s="108">
        <v>4709.7817218588298</v>
      </c>
      <c r="E2671" s="108">
        <v>0</v>
      </c>
      <c r="F2671" s="108" t="s">
        <v>136</v>
      </c>
      <c r="G2671" s="108"/>
      <c r="H2671" s="108">
        <v>1</v>
      </c>
    </row>
    <row r="2672" spans="1:8" ht="14">
      <c r="A2672" s="108">
        <v>2014</v>
      </c>
      <c r="B2672" s="108">
        <v>92</v>
      </c>
      <c r="C2672" s="108" t="s">
        <v>139</v>
      </c>
      <c r="D2672" s="108">
        <v>64.298278141168097</v>
      </c>
      <c r="E2672" s="108">
        <v>0</v>
      </c>
      <c r="F2672" s="108" t="s">
        <v>135</v>
      </c>
      <c r="G2672" s="108"/>
      <c r="H2672" s="108">
        <v>1</v>
      </c>
    </row>
    <row r="2673" spans="1:8" ht="14">
      <c r="A2673" s="108">
        <v>2014</v>
      </c>
      <c r="B2673" s="108">
        <v>99</v>
      </c>
      <c r="C2673" s="108" t="s">
        <v>30</v>
      </c>
      <c r="D2673" s="108">
        <v>3320.7142657925101</v>
      </c>
      <c r="E2673" s="108">
        <v>0</v>
      </c>
      <c r="F2673" s="108" t="s">
        <v>136</v>
      </c>
      <c r="G2673" s="108"/>
      <c r="H2673" s="108">
        <v>1</v>
      </c>
    </row>
    <row r="2674" spans="1:8" ht="14">
      <c r="A2674" s="108">
        <v>2014</v>
      </c>
      <c r="B2674" s="108">
        <v>99</v>
      </c>
      <c r="C2674" s="108" t="s">
        <v>30</v>
      </c>
      <c r="D2674" s="108">
        <v>2205.0097342074801</v>
      </c>
      <c r="E2674" s="108">
        <v>0</v>
      </c>
      <c r="F2674" s="108" t="s">
        <v>135</v>
      </c>
      <c r="G2674" s="108"/>
      <c r="H2674" s="108">
        <v>1</v>
      </c>
    </row>
    <row r="2675" spans="1:8" ht="14">
      <c r="A2675" s="108">
        <v>2014</v>
      </c>
      <c r="B2675" s="108">
        <v>99</v>
      </c>
      <c r="C2675" s="108" t="s">
        <v>138</v>
      </c>
      <c r="D2675" s="108">
        <v>2165.3765413430101</v>
      </c>
      <c r="E2675" s="108">
        <v>0</v>
      </c>
      <c r="F2675" s="108" t="s">
        <v>136</v>
      </c>
      <c r="G2675" s="108"/>
      <c r="H2675" s="108">
        <v>1</v>
      </c>
    </row>
    <row r="2676" spans="1:8" ht="14">
      <c r="A2676" s="108">
        <v>2014</v>
      </c>
      <c r="B2676" s="108">
        <v>99</v>
      </c>
      <c r="C2676" s="108" t="s">
        <v>138</v>
      </c>
      <c r="D2676" s="108">
        <v>789.47545865698703</v>
      </c>
      <c r="E2676" s="108">
        <v>0</v>
      </c>
      <c r="F2676" s="108" t="s">
        <v>135</v>
      </c>
      <c r="G2676" s="108"/>
      <c r="H2676" s="108">
        <v>1</v>
      </c>
    </row>
    <row r="2677" spans="1:8" ht="14">
      <c r="A2677" s="108">
        <v>2014</v>
      </c>
      <c r="B2677" s="108">
        <v>99</v>
      </c>
      <c r="C2677" s="108" t="s">
        <v>139</v>
      </c>
      <c r="D2677" s="108">
        <v>1415.5342755504901</v>
      </c>
      <c r="E2677" s="108">
        <v>0</v>
      </c>
      <c r="F2677" s="108" t="s">
        <v>135</v>
      </c>
      <c r="G2677" s="108"/>
      <c r="H2677" s="108">
        <v>1</v>
      </c>
    </row>
    <row r="2678" spans="1:8" ht="14">
      <c r="A2678" s="108">
        <v>2014</v>
      </c>
      <c r="B2678" s="108">
        <v>99</v>
      </c>
      <c r="C2678" s="108" t="s">
        <v>139</v>
      </c>
      <c r="D2678" s="108">
        <v>1155.3377244495</v>
      </c>
      <c r="E2678" s="108">
        <v>0</v>
      </c>
      <c r="F2678" s="108" t="s">
        <v>136</v>
      </c>
      <c r="G2678" s="108"/>
      <c r="H2678" s="108">
        <v>1</v>
      </c>
    </row>
    <row r="2679" spans="1:8" ht="14">
      <c r="A2679" s="108">
        <v>2015</v>
      </c>
      <c r="B2679" s="108">
        <v>11</v>
      </c>
      <c r="C2679" s="108" t="s">
        <v>30</v>
      </c>
      <c r="D2679" s="108">
        <v>14194.5237780762</v>
      </c>
      <c r="E2679" s="108">
        <v>0</v>
      </c>
      <c r="F2679" s="108" t="s">
        <v>136</v>
      </c>
      <c r="G2679" s="108"/>
      <c r="H2679" s="108">
        <v>1</v>
      </c>
    </row>
    <row r="2680" spans="1:8" ht="14">
      <c r="A2680" s="108">
        <v>2015</v>
      </c>
      <c r="B2680" s="108">
        <v>11</v>
      </c>
      <c r="C2680" s="108" t="s">
        <v>30</v>
      </c>
      <c r="D2680" s="108">
        <v>1023.82922192378</v>
      </c>
      <c r="E2680" s="108">
        <v>0</v>
      </c>
      <c r="F2680" s="108" t="s">
        <v>135</v>
      </c>
      <c r="G2680" s="108"/>
      <c r="H2680" s="108">
        <v>1</v>
      </c>
    </row>
    <row r="2681" spans="1:8" ht="14">
      <c r="A2681" s="108">
        <v>2015</v>
      </c>
      <c r="B2681" s="108">
        <v>11</v>
      </c>
      <c r="C2681" s="108" t="s">
        <v>138</v>
      </c>
      <c r="D2681" s="108">
        <v>552.40499527613599</v>
      </c>
      <c r="E2681" s="108">
        <v>0</v>
      </c>
      <c r="F2681" s="108" t="s">
        <v>135</v>
      </c>
      <c r="G2681" s="108"/>
      <c r="H2681" s="108">
        <v>1</v>
      </c>
    </row>
    <row r="2682" spans="1:8" ht="14">
      <c r="A2682" s="108">
        <v>2015</v>
      </c>
      <c r="B2682" s="108">
        <v>11</v>
      </c>
      <c r="C2682" s="108" t="s">
        <v>138</v>
      </c>
      <c r="D2682" s="108">
        <v>11241.3460047238</v>
      </c>
      <c r="E2682" s="108">
        <v>0</v>
      </c>
      <c r="F2682" s="108" t="s">
        <v>136</v>
      </c>
      <c r="G2682" s="108"/>
      <c r="H2682" s="108">
        <v>1</v>
      </c>
    </row>
    <row r="2683" spans="1:8" ht="14">
      <c r="A2683" s="108">
        <v>2015</v>
      </c>
      <c r="B2683" s="108">
        <v>11</v>
      </c>
      <c r="C2683" s="108" t="s">
        <v>139</v>
      </c>
      <c r="D2683" s="108">
        <v>471.42422664765297</v>
      </c>
      <c r="E2683" s="108">
        <v>0</v>
      </c>
      <c r="F2683" s="108" t="s">
        <v>135</v>
      </c>
      <c r="G2683" s="108"/>
      <c r="H2683" s="108">
        <v>1</v>
      </c>
    </row>
    <row r="2684" spans="1:8" ht="14">
      <c r="A2684" s="108">
        <v>2015</v>
      </c>
      <c r="B2684" s="108">
        <v>11</v>
      </c>
      <c r="C2684" s="108" t="s">
        <v>139</v>
      </c>
      <c r="D2684" s="108">
        <v>2953.17777335234</v>
      </c>
      <c r="E2684" s="108">
        <v>0</v>
      </c>
      <c r="F2684" s="108" t="s">
        <v>136</v>
      </c>
      <c r="G2684" s="108"/>
      <c r="H2684" s="108">
        <v>1</v>
      </c>
    </row>
    <row r="2685" spans="1:8" ht="14">
      <c r="A2685" s="108">
        <v>2015</v>
      </c>
      <c r="B2685" s="108">
        <v>12</v>
      </c>
      <c r="C2685" s="108" t="s">
        <v>30</v>
      </c>
      <c r="D2685" s="108">
        <v>29182.409205950498</v>
      </c>
      <c r="E2685" s="108">
        <v>0</v>
      </c>
      <c r="F2685" s="108" t="s">
        <v>135</v>
      </c>
      <c r="G2685" s="108"/>
      <c r="H2685" s="108">
        <v>1</v>
      </c>
    </row>
    <row r="2686" spans="1:8" ht="14">
      <c r="A2686" s="108">
        <v>2015</v>
      </c>
      <c r="B2686" s="108">
        <v>12</v>
      </c>
      <c r="C2686" s="108" t="s">
        <v>30</v>
      </c>
      <c r="D2686" s="108">
        <v>61535.191794049497</v>
      </c>
      <c r="E2686" s="108">
        <v>0</v>
      </c>
      <c r="F2686" s="108" t="s">
        <v>136</v>
      </c>
      <c r="G2686" s="108"/>
      <c r="H2686" s="108">
        <v>1</v>
      </c>
    </row>
    <row r="2687" spans="1:8" ht="14">
      <c r="A2687" s="108">
        <v>2015</v>
      </c>
      <c r="B2687" s="108">
        <v>12</v>
      </c>
      <c r="C2687" s="108" t="s">
        <v>138</v>
      </c>
      <c r="D2687" s="108">
        <v>36620.811869756901</v>
      </c>
      <c r="E2687" s="108">
        <v>0</v>
      </c>
      <c r="F2687" s="108" t="s">
        <v>136</v>
      </c>
      <c r="G2687" s="108"/>
      <c r="H2687" s="108">
        <v>1</v>
      </c>
    </row>
    <row r="2688" spans="1:8" ht="14">
      <c r="A2688" s="108">
        <v>2015</v>
      </c>
      <c r="B2688" s="108">
        <v>12</v>
      </c>
      <c r="C2688" s="108" t="s">
        <v>138</v>
      </c>
      <c r="D2688" s="108">
        <v>14653.897130243</v>
      </c>
      <c r="E2688" s="108">
        <v>0</v>
      </c>
      <c r="F2688" s="108" t="s">
        <v>135</v>
      </c>
      <c r="G2688" s="108"/>
      <c r="H2688" s="108">
        <v>1</v>
      </c>
    </row>
    <row r="2689" spans="1:8" ht="14">
      <c r="A2689" s="108">
        <v>2015</v>
      </c>
      <c r="B2689" s="108">
        <v>12</v>
      </c>
      <c r="C2689" s="108" t="s">
        <v>139</v>
      </c>
      <c r="D2689" s="108">
        <v>24914.379924292502</v>
      </c>
      <c r="E2689" s="108">
        <v>0</v>
      </c>
      <c r="F2689" s="108" t="s">
        <v>136</v>
      </c>
      <c r="G2689" s="108"/>
      <c r="H2689" s="108">
        <v>1</v>
      </c>
    </row>
    <row r="2690" spans="1:8" ht="14">
      <c r="A2690" s="108">
        <v>2015</v>
      </c>
      <c r="B2690" s="108">
        <v>12</v>
      </c>
      <c r="C2690" s="108" t="s">
        <v>139</v>
      </c>
      <c r="D2690" s="108">
        <v>14528.5120757074</v>
      </c>
      <c r="E2690" s="108">
        <v>0</v>
      </c>
      <c r="F2690" s="108" t="s">
        <v>135</v>
      </c>
      <c r="G2690" s="108"/>
      <c r="H2690" s="108">
        <v>1</v>
      </c>
    </row>
    <row r="2691" spans="1:8" ht="14">
      <c r="A2691" s="108">
        <v>2015</v>
      </c>
      <c r="B2691" s="108">
        <v>13</v>
      </c>
      <c r="C2691" s="108" t="s">
        <v>30</v>
      </c>
      <c r="D2691" s="108">
        <v>61978.070783681702</v>
      </c>
      <c r="E2691" s="108">
        <v>0</v>
      </c>
      <c r="F2691" s="108" t="s">
        <v>136</v>
      </c>
      <c r="G2691" s="108"/>
      <c r="H2691" s="108">
        <v>1</v>
      </c>
    </row>
    <row r="2692" spans="1:8" ht="14">
      <c r="A2692" s="108">
        <v>2015</v>
      </c>
      <c r="B2692" s="108">
        <v>13</v>
      </c>
      <c r="C2692" s="108" t="s">
        <v>30</v>
      </c>
      <c r="D2692" s="108">
        <v>15975.2502163182</v>
      </c>
      <c r="E2692" s="108">
        <v>0</v>
      </c>
      <c r="F2692" s="108" t="s">
        <v>135</v>
      </c>
      <c r="G2692" s="108"/>
      <c r="H2692" s="108">
        <v>1</v>
      </c>
    </row>
    <row r="2693" spans="1:8" ht="14">
      <c r="A2693" s="108">
        <v>2015</v>
      </c>
      <c r="B2693" s="108">
        <v>13</v>
      </c>
      <c r="C2693" s="108" t="s">
        <v>138</v>
      </c>
      <c r="D2693" s="108">
        <v>7454.0957847154205</v>
      </c>
      <c r="E2693" s="108">
        <v>0</v>
      </c>
      <c r="F2693" s="108" t="s">
        <v>135</v>
      </c>
      <c r="G2693" s="108"/>
      <c r="H2693" s="108">
        <v>1</v>
      </c>
    </row>
    <row r="2694" spans="1:8" ht="14">
      <c r="A2694" s="108">
        <v>2015</v>
      </c>
      <c r="B2694" s="108">
        <v>13</v>
      </c>
      <c r="C2694" s="108" t="s">
        <v>138</v>
      </c>
      <c r="D2694" s="108">
        <v>35724.269215284497</v>
      </c>
      <c r="E2694" s="108">
        <v>0</v>
      </c>
      <c r="F2694" s="108" t="s">
        <v>136</v>
      </c>
      <c r="G2694" s="108"/>
      <c r="H2694" s="108">
        <v>1</v>
      </c>
    </row>
    <row r="2695" spans="1:8" ht="14">
      <c r="A2695" s="108">
        <v>2015</v>
      </c>
      <c r="B2695" s="108">
        <v>13</v>
      </c>
      <c r="C2695" s="108" t="s">
        <v>139</v>
      </c>
      <c r="D2695" s="108">
        <v>8521.1544316028503</v>
      </c>
      <c r="E2695" s="108">
        <v>0</v>
      </c>
      <c r="F2695" s="108" t="s">
        <v>135</v>
      </c>
      <c r="G2695" s="108"/>
      <c r="H2695" s="108">
        <v>1</v>
      </c>
    </row>
    <row r="2696" spans="1:8" ht="14">
      <c r="A2696" s="108">
        <v>2015</v>
      </c>
      <c r="B2696" s="108">
        <v>13</v>
      </c>
      <c r="C2696" s="108" t="s">
        <v>139</v>
      </c>
      <c r="D2696" s="108">
        <v>26253.801568397099</v>
      </c>
      <c r="E2696" s="108">
        <v>0</v>
      </c>
      <c r="F2696" s="108" t="s">
        <v>136</v>
      </c>
      <c r="G2696" s="108"/>
      <c r="H2696" s="108">
        <v>1</v>
      </c>
    </row>
    <row r="2697" spans="1:8" ht="14">
      <c r="A2697" s="108">
        <v>2015</v>
      </c>
      <c r="B2697" s="108">
        <v>19</v>
      </c>
      <c r="C2697" s="108" t="s">
        <v>30</v>
      </c>
      <c r="D2697" s="108">
        <v>1964.8260750290599</v>
      </c>
      <c r="E2697" s="108">
        <v>0</v>
      </c>
      <c r="F2697" s="108" t="s">
        <v>135</v>
      </c>
      <c r="G2697" s="108"/>
      <c r="H2697" s="108">
        <v>1</v>
      </c>
    </row>
    <row r="2698" spans="1:8" ht="14">
      <c r="A2698" s="108">
        <v>2015</v>
      </c>
      <c r="B2698" s="108">
        <v>19</v>
      </c>
      <c r="C2698" s="108" t="s">
        <v>30</v>
      </c>
      <c r="D2698" s="108">
        <v>8496.5729249709402</v>
      </c>
      <c r="E2698" s="108">
        <v>0</v>
      </c>
      <c r="F2698" s="108" t="s">
        <v>136</v>
      </c>
      <c r="G2698" s="108"/>
      <c r="H2698" s="108">
        <v>1</v>
      </c>
    </row>
    <row r="2699" spans="1:8" ht="14">
      <c r="A2699" s="108">
        <v>2015</v>
      </c>
      <c r="B2699" s="108">
        <v>19</v>
      </c>
      <c r="C2699" s="108" t="s">
        <v>138</v>
      </c>
      <c r="D2699" s="108">
        <v>5101.54461074952</v>
      </c>
      <c r="E2699" s="108">
        <v>0</v>
      </c>
      <c r="F2699" s="108" t="s">
        <v>136</v>
      </c>
      <c r="G2699" s="108"/>
      <c r="H2699" s="108">
        <v>1</v>
      </c>
    </row>
    <row r="2700" spans="1:8" ht="14">
      <c r="A2700" s="108">
        <v>2015</v>
      </c>
      <c r="B2700" s="108">
        <v>19</v>
      </c>
      <c r="C2700" s="108" t="s">
        <v>138</v>
      </c>
      <c r="D2700" s="108">
        <v>790.40138925047597</v>
      </c>
      <c r="E2700" s="108">
        <v>0</v>
      </c>
      <c r="F2700" s="108" t="s">
        <v>135</v>
      </c>
      <c r="G2700" s="108"/>
      <c r="H2700" s="108">
        <v>1</v>
      </c>
    </row>
    <row r="2701" spans="1:8" ht="14">
      <c r="A2701" s="108">
        <v>2015</v>
      </c>
      <c r="B2701" s="108">
        <v>19</v>
      </c>
      <c r="C2701" s="108" t="s">
        <v>139</v>
      </c>
      <c r="D2701" s="108">
        <v>3395.0283142214098</v>
      </c>
      <c r="E2701" s="108">
        <v>0</v>
      </c>
      <c r="F2701" s="108" t="s">
        <v>136</v>
      </c>
      <c r="G2701" s="108"/>
      <c r="H2701" s="108">
        <v>1</v>
      </c>
    </row>
    <row r="2702" spans="1:8" ht="14">
      <c r="A2702" s="108">
        <v>2015</v>
      </c>
      <c r="B2702" s="108">
        <v>19</v>
      </c>
      <c r="C2702" s="108" t="s">
        <v>139</v>
      </c>
      <c r="D2702" s="108">
        <v>1174.4246857785799</v>
      </c>
      <c r="E2702" s="108">
        <v>0</v>
      </c>
      <c r="F2702" s="108" t="s">
        <v>135</v>
      </c>
      <c r="G2702" s="108"/>
      <c r="H2702" s="108">
        <v>1</v>
      </c>
    </row>
    <row r="2703" spans="1:8" ht="14">
      <c r="A2703" s="108">
        <v>2015</v>
      </c>
      <c r="B2703" s="108">
        <v>21</v>
      </c>
      <c r="C2703" s="108" t="s">
        <v>30</v>
      </c>
      <c r="D2703" s="108">
        <v>17050.457056524599</v>
      </c>
      <c r="E2703" s="108">
        <v>0</v>
      </c>
      <c r="F2703" s="108" t="s">
        <v>136</v>
      </c>
      <c r="G2703" s="108"/>
      <c r="H2703" s="108">
        <v>1</v>
      </c>
    </row>
    <row r="2704" spans="1:8" ht="14">
      <c r="A2704" s="108">
        <v>2015</v>
      </c>
      <c r="B2704" s="108">
        <v>21</v>
      </c>
      <c r="C2704" s="108" t="s">
        <v>30</v>
      </c>
      <c r="D2704" s="108">
        <v>669.85094347531901</v>
      </c>
      <c r="E2704" s="108">
        <v>0</v>
      </c>
      <c r="F2704" s="108" t="s">
        <v>135</v>
      </c>
      <c r="G2704" s="108"/>
      <c r="H2704" s="108">
        <v>1</v>
      </c>
    </row>
    <row r="2705" spans="1:8" ht="14">
      <c r="A2705" s="108">
        <v>2015</v>
      </c>
      <c r="B2705" s="108">
        <v>21</v>
      </c>
      <c r="C2705" s="108" t="s">
        <v>138</v>
      </c>
      <c r="D2705" s="108">
        <v>12605.416353484899</v>
      </c>
      <c r="E2705" s="108">
        <v>0</v>
      </c>
      <c r="F2705" s="108" t="s">
        <v>136</v>
      </c>
      <c r="G2705" s="108"/>
      <c r="H2705" s="108">
        <v>1</v>
      </c>
    </row>
    <row r="2706" spans="1:8" ht="14">
      <c r="A2706" s="108">
        <v>2015</v>
      </c>
      <c r="B2706" s="108">
        <v>21</v>
      </c>
      <c r="C2706" s="108" t="s">
        <v>138</v>
      </c>
      <c r="D2706" s="108">
        <v>326.20264651508</v>
      </c>
      <c r="E2706" s="108">
        <v>0</v>
      </c>
      <c r="F2706" s="108" t="s">
        <v>135</v>
      </c>
      <c r="G2706" s="108"/>
      <c r="H2706" s="108">
        <v>1</v>
      </c>
    </row>
    <row r="2707" spans="1:8" ht="14">
      <c r="A2707" s="108">
        <v>2015</v>
      </c>
      <c r="B2707" s="108">
        <v>21</v>
      </c>
      <c r="C2707" s="108" t="s">
        <v>139</v>
      </c>
      <c r="D2707" s="108">
        <v>4445.04070303976</v>
      </c>
      <c r="E2707" s="108">
        <v>0</v>
      </c>
      <c r="F2707" s="108" t="s">
        <v>136</v>
      </c>
      <c r="G2707" s="108"/>
      <c r="H2707" s="108">
        <v>1</v>
      </c>
    </row>
    <row r="2708" spans="1:8" ht="14">
      <c r="A2708" s="108">
        <v>2015</v>
      </c>
      <c r="B2708" s="108">
        <v>21</v>
      </c>
      <c r="C2708" s="108" t="s">
        <v>139</v>
      </c>
      <c r="D2708" s="108">
        <v>343.64829696023799</v>
      </c>
      <c r="E2708" s="108">
        <v>0</v>
      </c>
      <c r="F2708" s="108" t="s">
        <v>135</v>
      </c>
      <c r="G2708" s="108"/>
      <c r="H2708" s="108">
        <v>1</v>
      </c>
    </row>
    <row r="2709" spans="1:8" ht="14">
      <c r="A2709" s="108">
        <v>2015</v>
      </c>
      <c r="B2709" s="108">
        <v>22</v>
      </c>
      <c r="C2709" s="108" t="s">
        <v>30</v>
      </c>
      <c r="D2709" s="108">
        <v>2235.0469276527501</v>
      </c>
      <c r="E2709" s="108">
        <v>0</v>
      </c>
      <c r="F2709" s="108" t="s">
        <v>135</v>
      </c>
      <c r="G2709" s="108"/>
      <c r="H2709" s="108">
        <v>1</v>
      </c>
    </row>
    <row r="2710" spans="1:8" ht="14">
      <c r="A2710" s="108">
        <v>2015</v>
      </c>
      <c r="B2710" s="108">
        <v>22</v>
      </c>
      <c r="C2710" s="108" t="s">
        <v>30</v>
      </c>
      <c r="D2710" s="108">
        <v>23106.5720723472</v>
      </c>
      <c r="E2710" s="108">
        <v>0</v>
      </c>
      <c r="F2710" s="108" t="s">
        <v>136</v>
      </c>
      <c r="G2710" s="108"/>
      <c r="H2710" s="108">
        <v>1</v>
      </c>
    </row>
    <row r="2711" spans="1:8" ht="14">
      <c r="A2711" s="108">
        <v>2015</v>
      </c>
      <c r="B2711" s="108">
        <v>22</v>
      </c>
      <c r="C2711" s="108" t="s">
        <v>138</v>
      </c>
      <c r="D2711" s="108">
        <v>22292.248253527399</v>
      </c>
      <c r="E2711" s="108">
        <v>0</v>
      </c>
      <c r="F2711" s="108" t="s">
        <v>136</v>
      </c>
      <c r="G2711" s="108"/>
      <c r="H2711" s="108">
        <v>1</v>
      </c>
    </row>
    <row r="2712" spans="1:8" ht="14">
      <c r="A2712" s="108">
        <v>2015</v>
      </c>
      <c r="B2712" s="108">
        <v>22</v>
      </c>
      <c r="C2712" s="108" t="s">
        <v>138</v>
      </c>
      <c r="D2712" s="108">
        <v>1118.4347464725799</v>
      </c>
      <c r="E2712" s="108">
        <v>0</v>
      </c>
      <c r="F2712" s="108" t="s">
        <v>135</v>
      </c>
      <c r="G2712" s="108"/>
      <c r="H2712" s="108">
        <v>1</v>
      </c>
    </row>
    <row r="2713" spans="1:8" ht="14">
      <c r="A2713" s="108">
        <v>2015</v>
      </c>
      <c r="B2713" s="108">
        <v>22</v>
      </c>
      <c r="C2713" s="108" t="s">
        <v>139</v>
      </c>
      <c r="D2713" s="108">
        <v>814.32381881982894</v>
      </c>
      <c r="E2713" s="108">
        <v>0</v>
      </c>
      <c r="F2713" s="108" t="s">
        <v>136</v>
      </c>
      <c r="G2713" s="108"/>
      <c r="H2713" s="108">
        <v>1</v>
      </c>
    </row>
    <row r="2714" spans="1:8" ht="14">
      <c r="A2714" s="108">
        <v>2015</v>
      </c>
      <c r="B2714" s="108">
        <v>22</v>
      </c>
      <c r="C2714" s="108" t="s">
        <v>139</v>
      </c>
      <c r="D2714" s="108">
        <v>1116.61218118017</v>
      </c>
      <c r="E2714" s="108">
        <v>0</v>
      </c>
      <c r="F2714" s="108" t="s">
        <v>135</v>
      </c>
      <c r="G2714" s="108"/>
      <c r="H2714" s="108">
        <v>1</v>
      </c>
    </row>
    <row r="2715" spans="1:8" ht="14">
      <c r="A2715" s="108">
        <v>2015</v>
      </c>
      <c r="B2715" s="108">
        <v>23</v>
      </c>
      <c r="C2715" s="108" t="s">
        <v>30</v>
      </c>
      <c r="D2715" s="108">
        <v>12058.0429218849</v>
      </c>
      <c r="E2715" s="108">
        <v>0</v>
      </c>
      <c r="F2715" s="108" t="s">
        <v>136</v>
      </c>
      <c r="G2715" s="108"/>
      <c r="H2715" s="108">
        <v>1</v>
      </c>
    </row>
    <row r="2716" spans="1:8" ht="14">
      <c r="A2716" s="108">
        <v>2015</v>
      </c>
      <c r="B2716" s="108">
        <v>23</v>
      </c>
      <c r="C2716" s="108" t="s">
        <v>30</v>
      </c>
      <c r="D2716" s="108">
        <v>1183.59407811504</v>
      </c>
      <c r="E2716" s="108">
        <v>0</v>
      </c>
      <c r="F2716" s="108" t="s">
        <v>135</v>
      </c>
      <c r="G2716" s="108"/>
      <c r="H2716" s="108">
        <v>1</v>
      </c>
    </row>
    <row r="2717" spans="1:8" ht="14">
      <c r="A2717" s="108">
        <v>2015</v>
      </c>
      <c r="B2717" s="108">
        <v>23</v>
      </c>
      <c r="C2717" s="108" t="s">
        <v>138</v>
      </c>
      <c r="D2717" s="108">
        <v>641.73202627838702</v>
      </c>
      <c r="E2717" s="108">
        <v>0</v>
      </c>
      <c r="F2717" s="108" t="s">
        <v>135</v>
      </c>
      <c r="G2717" s="108"/>
      <c r="H2717" s="108">
        <v>1</v>
      </c>
    </row>
    <row r="2718" spans="1:8" ht="14">
      <c r="A2718" s="108">
        <v>2015</v>
      </c>
      <c r="B2718" s="108">
        <v>23</v>
      </c>
      <c r="C2718" s="108" t="s">
        <v>138</v>
      </c>
      <c r="D2718" s="108">
        <v>8207.5009737216096</v>
      </c>
      <c r="E2718" s="108">
        <v>0</v>
      </c>
      <c r="F2718" s="108" t="s">
        <v>136</v>
      </c>
      <c r="G2718" s="108"/>
      <c r="H2718" s="108">
        <v>1</v>
      </c>
    </row>
    <row r="2719" spans="1:8" ht="14">
      <c r="A2719" s="108">
        <v>2015</v>
      </c>
      <c r="B2719" s="108">
        <v>23</v>
      </c>
      <c r="C2719" s="108" t="s">
        <v>139</v>
      </c>
      <c r="D2719" s="108">
        <v>541.86205183665504</v>
      </c>
      <c r="E2719" s="108">
        <v>0</v>
      </c>
      <c r="F2719" s="108" t="s">
        <v>135</v>
      </c>
      <c r="G2719" s="108"/>
      <c r="H2719" s="108">
        <v>1</v>
      </c>
    </row>
    <row r="2720" spans="1:8" ht="14">
      <c r="A2720" s="108">
        <v>2015</v>
      </c>
      <c r="B2720" s="108">
        <v>23</v>
      </c>
      <c r="C2720" s="108" t="s">
        <v>139</v>
      </c>
      <c r="D2720" s="108">
        <v>3850.5419481633398</v>
      </c>
      <c r="E2720" s="108">
        <v>0</v>
      </c>
      <c r="F2720" s="108" t="s">
        <v>136</v>
      </c>
      <c r="G2720" s="108"/>
      <c r="H2720" s="108">
        <v>1</v>
      </c>
    </row>
    <row r="2721" spans="1:8" ht="14">
      <c r="A2721" s="108">
        <v>2015</v>
      </c>
      <c r="B2721" s="108">
        <v>29</v>
      </c>
      <c r="C2721" s="108" t="s">
        <v>30</v>
      </c>
      <c r="D2721" s="108">
        <v>24193.009349219101</v>
      </c>
      <c r="E2721" s="108">
        <v>0</v>
      </c>
      <c r="F2721" s="108" t="s">
        <v>136</v>
      </c>
      <c r="G2721" s="108"/>
      <c r="H2721" s="108">
        <v>1</v>
      </c>
    </row>
    <row r="2722" spans="1:8" ht="14">
      <c r="A2722" s="108">
        <v>2015</v>
      </c>
      <c r="B2722" s="108">
        <v>29</v>
      </c>
      <c r="C2722" s="108" t="s">
        <v>30</v>
      </c>
      <c r="D2722" s="108">
        <v>23567.774650780801</v>
      </c>
      <c r="E2722" s="108">
        <v>0</v>
      </c>
      <c r="F2722" s="108" t="s">
        <v>135</v>
      </c>
      <c r="G2722" s="108"/>
      <c r="H2722" s="108">
        <v>1</v>
      </c>
    </row>
    <row r="2723" spans="1:8" ht="14">
      <c r="A2723" s="108">
        <v>2015</v>
      </c>
      <c r="B2723" s="108">
        <v>29</v>
      </c>
      <c r="C2723" s="108" t="s">
        <v>138</v>
      </c>
      <c r="D2723" s="108">
        <v>17134.442099254102</v>
      </c>
      <c r="E2723" s="108">
        <v>0</v>
      </c>
      <c r="F2723" s="108" t="s">
        <v>136</v>
      </c>
      <c r="G2723" s="108"/>
      <c r="H2723" s="108">
        <v>1</v>
      </c>
    </row>
    <row r="2724" spans="1:8" ht="14">
      <c r="A2724" s="108">
        <v>2015</v>
      </c>
      <c r="B2724" s="108">
        <v>29</v>
      </c>
      <c r="C2724" s="108" t="s">
        <v>138</v>
      </c>
      <c r="D2724" s="108">
        <v>18473.527900745801</v>
      </c>
      <c r="E2724" s="108">
        <v>0</v>
      </c>
      <c r="F2724" s="108" t="s">
        <v>135</v>
      </c>
      <c r="G2724" s="108"/>
      <c r="H2724" s="108">
        <v>1</v>
      </c>
    </row>
    <row r="2725" spans="1:8" ht="14">
      <c r="A2725" s="108">
        <v>2015</v>
      </c>
      <c r="B2725" s="108">
        <v>29</v>
      </c>
      <c r="C2725" s="108" t="s">
        <v>139</v>
      </c>
      <c r="D2725" s="108">
        <v>5094.2467500349303</v>
      </c>
      <c r="E2725" s="108">
        <v>0</v>
      </c>
      <c r="F2725" s="108" t="s">
        <v>135</v>
      </c>
      <c r="G2725" s="108"/>
      <c r="H2725" s="108">
        <v>1</v>
      </c>
    </row>
    <row r="2726" spans="1:8" ht="14">
      <c r="A2726" s="108">
        <v>2015</v>
      </c>
      <c r="B2726" s="108">
        <v>29</v>
      </c>
      <c r="C2726" s="108" t="s">
        <v>139</v>
      </c>
      <c r="D2726" s="108">
        <v>7058.56724996506</v>
      </c>
      <c r="E2726" s="108">
        <v>0</v>
      </c>
      <c r="F2726" s="108" t="s">
        <v>136</v>
      </c>
      <c r="G2726" s="108"/>
      <c r="H2726" s="108">
        <v>1</v>
      </c>
    </row>
    <row r="2727" spans="1:8" ht="14">
      <c r="A2727" s="108">
        <v>2015</v>
      </c>
      <c r="B2727" s="108">
        <v>31</v>
      </c>
      <c r="C2727" s="108" t="s">
        <v>30</v>
      </c>
      <c r="D2727" s="108">
        <v>0.739848948826205</v>
      </c>
      <c r="E2727" s="108">
        <v>19.1530249899529</v>
      </c>
      <c r="F2727" s="108" t="s">
        <v>137</v>
      </c>
      <c r="G2727" s="108">
        <v>19.153027091999999</v>
      </c>
      <c r="H2727" s="108">
        <v>1</v>
      </c>
    </row>
    <row r="2728" spans="1:8" ht="14">
      <c r="A2728" s="108">
        <v>2015</v>
      </c>
      <c r="B2728" s="108">
        <v>31</v>
      </c>
      <c r="C2728" s="108" t="s">
        <v>30</v>
      </c>
      <c r="D2728" s="108">
        <v>18740.7043204851</v>
      </c>
      <c r="E2728" s="108">
        <v>1574.10917649865</v>
      </c>
      <c r="F2728" s="108" t="s">
        <v>136</v>
      </c>
      <c r="G2728" s="108">
        <v>1574.1092070339901</v>
      </c>
      <c r="H2728" s="108">
        <v>1</v>
      </c>
    </row>
    <row r="2729" spans="1:8" ht="14">
      <c r="A2729" s="108">
        <v>2015</v>
      </c>
      <c r="B2729" s="108">
        <v>31</v>
      </c>
      <c r="C2729" s="108" t="s">
        <v>30</v>
      </c>
      <c r="D2729" s="108">
        <v>1060.6428305660399</v>
      </c>
      <c r="E2729" s="108">
        <v>154.122798511387</v>
      </c>
      <c r="F2729" s="108" t="s">
        <v>135</v>
      </c>
      <c r="G2729" s="108">
        <v>154.12280157999999</v>
      </c>
      <c r="H2729" s="108">
        <v>1</v>
      </c>
    </row>
    <row r="2730" spans="1:8" ht="14">
      <c r="A2730" s="108">
        <v>2015</v>
      </c>
      <c r="B2730" s="108">
        <v>31</v>
      </c>
      <c r="C2730" s="108" t="s">
        <v>138</v>
      </c>
      <c r="D2730" s="108">
        <v>6.3909040556846E-2</v>
      </c>
      <c r="E2730" s="108">
        <v>1.06224859534591</v>
      </c>
      <c r="F2730" s="108" t="s">
        <v>137</v>
      </c>
      <c r="G2730" s="108">
        <v>1.06224852999999</v>
      </c>
      <c r="H2730" s="108">
        <v>1</v>
      </c>
    </row>
    <row r="2731" spans="1:8" ht="14">
      <c r="A2731" s="108">
        <v>2015</v>
      </c>
      <c r="B2731" s="108">
        <v>31</v>
      </c>
      <c r="C2731" s="108" t="s">
        <v>138</v>
      </c>
      <c r="D2731" s="108">
        <v>471.48792933398198</v>
      </c>
      <c r="E2731" s="108">
        <v>75.770643142557404</v>
      </c>
      <c r="F2731" s="108" t="s">
        <v>135</v>
      </c>
      <c r="G2731" s="108">
        <v>75.770651770000001</v>
      </c>
      <c r="H2731" s="108">
        <v>1</v>
      </c>
    </row>
    <row r="2732" spans="1:8" ht="14">
      <c r="A2732" s="108">
        <v>2015</v>
      </c>
      <c r="B2732" s="108">
        <v>31</v>
      </c>
      <c r="C2732" s="108" t="s">
        <v>138</v>
      </c>
      <c r="D2732" s="108">
        <v>11857.848161625399</v>
      </c>
      <c r="E2732" s="108">
        <v>843.24010826209496</v>
      </c>
      <c r="F2732" s="108" t="s">
        <v>136</v>
      </c>
      <c r="G2732" s="108">
        <v>843.24012585600099</v>
      </c>
      <c r="H2732" s="108">
        <v>1</v>
      </c>
    </row>
    <row r="2733" spans="1:8" ht="14">
      <c r="A2733" s="108">
        <v>2015</v>
      </c>
      <c r="B2733" s="108">
        <v>31</v>
      </c>
      <c r="C2733" s="108" t="s">
        <v>139</v>
      </c>
      <c r="D2733" s="108">
        <v>0.67593990826935901</v>
      </c>
      <c r="E2733" s="108">
        <v>18.090776394607001</v>
      </c>
      <c r="F2733" s="108" t="s">
        <v>137</v>
      </c>
      <c r="G2733" s="108">
        <v>18.090778562000001</v>
      </c>
      <c r="H2733" s="108">
        <v>1</v>
      </c>
    </row>
    <row r="2734" spans="1:8" ht="14">
      <c r="A2734" s="108">
        <v>2015</v>
      </c>
      <c r="B2734" s="108">
        <v>31</v>
      </c>
      <c r="C2734" s="108" t="s">
        <v>139</v>
      </c>
      <c r="D2734" s="108">
        <v>6882.8561588596704</v>
      </c>
      <c r="E2734" s="108">
        <v>730.86906823656102</v>
      </c>
      <c r="F2734" s="108" t="s">
        <v>136</v>
      </c>
      <c r="G2734" s="108">
        <v>730.86908117799999</v>
      </c>
      <c r="H2734" s="108">
        <v>1</v>
      </c>
    </row>
    <row r="2735" spans="1:8" ht="14">
      <c r="A2735" s="108">
        <v>2015</v>
      </c>
      <c r="B2735" s="108">
        <v>31</v>
      </c>
      <c r="C2735" s="108" t="s">
        <v>139</v>
      </c>
      <c r="D2735" s="108">
        <v>589.15490123205996</v>
      </c>
      <c r="E2735" s="108">
        <v>78.352155368830097</v>
      </c>
      <c r="F2735" s="108" t="s">
        <v>135</v>
      </c>
      <c r="G2735" s="108">
        <v>78.352149809999901</v>
      </c>
      <c r="H2735" s="108">
        <v>1</v>
      </c>
    </row>
    <row r="2736" spans="1:8" ht="14">
      <c r="A2736" s="108">
        <v>2015</v>
      </c>
      <c r="B2736" s="108">
        <v>32</v>
      </c>
      <c r="C2736" s="108" t="s">
        <v>30</v>
      </c>
      <c r="D2736" s="108">
        <v>34133.586749751201</v>
      </c>
      <c r="E2736" s="108">
        <v>3172.3885253891799</v>
      </c>
      <c r="F2736" s="108" t="s">
        <v>136</v>
      </c>
      <c r="G2736" s="108">
        <v>6344.7771588299902</v>
      </c>
      <c r="H2736" s="108">
        <v>1</v>
      </c>
    </row>
    <row r="2737" spans="1:8" ht="14">
      <c r="A2737" s="108">
        <v>2015</v>
      </c>
      <c r="B2737" s="108">
        <v>32</v>
      </c>
      <c r="C2737" s="108" t="s">
        <v>30</v>
      </c>
      <c r="D2737" s="108">
        <v>2.3780404373142598</v>
      </c>
      <c r="E2737" s="108">
        <v>33.873072786958801</v>
      </c>
      <c r="F2737" s="108" t="s">
        <v>137</v>
      </c>
      <c r="G2737" s="108">
        <v>67.746153890000002</v>
      </c>
      <c r="H2737" s="108">
        <v>1</v>
      </c>
    </row>
    <row r="2738" spans="1:8" ht="14">
      <c r="A2738" s="108">
        <v>2015</v>
      </c>
      <c r="B2738" s="108">
        <v>32</v>
      </c>
      <c r="C2738" s="108" t="s">
        <v>30</v>
      </c>
      <c r="D2738" s="108">
        <v>2678.60720981142</v>
      </c>
      <c r="E2738" s="108">
        <v>240.80840182384799</v>
      </c>
      <c r="F2738" s="108" t="s">
        <v>135</v>
      </c>
      <c r="G2738" s="108">
        <v>481.61671199</v>
      </c>
      <c r="H2738" s="108">
        <v>1</v>
      </c>
    </row>
    <row r="2739" spans="1:8" ht="14">
      <c r="A2739" s="108">
        <v>2015</v>
      </c>
      <c r="B2739" s="108">
        <v>32</v>
      </c>
      <c r="C2739" s="108" t="s">
        <v>138</v>
      </c>
      <c r="D2739" s="108">
        <v>0.94383510622163902</v>
      </c>
      <c r="E2739" s="108">
        <v>0.83527878771053998</v>
      </c>
      <c r="F2739" s="108" t="s">
        <v>137</v>
      </c>
      <c r="G2739" s="108">
        <v>1.6705587199999901</v>
      </c>
      <c r="H2739" s="108">
        <v>1</v>
      </c>
    </row>
    <row r="2740" spans="1:8" ht="14">
      <c r="A2740" s="108">
        <v>2015</v>
      </c>
      <c r="B2740" s="108">
        <v>32</v>
      </c>
      <c r="C2740" s="108" t="s">
        <v>138</v>
      </c>
      <c r="D2740" s="108">
        <v>1289.53209856442</v>
      </c>
      <c r="E2740" s="108">
        <v>122.91646421986999</v>
      </c>
      <c r="F2740" s="108" t="s">
        <v>135</v>
      </c>
      <c r="G2740" s="108">
        <v>245.83288213</v>
      </c>
      <c r="H2740" s="108">
        <v>1</v>
      </c>
    </row>
    <row r="2741" spans="1:8" ht="14">
      <c r="A2741" s="108">
        <v>2015</v>
      </c>
      <c r="B2741" s="108">
        <v>32</v>
      </c>
      <c r="C2741" s="108" t="s">
        <v>138</v>
      </c>
      <c r="D2741" s="108">
        <v>20144.1260663293</v>
      </c>
      <c r="E2741" s="108">
        <v>1607.8312569924101</v>
      </c>
      <c r="F2741" s="108" t="s">
        <v>136</v>
      </c>
      <c r="G2741" s="108">
        <v>3215.66255141999</v>
      </c>
      <c r="H2741" s="108">
        <v>1</v>
      </c>
    </row>
    <row r="2742" spans="1:8" ht="14">
      <c r="A2742" s="108">
        <v>2015</v>
      </c>
      <c r="B2742" s="108">
        <v>32</v>
      </c>
      <c r="C2742" s="108" t="s">
        <v>139</v>
      </c>
      <c r="D2742" s="108">
        <v>1.4342053310926199</v>
      </c>
      <c r="E2742" s="108">
        <v>33.037793999248301</v>
      </c>
      <c r="F2742" s="108" t="s">
        <v>137</v>
      </c>
      <c r="G2742" s="108">
        <v>66.07559517</v>
      </c>
      <c r="H2742" s="108">
        <v>1</v>
      </c>
    </row>
    <row r="2743" spans="1:8" ht="14">
      <c r="A2743" s="108">
        <v>2015</v>
      </c>
      <c r="B2743" s="108">
        <v>32</v>
      </c>
      <c r="C2743" s="108" t="s">
        <v>139</v>
      </c>
      <c r="D2743" s="108">
        <v>1389.07511124699</v>
      </c>
      <c r="E2743" s="108">
        <v>117.891937603977</v>
      </c>
      <c r="F2743" s="108" t="s">
        <v>135</v>
      </c>
      <c r="G2743" s="108">
        <v>235.78382986</v>
      </c>
      <c r="H2743" s="108">
        <v>1</v>
      </c>
    </row>
    <row r="2744" spans="1:8" ht="14">
      <c r="A2744" s="108">
        <v>2015</v>
      </c>
      <c r="B2744" s="108">
        <v>32</v>
      </c>
      <c r="C2744" s="108" t="s">
        <v>139</v>
      </c>
      <c r="D2744" s="108">
        <v>13989.460683421899</v>
      </c>
      <c r="E2744" s="108">
        <v>1564.55726839677</v>
      </c>
      <c r="F2744" s="108" t="s">
        <v>136</v>
      </c>
      <c r="G2744" s="108">
        <v>3129.1146074099902</v>
      </c>
      <c r="H2744" s="108">
        <v>1</v>
      </c>
    </row>
    <row r="2745" spans="1:8" ht="14">
      <c r="A2745" s="108">
        <v>2015</v>
      </c>
      <c r="B2745" s="108">
        <v>33</v>
      </c>
      <c r="C2745" s="108" t="s">
        <v>30</v>
      </c>
      <c r="D2745" s="108">
        <v>9.3707784479145193</v>
      </c>
      <c r="E2745" s="108">
        <v>5.41360322009358</v>
      </c>
      <c r="F2745" s="108" t="s">
        <v>135</v>
      </c>
      <c r="G2745" s="108">
        <v>8.1204051740000001</v>
      </c>
      <c r="H2745" s="108">
        <v>1</v>
      </c>
    </row>
    <row r="2746" spans="1:8" ht="14">
      <c r="A2746" s="108">
        <v>2015</v>
      </c>
      <c r="B2746" s="108">
        <v>33</v>
      </c>
      <c r="C2746" s="108" t="s">
        <v>30</v>
      </c>
      <c r="D2746" s="108">
        <v>0</v>
      </c>
      <c r="E2746" s="108">
        <v>5.88976192680183E-2</v>
      </c>
      <c r="F2746" s="108" t="s">
        <v>137</v>
      </c>
      <c r="G2746" s="108">
        <v>8.8346428000000005E-2</v>
      </c>
      <c r="H2746" s="108">
        <v>1</v>
      </c>
    </row>
    <row r="2747" spans="1:8" ht="14">
      <c r="A2747" s="108">
        <v>2015</v>
      </c>
      <c r="B2747" s="108">
        <v>33</v>
      </c>
      <c r="C2747" s="108" t="s">
        <v>30</v>
      </c>
      <c r="D2747" s="108">
        <v>1358.19622155208</v>
      </c>
      <c r="E2747" s="108">
        <v>95.890499160638299</v>
      </c>
      <c r="F2747" s="108" t="s">
        <v>136</v>
      </c>
      <c r="G2747" s="108">
        <v>143.83575278000001</v>
      </c>
      <c r="H2747" s="108">
        <v>1</v>
      </c>
    </row>
    <row r="2748" spans="1:8" ht="14">
      <c r="A2748" s="108">
        <v>2015</v>
      </c>
      <c r="B2748" s="108">
        <v>33</v>
      </c>
      <c r="C2748" s="108" t="s">
        <v>138</v>
      </c>
      <c r="D2748" s="108">
        <v>3.0896468658703902</v>
      </c>
      <c r="E2748" s="108">
        <v>2.2827555856198098</v>
      </c>
      <c r="F2748" s="108" t="s">
        <v>135</v>
      </c>
      <c r="G2748" s="108">
        <v>3.4241337239999998</v>
      </c>
      <c r="H2748" s="108">
        <v>1</v>
      </c>
    </row>
    <row r="2749" spans="1:8" ht="14">
      <c r="A2749" s="108">
        <v>2015</v>
      </c>
      <c r="B2749" s="108">
        <v>33</v>
      </c>
      <c r="C2749" s="108" t="s">
        <v>138</v>
      </c>
      <c r="D2749" s="108">
        <v>0</v>
      </c>
      <c r="E2749" s="108">
        <v>1.7890709100199902E-2</v>
      </c>
      <c r="F2749" s="108" t="s">
        <v>137</v>
      </c>
      <c r="G2749" s="108">
        <v>2.6836057999999999E-2</v>
      </c>
      <c r="H2749" s="108">
        <v>1</v>
      </c>
    </row>
    <row r="2750" spans="1:8" ht="14">
      <c r="A2750" s="108">
        <v>2015</v>
      </c>
      <c r="B2750" s="108">
        <v>33</v>
      </c>
      <c r="C2750" s="108" t="s">
        <v>138</v>
      </c>
      <c r="D2750" s="108">
        <v>1073.36135313412</v>
      </c>
      <c r="E2750" s="108">
        <v>52.372353705279899</v>
      </c>
      <c r="F2750" s="108" t="s">
        <v>136</v>
      </c>
      <c r="G2750" s="108">
        <v>78.558547430000004</v>
      </c>
      <c r="H2750" s="108">
        <v>1</v>
      </c>
    </row>
    <row r="2751" spans="1:8" ht="14">
      <c r="A2751" s="108">
        <v>2015</v>
      </c>
      <c r="B2751" s="108">
        <v>33</v>
      </c>
      <c r="C2751" s="108" t="s">
        <v>139</v>
      </c>
      <c r="D2751" s="108">
        <v>284.83486841795502</v>
      </c>
      <c r="E2751" s="108">
        <v>43.5181454553584</v>
      </c>
      <c r="F2751" s="108" t="s">
        <v>136</v>
      </c>
      <c r="G2751" s="108">
        <v>65.277205349999903</v>
      </c>
      <c r="H2751" s="108">
        <v>1</v>
      </c>
    </row>
    <row r="2752" spans="1:8" ht="14">
      <c r="A2752" s="108">
        <v>2015</v>
      </c>
      <c r="B2752" s="108">
        <v>33</v>
      </c>
      <c r="C2752" s="108" t="s">
        <v>139</v>
      </c>
      <c r="D2752" s="108">
        <v>6.2811315820441296</v>
      </c>
      <c r="E2752" s="108">
        <v>3.1308476344737701</v>
      </c>
      <c r="F2752" s="108" t="s">
        <v>135</v>
      </c>
      <c r="G2752" s="108">
        <v>4.6962714500000002</v>
      </c>
      <c r="H2752" s="108">
        <v>1</v>
      </c>
    </row>
    <row r="2753" spans="1:8" ht="14">
      <c r="A2753" s="108">
        <v>2015</v>
      </c>
      <c r="B2753" s="108">
        <v>33</v>
      </c>
      <c r="C2753" s="108" t="s">
        <v>139</v>
      </c>
      <c r="D2753" s="108">
        <v>0</v>
      </c>
      <c r="E2753" s="108">
        <v>4.1006910167818302E-2</v>
      </c>
      <c r="F2753" s="108" t="s">
        <v>137</v>
      </c>
      <c r="G2753" s="108">
        <v>6.1510370000000002E-2</v>
      </c>
      <c r="H2753" s="108">
        <v>1</v>
      </c>
    </row>
    <row r="2754" spans="1:8" ht="14">
      <c r="A2754" s="108">
        <v>2015</v>
      </c>
      <c r="B2754" s="108">
        <v>34</v>
      </c>
      <c r="C2754" s="108" t="s">
        <v>30</v>
      </c>
      <c r="D2754" s="108">
        <v>425.43180270476603</v>
      </c>
      <c r="E2754" s="108">
        <v>28.716598982942301</v>
      </c>
      <c r="F2754" s="108" t="s">
        <v>135</v>
      </c>
      <c r="G2754" s="108">
        <v>64.612343199999998</v>
      </c>
      <c r="H2754" s="108">
        <v>1</v>
      </c>
    </row>
    <row r="2755" spans="1:8" ht="14">
      <c r="A2755" s="108">
        <v>2015</v>
      </c>
      <c r="B2755" s="108">
        <v>34</v>
      </c>
      <c r="C2755" s="108" t="s">
        <v>30</v>
      </c>
      <c r="D2755" s="108">
        <v>6.4008386166692396E-2</v>
      </c>
      <c r="E2755" s="108">
        <v>1.0911701560235401</v>
      </c>
      <c r="F2755" s="108" t="s">
        <v>137</v>
      </c>
      <c r="G2755" s="108">
        <v>2.4551330634999902</v>
      </c>
      <c r="H2755" s="108">
        <v>1</v>
      </c>
    </row>
    <row r="2756" spans="1:8" ht="14">
      <c r="A2756" s="108">
        <v>2015</v>
      </c>
      <c r="B2756" s="108">
        <v>34</v>
      </c>
      <c r="C2756" s="108" t="s">
        <v>30</v>
      </c>
      <c r="D2756" s="108">
        <v>4801.8521889090698</v>
      </c>
      <c r="E2756" s="108">
        <v>405.17223086103502</v>
      </c>
      <c r="F2756" s="108" t="s">
        <v>136</v>
      </c>
      <c r="G2756" s="108">
        <v>911.63742025240197</v>
      </c>
      <c r="H2756" s="108">
        <v>1</v>
      </c>
    </row>
    <row r="2757" spans="1:8" ht="14">
      <c r="A2757" s="108">
        <v>2015</v>
      </c>
      <c r="B2757" s="108">
        <v>34</v>
      </c>
      <c r="C2757" s="108" t="s">
        <v>138</v>
      </c>
      <c r="D2757" s="108">
        <v>1.15912748420752E-2</v>
      </c>
      <c r="E2757" s="108">
        <v>1.21000130745526E-2</v>
      </c>
      <c r="F2757" s="108" t="s">
        <v>137</v>
      </c>
      <c r="G2757" s="108">
        <v>2.7224991199999899E-2</v>
      </c>
      <c r="H2757" s="108">
        <v>1</v>
      </c>
    </row>
    <row r="2758" spans="1:8" ht="14">
      <c r="A2758" s="108">
        <v>2015</v>
      </c>
      <c r="B2758" s="108">
        <v>34</v>
      </c>
      <c r="C2758" s="108" t="s">
        <v>138</v>
      </c>
      <c r="D2758" s="108">
        <v>3654.6220512525301</v>
      </c>
      <c r="E2758" s="108">
        <v>201.440384265592</v>
      </c>
      <c r="F2758" s="108" t="s">
        <v>136</v>
      </c>
      <c r="G2758" s="108">
        <v>453.24087302430002</v>
      </c>
      <c r="H2758" s="108">
        <v>1</v>
      </c>
    </row>
    <row r="2759" spans="1:8" ht="14">
      <c r="A2759" s="108">
        <v>2015</v>
      </c>
      <c r="B2759" s="108">
        <v>34</v>
      </c>
      <c r="C2759" s="108" t="s">
        <v>138</v>
      </c>
      <c r="D2759" s="108">
        <v>209.90535747262899</v>
      </c>
      <c r="E2759" s="108">
        <v>15.0265157213334</v>
      </c>
      <c r="F2759" s="108" t="s">
        <v>135</v>
      </c>
      <c r="G2759" s="108">
        <v>33.809670649399997</v>
      </c>
      <c r="H2759" s="108">
        <v>1</v>
      </c>
    </row>
    <row r="2760" spans="1:8" ht="14">
      <c r="A2760" s="108">
        <v>2015</v>
      </c>
      <c r="B2760" s="108">
        <v>34</v>
      </c>
      <c r="C2760" s="108" t="s">
        <v>139</v>
      </c>
      <c r="D2760" s="108">
        <v>5.2417111324617197E-2</v>
      </c>
      <c r="E2760" s="108">
        <v>1.07907014294898</v>
      </c>
      <c r="F2760" s="108" t="s">
        <v>137</v>
      </c>
      <c r="G2760" s="108">
        <v>2.4279080722999899</v>
      </c>
      <c r="H2760" s="108">
        <v>1</v>
      </c>
    </row>
    <row r="2761" spans="1:8" ht="14">
      <c r="A2761" s="108">
        <v>2015</v>
      </c>
      <c r="B2761" s="108">
        <v>34</v>
      </c>
      <c r="C2761" s="108" t="s">
        <v>139</v>
      </c>
      <c r="D2761" s="108">
        <v>215.52644523213601</v>
      </c>
      <c r="E2761" s="108">
        <v>13.6900832616088</v>
      </c>
      <c r="F2761" s="108" t="s">
        <v>135</v>
      </c>
      <c r="G2761" s="108">
        <v>30.802672550600001</v>
      </c>
      <c r="H2761" s="108">
        <v>1</v>
      </c>
    </row>
    <row r="2762" spans="1:8" ht="14">
      <c r="A2762" s="108">
        <v>2015</v>
      </c>
      <c r="B2762" s="108">
        <v>34</v>
      </c>
      <c r="C2762" s="108" t="s">
        <v>139</v>
      </c>
      <c r="D2762" s="108">
        <v>1147.2301376565299</v>
      </c>
      <c r="E2762" s="108">
        <v>203.73184659544199</v>
      </c>
      <c r="F2762" s="108" t="s">
        <v>136</v>
      </c>
      <c r="G2762" s="108">
        <v>458.396547228099</v>
      </c>
      <c r="H2762" s="108">
        <v>1</v>
      </c>
    </row>
    <row r="2763" spans="1:8" ht="14">
      <c r="A2763" s="108">
        <v>2015</v>
      </c>
      <c r="B2763" s="108">
        <v>51</v>
      </c>
      <c r="C2763" s="108" t="s">
        <v>30</v>
      </c>
      <c r="D2763" s="108">
        <v>7074.83083429012</v>
      </c>
      <c r="E2763" s="108">
        <v>629.81564132617598</v>
      </c>
      <c r="F2763" s="108" t="s">
        <v>135</v>
      </c>
      <c r="G2763" s="108"/>
      <c r="H2763" s="108">
        <v>1</v>
      </c>
    </row>
    <row r="2764" spans="1:8" ht="14">
      <c r="A2764" s="108">
        <v>2015</v>
      </c>
      <c r="B2764" s="108">
        <v>51</v>
      </c>
      <c r="C2764" s="108" t="s">
        <v>30</v>
      </c>
      <c r="D2764" s="108">
        <v>38803.812165709802</v>
      </c>
      <c r="E2764" s="108">
        <v>3568.8053586738201</v>
      </c>
      <c r="F2764" s="108" t="s">
        <v>136</v>
      </c>
      <c r="G2764" s="108"/>
      <c r="H2764" s="108">
        <v>1</v>
      </c>
    </row>
    <row r="2765" spans="1:8" ht="14">
      <c r="A2765" s="108">
        <v>2015</v>
      </c>
      <c r="B2765" s="108">
        <v>51</v>
      </c>
      <c r="C2765" s="108" t="s">
        <v>138</v>
      </c>
      <c r="D2765" s="108">
        <v>3529.80022869802</v>
      </c>
      <c r="E2765" s="108">
        <v>315.300878202055</v>
      </c>
      <c r="F2765" s="108" t="s">
        <v>135</v>
      </c>
      <c r="G2765" s="108"/>
      <c r="H2765" s="108">
        <v>1</v>
      </c>
    </row>
    <row r="2766" spans="1:8" ht="14">
      <c r="A2766" s="108">
        <v>2015</v>
      </c>
      <c r="B2766" s="108">
        <v>51</v>
      </c>
      <c r="C2766" s="108" t="s">
        <v>138</v>
      </c>
      <c r="D2766" s="108">
        <v>23010.992771301899</v>
      </c>
      <c r="E2766" s="108">
        <v>1758.92212179794</v>
      </c>
      <c r="F2766" s="108" t="s">
        <v>136</v>
      </c>
      <c r="G2766" s="108"/>
      <c r="H2766" s="108">
        <v>1</v>
      </c>
    </row>
    <row r="2767" spans="1:8" ht="14">
      <c r="A2767" s="108">
        <v>2015</v>
      </c>
      <c r="B2767" s="108">
        <v>51</v>
      </c>
      <c r="C2767" s="108" t="s">
        <v>139</v>
      </c>
      <c r="D2767" s="108">
        <v>15792.819394407799</v>
      </c>
      <c r="E2767" s="108">
        <v>1809.8832368758699</v>
      </c>
      <c r="F2767" s="108" t="s">
        <v>136</v>
      </c>
      <c r="G2767" s="108"/>
      <c r="H2767" s="108">
        <v>1</v>
      </c>
    </row>
    <row r="2768" spans="1:8" ht="14">
      <c r="A2768" s="108">
        <v>2015</v>
      </c>
      <c r="B2768" s="108">
        <v>51</v>
      </c>
      <c r="C2768" s="108" t="s">
        <v>139</v>
      </c>
      <c r="D2768" s="108">
        <v>3545.0306055921001</v>
      </c>
      <c r="E2768" s="108">
        <v>314.51476312412001</v>
      </c>
      <c r="F2768" s="108" t="s">
        <v>135</v>
      </c>
      <c r="G2768" s="108"/>
      <c r="H2768" s="108">
        <v>1</v>
      </c>
    </row>
    <row r="2769" spans="1:8" ht="14">
      <c r="A2769" s="108">
        <v>2015</v>
      </c>
      <c r="B2769" s="108">
        <v>52</v>
      </c>
      <c r="C2769" s="108" t="s">
        <v>30</v>
      </c>
      <c r="D2769" s="108">
        <v>0</v>
      </c>
      <c r="E2769" s="108">
        <v>4346.3175386797902</v>
      </c>
      <c r="F2769" s="108" t="s">
        <v>136</v>
      </c>
      <c r="G2769" s="108"/>
      <c r="H2769" s="108">
        <v>1</v>
      </c>
    </row>
    <row r="2770" spans="1:8" ht="14">
      <c r="A2770" s="108">
        <v>2015</v>
      </c>
      <c r="B2770" s="108">
        <v>52</v>
      </c>
      <c r="C2770" s="108" t="s">
        <v>30</v>
      </c>
      <c r="D2770" s="108">
        <v>0</v>
      </c>
      <c r="E2770" s="108">
        <v>1260.0724613202001</v>
      </c>
      <c r="F2770" s="108" t="s">
        <v>135</v>
      </c>
      <c r="G2770" s="108"/>
      <c r="H2770" s="108">
        <v>1</v>
      </c>
    </row>
    <row r="2771" spans="1:8" ht="14">
      <c r="A2771" s="108">
        <v>2015</v>
      </c>
      <c r="B2771" s="108">
        <v>52</v>
      </c>
      <c r="C2771" s="108" t="s">
        <v>138</v>
      </c>
      <c r="D2771" s="108">
        <v>0</v>
      </c>
      <c r="E2771" s="108">
        <v>634.621168450494</v>
      </c>
      <c r="F2771" s="108" t="s">
        <v>135</v>
      </c>
      <c r="G2771" s="108"/>
      <c r="H2771" s="108">
        <v>1</v>
      </c>
    </row>
    <row r="2772" spans="1:8" ht="14">
      <c r="A2772" s="108">
        <v>2015</v>
      </c>
      <c r="B2772" s="108">
        <v>52</v>
      </c>
      <c r="C2772" s="108" t="s">
        <v>138</v>
      </c>
      <c r="D2772" s="108">
        <v>0</v>
      </c>
      <c r="E2772" s="108">
        <v>2176.3208315494999</v>
      </c>
      <c r="F2772" s="108" t="s">
        <v>136</v>
      </c>
      <c r="G2772" s="108"/>
      <c r="H2772" s="108">
        <v>1</v>
      </c>
    </row>
    <row r="2773" spans="1:8" ht="14">
      <c r="A2773" s="108">
        <v>2015</v>
      </c>
      <c r="B2773" s="108">
        <v>52</v>
      </c>
      <c r="C2773" s="108" t="s">
        <v>139</v>
      </c>
      <c r="D2773" s="108">
        <v>0</v>
      </c>
      <c r="E2773" s="108">
        <v>625.45129286971201</v>
      </c>
      <c r="F2773" s="108" t="s">
        <v>135</v>
      </c>
      <c r="G2773" s="108"/>
      <c r="H2773" s="108">
        <v>1</v>
      </c>
    </row>
    <row r="2774" spans="1:8" ht="14">
      <c r="A2774" s="108">
        <v>2015</v>
      </c>
      <c r="B2774" s="108">
        <v>52</v>
      </c>
      <c r="C2774" s="108" t="s">
        <v>139</v>
      </c>
      <c r="D2774" s="108">
        <v>0</v>
      </c>
      <c r="E2774" s="108">
        <v>2169.9967071302799</v>
      </c>
      <c r="F2774" s="108" t="s">
        <v>136</v>
      </c>
      <c r="G2774" s="108"/>
      <c r="H2774" s="108">
        <v>1</v>
      </c>
    </row>
    <row r="2775" spans="1:8" ht="14">
      <c r="A2775" s="108">
        <v>2015</v>
      </c>
      <c r="B2775" s="108">
        <v>53</v>
      </c>
      <c r="C2775" s="108" t="s">
        <v>30</v>
      </c>
      <c r="D2775" s="108">
        <v>0</v>
      </c>
      <c r="E2775" s="108">
        <v>34.279000000000003</v>
      </c>
      <c r="F2775" s="108" t="s">
        <v>135</v>
      </c>
      <c r="G2775" s="108"/>
      <c r="H2775" s="108">
        <v>1</v>
      </c>
    </row>
    <row r="2776" spans="1:8" ht="14">
      <c r="A2776" s="108">
        <v>2015</v>
      </c>
      <c r="B2776" s="108">
        <v>53</v>
      </c>
      <c r="C2776" s="108" t="s">
        <v>30</v>
      </c>
      <c r="D2776" s="108">
        <v>0</v>
      </c>
      <c r="E2776" s="108">
        <v>123.376</v>
      </c>
      <c r="F2776" s="108" t="s">
        <v>136</v>
      </c>
      <c r="G2776" s="108"/>
      <c r="H2776" s="108">
        <v>1</v>
      </c>
    </row>
    <row r="2777" spans="1:8" ht="14">
      <c r="A2777" s="108">
        <v>2015</v>
      </c>
      <c r="B2777" s="108">
        <v>53</v>
      </c>
      <c r="C2777" s="108" t="s">
        <v>138</v>
      </c>
      <c r="D2777" s="108">
        <v>0</v>
      </c>
      <c r="E2777" s="108">
        <v>17.327999999999999</v>
      </c>
      <c r="F2777" s="108" t="s">
        <v>135</v>
      </c>
      <c r="G2777" s="108"/>
      <c r="H2777" s="108">
        <v>1</v>
      </c>
    </row>
    <row r="2778" spans="1:8" ht="14">
      <c r="A2778" s="108">
        <v>2015</v>
      </c>
      <c r="B2778" s="108">
        <v>53</v>
      </c>
      <c r="C2778" s="108" t="s">
        <v>138</v>
      </c>
      <c r="D2778" s="108">
        <v>0</v>
      </c>
      <c r="E2778" s="108">
        <v>63.356999999999999</v>
      </c>
      <c r="F2778" s="108" t="s">
        <v>136</v>
      </c>
      <c r="G2778" s="108"/>
      <c r="H2778" s="108">
        <v>1</v>
      </c>
    </row>
    <row r="2779" spans="1:8" ht="14">
      <c r="A2779" s="108">
        <v>2015</v>
      </c>
      <c r="B2779" s="108">
        <v>53</v>
      </c>
      <c r="C2779" s="108" t="s">
        <v>139</v>
      </c>
      <c r="D2779" s="108">
        <v>0</v>
      </c>
      <c r="E2779" s="108">
        <v>60.018999999999899</v>
      </c>
      <c r="F2779" s="108" t="s">
        <v>136</v>
      </c>
      <c r="G2779" s="108"/>
      <c r="H2779" s="108">
        <v>1</v>
      </c>
    </row>
    <row r="2780" spans="1:8" ht="14">
      <c r="A2780" s="108">
        <v>2015</v>
      </c>
      <c r="B2780" s="108">
        <v>53</v>
      </c>
      <c r="C2780" s="108" t="s">
        <v>139</v>
      </c>
      <c r="D2780" s="108">
        <v>0</v>
      </c>
      <c r="E2780" s="108">
        <v>16.951000000000001</v>
      </c>
      <c r="F2780" s="108" t="s">
        <v>135</v>
      </c>
      <c r="G2780" s="108"/>
      <c r="H2780" s="108">
        <v>1</v>
      </c>
    </row>
    <row r="2781" spans="1:8" ht="14">
      <c r="A2781" s="108">
        <v>2015</v>
      </c>
      <c r="B2781" s="108">
        <v>54</v>
      </c>
      <c r="C2781" s="108" t="s">
        <v>30</v>
      </c>
      <c r="D2781" s="108">
        <v>6631.5740529717104</v>
      </c>
      <c r="E2781" s="108">
        <v>4249.3887878051</v>
      </c>
      <c r="F2781" s="108" t="s">
        <v>136</v>
      </c>
      <c r="G2781" s="108"/>
      <c r="H2781" s="108">
        <v>1</v>
      </c>
    </row>
    <row r="2782" spans="1:8" ht="14">
      <c r="A2782" s="108">
        <v>2015</v>
      </c>
      <c r="B2782" s="108">
        <v>54</v>
      </c>
      <c r="C2782" s="108" t="s">
        <v>30</v>
      </c>
      <c r="D2782" s="108">
        <v>402.341947028287</v>
      </c>
      <c r="E2782" s="108">
        <v>169.08021219489899</v>
      </c>
      <c r="F2782" s="108" t="s">
        <v>135</v>
      </c>
      <c r="G2782" s="108"/>
      <c r="H2782" s="108">
        <v>1</v>
      </c>
    </row>
    <row r="2783" spans="1:8" ht="14">
      <c r="A2783" s="108">
        <v>2015</v>
      </c>
      <c r="B2783" s="108">
        <v>54</v>
      </c>
      <c r="C2783" s="108" t="s">
        <v>138</v>
      </c>
      <c r="D2783" s="108">
        <v>4008.83674549943</v>
      </c>
      <c r="E2783" s="108">
        <v>2795.3412201350602</v>
      </c>
      <c r="F2783" s="108" t="s">
        <v>136</v>
      </c>
      <c r="G2783" s="108"/>
      <c r="H2783" s="108">
        <v>1</v>
      </c>
    </row>
    <row r="2784" spans="1:8" ht="14">
      <c r="A2784" s="108">
        <v>2015</v>
      </c>
      <c r="B2784" s="108">
        <v>54</v>
      </c>
      <c r="C2784" s="108" t="s">
        <v>138</v>
      </c>
      <c r="D2784" s="108">
        <v>196.67425450056601</v>
      </c>
      <c r="E2784" s="108">
        <v>81.869779864931701</v>
      </c>
      <c r="F2784" s="108" t="s">
        <v>135</v>
      </c>
      <c r="G2784" s="108"/>
      <c r="H2784" s="108">
        <v>1</v>
      </c>
    </row>
    <row r="2785" spans="1:8" ht="14">
      <c r="A2785" s="108">
        <v>2015</v>
      </c>
      <c r="B2785" s="108">
        <v>54</v>
      </c>
      <c r="C2785" s="108" t="s">
        <v>139</v>
      </c>
      <c r="D2785" s="108">
        <v>205.66769252772099</v>
      </c>
      <c r="E2785" s="108">
        <v>87.210432329967503</v>
      </c>
      <c r="F2785" s="108" t="s">
        <v>135</v>
      </c>
      <c r="G2785" s="108"/>
      <c r="H2785" s="108">
        <v>1</v>
      </c>
    </row>
    <row r="2786" spans="1:8" ht="14">
      <c r="A2786" s="108">
        <v>2015</v>
      </c>
      <c r="B2786" s="108">
        <v>54</v>
      </c>
      <c r="C2786" s="108" t="s">
        <v>139</v>
      </c>
      <c r="D2786" s="108">
        <v>2622.73730747227</v>
      </c>
      <c r="E2786" s="108">
        <v>1454.04756767003</v>
      </c>
      <c r="F2786" s="108" t="s">
        <v>136</v>
      </c>
      <c r="G2786" s="108"/>
      <c r="H2786" s="108">
        <v>1</v>
      </c>
    </row>
    <row r="2787" spans="1:8" ht="14">
      <c r="A2787" s="108">
        <v>2015</v>
      </c>
      <c r="B2787" s="108">
        <v>59</v>
      </c>
      <c r="C2787" s="108" t="s">
        <v>30</v>
      </c>
      <c r="D2787" s="108">
        <v>0</v>
      </c>
      <c r="E2787" s="108">
        <v>0.73</v>
      </c>
      <c r="F2787" s="108" t="s">
        <v>135</v>
      </c>
      <c r="G2787" s="108"/>
      <c r="H2787" s="108">
        <v>1</v>
      </c>
    </row>
    <row r="2788" spans="1:8" ht="14">
      <c r="A2788" s="108">
        <v>2015</v>
      </c>
      <c r="B2788" s="108">
        <v>59</v>
      </c>
      <c r="C2788" s="108" t="s">
        <v>30</v>
      </c>
      <c r="D2788" s="108">
        <v>2.8000000000000001E-2</v>
      </c>
      <c r="E2788" s="108">
        <v>3.3000000000000002E-2</v>
      </c>
      <c r="F2788" s="108" t="s">
        <v>136</v>
      </c>
      <c r="G2788" s="108"/>
      <c r="H2788" s="108">
        <v>1</v>
      </c>
    </row>
    <row r="2789" spans="1:8" ht="14">
      <c r="A2789" s="108">
        <v>2015</v>
      </c>
      <c r="B2789" s="108">
        <v>59</v>
      </c>
      <c r="C2789" s="108" t="s">
        <v>138</v>
      </c>
      <c r="D2789" s="108">
        <v>0</v>
      </c>
      <c r="E2789" s="108">
        <v>0.39700000000000002</v>
      </c>
      <c r="F2789" s="108" t="s">
        <v>135</v>
      </c>
      <c r="G2789" s="108"/>
      <c r="H2789" s="108">
        <v>1</v>
      </c>
    </row>
    <row r="2790" spans="1:8" ht="14">
      <c r="A2790" s="108">
        <v>2015</v>
      </c>
      <c r="B2790" s="108">
        <v>59</v>
      </c>
      <c r="C2790" s="108" t="s">
        <v>139</v>
      </c>
      <c r="D2790" s="108">
        <v>2.8000000000000001E-2</v>
      </c>
      <c r="E2790" s="108">
        <v>3.3000000000000002E-2</v>
      </c>
      <c r="F2790" s="108" t="s">
        <v>136</v>
      </c>
      <c r="G2790" s="108"/>
      <c r="H2790" s="108">
        <v>1</v>
      </c>
    </row>
    <row r="2791" spans="1:8" ht="14">
      <c r="A2791" s="108">
        <v>2015</v>
      </c>
      <c r="B2791" s="108">
        <v>59</v>
      </c>
      <c r="C2791" s="108" t="s">
        <v>139</v>
      </c>
      <c r="D2791" s="108">
        <v>0</v>
      </c>
      <c r="E2791" s="108">
        <v>0.33300000000000002</v>
      </c>
      <c r="F2791" s="108" t="s">
        <v>135</v>
      </c>
      <c r="G2791" s="108"/>
      <c r="H2791" s="108">
        <v>1</v>
      </c>
    </row>
    <row r="2792" spans="1:8" ht="14">
      <c r="A2792" s="108">
        <v>2015</v>
      </c>
      <c r="B2792" s="108">
        <v>61</v>
      </c>
      <c r="C2792" s="108" t="s">
        <v>30</v>
      </c>
      <c r="D2792" s="108">
        <v>26787.4904473563</v>
      </c>
      <c r="E2792" s="108">
        <v>1901.85535072672</v>
      </c>
      <c r="F2792" s="108" t="s">
        <v>136</v>
      </c>
      <c r="G2792" s="108"/>
      <c r="H2792" s="108">
        <v>1</v>
      </c>
    </row>
    <row r="2793" spans="1:8" ht="14">
      <c r="A2793" s="108">
        <v>2015</v>
      </c>
      <c r="B2793" s="108">
        <v>61</v>
      </c>
      <c r="C2793" s="108" t="s">
        <v>30</v>
      </c>
      <c r="D2793" s="108">
        <v>13949.925552643601</v>
      </c>
      <c r="E2793" s="108">
        <v>1024.2926492732699</v>
      </c>
      <c r="F2793" s="108" t="s">
        <v>135</v>
      </c>
      <c r="G2793" s="108"/>
      <c r="H2793" s="108">
        <v>1</v>
      </c>
    </row>
    <row r="2794" spans="1:8" ht="14">
      <c r="A2794" s="108">
        <v>2015</v>
      </c>
      <c r="B2794" s="108">
        <v>61</v>
      </c>
      <c r="C2794" s="108" t="s">
        <v>138</v>
      </c>
      <c r="D2794" s="108">
        <v>6766.90249692201</v>
      </c>
      <c r="E2794" s="108">
        <v>503.16720310749901</v>
      </c>
      <c r="F2794" s="108" t="s">
        <v>135</v>
      </c>
      <c r="G2794" s="108"/>
      <c r="H2794" s="108">
        <v>1</v>
      </c>
    </row>
    <row r="2795" spans="1:8" ht="14">
      <c r="A2795" s="108">
        <v>2015</v>
      </c>
      <c r="B2795" s="108">
        <v>61</v>
      </c>
      <c r="C2795" s="108" t="s">
        <v>138</v>
      </c>
      <c r="D2795" s="108">
        <v>16539.4865030779</v>
      </c>
      <c r="E2795" s="108">
        <v>965.13879689249995</v>
      </c>
      <c r="F2795" s="108" t="s">
        <v>136</v>
      </c>
      <c r="G2795" s="108"/>
      <c r="H2795" s="108">
        <v>1</v>
      </c>
    </row>
    <row r="2796" spans="1:8" ht="14">
      <c r="A2796" s="108">
        <v>2015</v>
      </c>
      <c r="B2796" s="108">
        <v>61</v>
      </c>
      <c r="C2796" s="108" t="s">
        <v>139</v>
      </c>
      <c r="D2796" s="108">
        <v>7183.0230557216801</v>
      </c>
      <c r="E2796" s="108">
        <v>521.125446165771</v>
      </c>
      <c r="F2796" s="108" t="s">
        <v>135</v>
      </c>
      <c r="G2796" s="108"/>
      <c r="H2796" s="108">
        <v>1</v>
      </c>
    </row>
    <row r="2797" spans="1:8" ht="14">
      <c r="A2797" s="108">
        <v>2015</v>
      </c>
      <c r="B2797" s="108">
        <v>61</v>
      </c>
      <c r="C2797" s="108" t="s">
        <v>139</v>
      </c>
      <c r="D2797" s="108">
        <v>10248.0039442783</v>
      </c>
      <c r="E2797" s="108">
        <v>936.71655383422899</v>
      </c>
      <c r="F2797" s="108" t="s">
        <v>136</v>
      </c>
      <c r="G2797" s="108"/>
      <c r="H2797" s="108">
        <v>1</v>
      </c>
    </row>
    <row r="2798" spans="1:8" ht="14">
      <c r="A2798" s="108">
        <v>2015</v>
      </c>
      <c r="B2798" s="108">
        <v>62</v>
      </c>
      <c r="C2798" s="108" t="s">
        <v>30</v>
      </c>
      <c r="D2798" s="108">
        <v>107.499351907997</v>
      </c>
      <c r="E2798" s="108">
        <v>25.113844519704401</v>
      </c>
      <c r="F2798" s="108" t="s">
        <v>136</v>
      </c>
      <c r="G2798" s="108"/>
      <c r="H2798" s="108">
        <v>1</v>
      </c>
    </row>
    <row r="2799" spans="1:8" ht="14">
      <c r="A2799" s="108">
        <v>2015</v>
      </c>
      <c r="B2799" s="108">
        <v>62</v>
      </c>
      <c r="C2799" s="108" t="s">
        <v>30</v>
      </c>
      <c r="D2799" s="108">
        <v>6.3456480920020901</v>
      </c>
      <c r="E2799" s="108">
        <v>4.8791554802955597</v>
      </c>
      <c r="F2799" s="108" t="s">
        <v>135</v>
      </c>
      <c r="G2799" s="108"/>
      <c r="H2799" s="108">
        <v>1</v>
      </c>
    </row>
    <row r="2800" spans="1:8" ht="14">
      <c r="A2800" s="108">
        <v>2015</v>
      </c>
      <c r="B2800" s="108">
        <v>62</v>
      </c>
      <c r="C2800" s="108" t="s">
        <v>138</v>
      </c>
      <c r="D2800" s="108">
        <v>2.7706</v>
      </c>
      <c r="E2800" s="108">
        <v>2.2226874999999899</v>
      </c>
      <c r="F2800" s="108" t="s">
        <v>135</v>
      </c>
      <c r="G2800" s="108"/>
      <c r="H2800" s="108">
        <v>1</v>
      </c>
    </row>
    <row r="2801" spans="1:8" ht="14">
      <c r="A2801" s="108">
        <v>2015</v>
      </c>
      <c r="B2801" s="108">
        <v>62</v>
      </c>
      <c r="C2801" s="108" t="s">
        <v>138</v>
      </c>
      <c r="D2801" s="108">
        <v>68.352399999999903</v>
      </c>
      <c r="E2801" s="108">
        <v>13.4803125</v>
      </c>
      <c r="F2801" s="108" t="s">
        <v>136</v>
      </c>
      <c r="G2801" s="108"/>
      <c r="H2801" s="108">
        <v>1</v>
      </c>
    </row>
    <row r="2802" spans="1:8" ht="14">
      <c r="A2802" s="108">
        <v>2015</v>
      </c>
      <c r="B2802" s="108">
        <v>62</v>
      </c>
      <c r="C2802" s="108" t="s">
        <v>139</v>
      </c>
      <c r="D2802" s="108">
        <v>3.5750480920020902</v>
      </c>
      <c r="E2802" s="108">
        <v>2.65646798029556</v>
      </c>
      <c r="F2802" s="108" t="s">
        <v>135</v>
      </c>
      <c r="G2802" s="108"/>
      <c r="H2802" s="108">
        <v>1</v>
      </c>
    </row>
    <row r="2803" spans="1:8" ht="14">
      <c r="A2803" s="108">
        <v>2015</v>
      </c>
      <c r="B2803" s="108">
        <v>62</v>
      </c>
      <c r="C2803" s="108" t="s">
        <v>139</v>
      </c>
      <c r="D2803" s="108">
        <v>39.146951907997902</v>
      </c>
      <c r="E2803" s="108">
        <v>11.633532019704401</v>
      </c>
      <c r="F2803" s="108" t="s">
        <v>136</v>
      </c>
      <c r="G2803" s="108"/>
      <c r="H2803" s="108">
        <v>1</v>
      </c>
    </row>
    <row r="2804" spans="1:8" ht="14">
      <c r="A2804" s="108">
        <v>2015</v>
      </c>
      <c r="B2804" s="108">
        <v>63</v>
      </c>
      <c r="C2804" s="108" t="s">
        <v>30</v>
      </c>
      <c r="D2804" s="108">
        <v>9986.8833696776092</v>
      </c>
      <c r="E2804" s="108">
        <v>561.11762462847196</v>
      </c>
      <c r="F2804" s="108" t="s">
        <v>136</v>
      </c>
      <c r="G2804" s="108"/>
      <c r="H2804" s="108">
        <v>1</v>
      </c>
    </row>
    <row r="2805" spans="1:8" ht="14">
      <c r="A2805" s="108">
        <v>2015</v>
      </c>
      <c r="B2805" s="108">
        <v>63</v>
      </c>
      <c r="C2805" s="108" t="s">
        <v>30</v>
      </c>
      <c r="D2805" s="108">
        <v>27.4716303223823</v>
      </c>
      <c r="E2805" s="108">
        <v>5.9743753715270698</v>
      </c>
      <c r="F2805" s="108" t="s">
        <v>135</v>
      </c>
      <c r="G2805" s="108"/>
      <c r="H2805" s="108">
        <v>1</v>
      </c>
    </row>
    <row r="2806" spans="1:8" ht="14">
      <c r="A2806" s="108">
        <v>2015</v>
      </c>
      <c r="B2806" s="108">
        <v>63</v>
      </c>
      <c r="C2806" s="108" t="s">
        <v>138</v>
      </c>
      <c r="D2806" s="108">
        <v>14.790417278904</v>
      </c>
      <c r="E2806" s="108">
        <v>2.75373398276508</v>
      </c>
      <c r="F2806" s="108" t="s">
        <v>135</v>
      </c>
      <c r="G2806" s="108"/>
      <c r="H2806" s="108">
        <v>1</v>
      </c>
    </row>
    <row r="2807" spans="1:8" ht="14">
      <c r="A2807" s="108">
        <v>2015</v>
      </c>
      <c r="B2807" s="108">
        <v>63</v>
      </c>
      <c r="C2807" s="108" t="s">
        <v>138</v>
      </c>
      <c r="D2807" s="108">
        <v>7246.2435827210902</v>
      </c>
      <c r="E2807" s="108">
        <v>283.63326601723401</v>
      </c>
      <c r="F2807" s="108" t="s">
        <v>136</v>
      </c>
      <c r="G2807" s="108"/>
      <c r="H2807" s="108">
        <v>1</v>
      </c>
    </row>
    <row r="2808" spans="1:8" ht="14">
      <c r="A2808" s="108">
        <v>2015</v>
      </c>
      <c r="B2808" s="108">
        <v>63</v>
      </c>
      <c r="C2808" s="108" t="s">
        <v>139</v>
      </c>
      <c r="D2808" s="108">
        <v>2740.6397869565199</v>
      </c>
      <c r="E2808" s="108">
        <v>277.48435861123801</v>
      </c>
      <c r="F2808" s="108" t="s">
        <v>136</v>
      </c>
      <c r="G2808" s="108"/>
      <c r="H2808" s="108">
        <v>1</v>
      </c>
    </row>
    <row r="2809" spans="1:8" ht="14">
      <c r="A2809" s="108">
        <v>2015</v>
      </c>
      <c r="B2809" s="108">
        <v>63</v>
      </c>
      <c r="C2809" s="108" t="s">
        <v>139</v>
      </c>
      <c r="D2809" s="108">
        <v>12.6812130434782</v>
      </c>
      <c r="E2809" s="108">
        <v>3.2206413887619898</v>
      </c>
      <c r="F2809" s="108" t="s">
        <v>135</v>
      </c>
      <c r="G2809" s="108"/>
      <c r="H2809" s="108">
        <v>1</v>
      </c>
    </row>
    <row r="2810" spans="1:8" ht="14">
      <c r="A2810" s="108">
        <v>2015</v>
      </c>
      <c r="B2810" s="108">
        <v>69</v>
      </c>
      <c r="C2810" s="108" t="s">
        <v>30</v>
      </c>
      <c r="D2810" s="108">
        <v>1.7999999999999999E-2</v>
      </c>
      <c r="E2810" s="108">
        <v>4.2000000000000003E-2</v>
      </c>
      <c r="F2810" s="108" t="s">
        <v>136</v>
      </c>
      <c r="G2810" s="108"/>
      <c r="H2810" s="108">
        <v>1</v>
      </c>
    </row>
    <row r="2811" spans="1:8" ht="14">
      <c r="A2811" s="108">
        <v>2015</v>
      </c>
      <c r="B2811" s="108">
        <v>69</v>
      </c>
      <c r="C2811" s="108" t="s">
        <v>138</v>
      </c>
      <c r="D2811" s="108">
        <v>1.7999999999999999E-2</v>
      </c>
      <c r="E2811" s="108">
        <v>4.2000000000000003E-2</v>
      </c>
      <c r="F2811" s="108" t="s">
        <v>136</v>
      </c>
      <c r="G2811" s="108"/>
      <c r="H2811" s="108">
        <v>1</v>
      </c>
    </row>
    <row r="2812" spans="1:8" ht="14">
      <c r="A2812" s="108">
        <v>2015</v>
      </c>
      <c r="B2812" s="108">
        <v>91</v>
      </c>
      <c r="C2812" s="108" t="s">
        <v>30</v>
      </c>
      <c r="D2812" s="108">
        <v>121.991157805965</v>
      </c>
      <c r="E2812" s="108">
        <v>0</v>
      </c>
      <c r="F2812" s="108" t="s">
        <v>135</v>
      </c>
      <c r="G2812" s="108"/>
      <c r="H2812" s="108">
        <v>1</v>
      </c>
    </row>
    <row r="2813" spans="1:8" ht="14">
      <c r="A2813" s="108">
        <v>2015</v>
      </c>
      <c r="B2813" s="108">
        <v>91</v>
      </c>
      <c r="C2813" s="108" t="s">
        <v>30</v>
      </c>
      <c r="D2813" s="108">
        <v>5739.1198421940298</v>
      </c>
      <c r="E2813" s="108">
        <v>0</v>
      </c>
      <c r="F2813" s="108" t="s">
        <v>136</v>
      </c>
      <c r="G2813" s="108"/>
      <c r="H2813" s="108">
        <v>1</v>
      </c>
    </row>
    <row r="2814" spans="1:8" ht="14">
      <c r="A2814" s="108">
        <v>2015</v>
      </c>
      <c r="B2814" s="108">
        <v>91</v>
      </c>
      <c r="C2814" s="108" t="s">
        <v>138</v>
      </c>
      <c r="D2814" s="108">
        <v>5495.2274277393599</v>
      </c>
      <c r="E2814" s="108">
        <v>0</v>
      </c>
      <c r="F2814" s="108" t="s">
        <v>136</v>
      </c>
      <c r="G2814" s="108"/>
      <c r="H2814" s="108">
        <v>1</v>
      </c>
    </row>
    <row r="2815" spans="1:8" ht="14">
      <c r="A2815" s="108">
        <v>2015</v>
      </c>
      <c r="B2815" s="108">
        <v>91</v>
      </c>
      <c r="C2815" s="108" t="s">
        <v>138</v>
      </c>
      <c r="D2815" s="108">
        <v>118.57757226064101</v>
      </c>
      <c r="E2815" s="108">
        <v>0</v>
      </c>
      <c r="F2815" s="108" t="s">
        <v>135</v>
      </c>
      <c r="G2815" s="108"/>
      <c r="H2815" s="108">
        <v>1</v>
      </c>
    </row>
    <row r="2816" spans="1:8" ht="14">
      <c r="A2816" s="108">
        <v>2015</v>
      </c>
      <c r="B2816" s="108">
        <v>91</v>
      </c>
      <c r="C2816" s="108" t="s">
        <v>139</v>
      </c>
      <c r="D2816" s="108">
        <v>243.89241445467499</v>
      </c>
      <c r="E2816" s="108">
        <v>0</v>
      </c>
      <c r="F2816" s="108" t="s">
        <v>136</v>
      </c>
      <c r="G2816" s="108"/>
      <c r="H2816" s="108">
        <v>1</v>
      </c>
    </row>
    <row r="2817" spans="1:8" ht="14">
      <c r="A2817" s="108">
        <v>2015</v>
      </c>
      <c r="B2817" s="108">
        <v>91</v>
      </c>
      <c r="C2817" s="108" t="s">
        <v>139</v>
      </c>
      <c r="D2817" s="108">
        <v>3.4135855453241599</v>
      </c>
      <c r="E2817" s="108">
        <v>0</v>
      </c>
      <c r="F2817" s="108" t="s">
        <v>135</v>
      </c>
      <c r="G2817" s="108"/>
      <c r="H2817" s="108">
        <v>1</v>
      </c>
    </row>
    <row r="2818" spans="1:8" ht="14">
      <c r="A2818" s="108">
        <v>2015</v>
      </c>
      <c r="B2818" s="108">
        <v>92</v>
      </c>
      <c r="C2818" s="108" t="s">
        <v>30</v>
      </c>
      <c r="D2818" s="108">
        <v>8724.3497293624096</v>
      </c>
      <c r="E2818" s="108">
        <v>0</v>
      </c>
      <c r="F2818" s="108" t="s">
        <v>136</v>
      </c>
      <c r="G2818" s="108"/>
      <c r="H2818" s="108">
        <v>1</v>
      </c>
    </row>
    <row r="2819" spans="1:8" ht="14">
      <c r="A2819" s="108">
        <v>2015</v>
      </c>
      <c r="B2819" s="108">
        <v>92</v>
      </c>
      <c r="C2819" s="108" t="s">
        <v>30</v>
      </c>
      <c r="D2819" s="108">
        <v>123.73127063757801</v>
      </c>
      <c r="E2819" s="108">
        <v>0</v>
      </c>
      <c r="F2819" s="108" t="s">
        <v>135</v>
      </c>
      <c r="G2819" s="108"/>
      <c r="H2819" s="108">
        <v>1</v>
      </c>
    </row>
    <row r="2820" spans="1:8" ht="14">
      <c r="A2820" s="108">
        <v>2015</v>
      </c>
      <c r="B2820" s="108">
        <v>92</v>
      </c>
      <c r="C2820" s="108" t="s">
        <v>138</v>
      </c>
      <c r="D2820" s="108">
        <v>4915.6824321495797</v>
      </c>
      <c r="E2820" s="108">
        <v>0</v>
      </c>
      <c r="F2820" s="108" t="s">
        <v>136</v>
      </c>
      <c r="G2820" s="108"/>
      <c r="H2820" s="108">
        <v>1</v>
      </c>
    </row>
    <row r="2821" spans="1:8" ht="14">
      <c r="A2821" s="108">
        <v>2015</v>
      </c>
      <c r="B2821" s="108">
        <v>92</v>
      </c>
      <c r="C2821" s="108" t="s">
        <v>138</v>
      </c>
      <c r="D2821" s="108">
        <v>67.690567850411696</v>
      </c>
      <c r="E2821" s="108">
        <v>0</v>
      </c>
      <c r="F2821" s="108" t="s">
        <v>135</v>
      </c>
      <c r="G2821" s="108"/>
      <c r="H2821" s="108">
        <v>1</v>
      </c>
    </row>
    <row r="2822" spans="1:8" ht="14">
      <c r="A2822" s="108">
        <v>2015</v>
      </c>
      <c r="B2822" s="108">
        <v>92</v>
      </c>
      <c r="C2822" s="108" t="s">
        <v>139</v>
      </c>
      <c r="D2822" s="108">
        <v>3808.6672972128299</v>
      </c>
      <c r="E2822" s="108">
        <v>0</v>
      </c>
      <c r="F2822" s="108" t="s">
        <v>136</v>
      </c>
      <c r="G2822" s="108"/>
      <c r="H2822" s="108">
        <v>1</v>
      </c>
    </row>
    <row r="2823" spans="1:8" ht="14">
      <c r="A2823" s="108">
        <v>2015</v>
      </c>
      <c r="B2823" s="108">
        <v>92</v>
      </c>
      <c r="C2823" s="108" t="s">
        <v>139</v>
      </c>
      <c r="D2823" s="108">
        <v>56.040702787167099</v>
      </c>
      <c r="E2823" s="108">
        <v>0</v>
      </c>
      <c r="F2823" s="108" t="s">
        <v>135</v>
      </c>
      <c r="G2823" s="108"/>
      <c r="H2823" s="108">
        <v>1</v>
      </c>
    </row>
    <row r="2824" spans="1:8" ht="14">
      <c r="A2824" s="108">
        <v>2015</v>
      </c>
      <c r="B2824" s="108">
        <v>99</v>
      </c>
      <c r="C2824" s="108" t="s">
        <v>30</v>
      </c>
      <c r="D2824" s="108">
        <v>1907.1950669719399</v>
      </c>
      <c r="E2824" s="108">
        <v>0</v>
      </c>
      <c r="F2824" s="108" t="s">
        <v>135</v>
      </c>
      <c r="G2824" s="108"/>
      <c r="H2824" s="108">
        <v>1</v>
      </c>
    </row>
    <row r="2825" spans="1:8" ht="14">
      <c r="A2825" s="108">
        <v>2015</v>
      </c>
      <c r="B2825" s="108">
        <v>99</v>
      </c>
      <c r="C2825" s="108" t="s">
        <v>30</v>
      </c>
      <c r="D2825" s="108">
        <v>3708.2639330280499</v>
      </c>
      <c r="E2825" s="108">
        <v>0</v>
      </c>
      <c r="F2825" s="108" t="s">
        <v>136</v>
      </c>
      <c r="G2825" s="108"/>
      <c r="H2825" s="108">
        <v>1</v>
      </c>
    </row>
    <row r="2826" spans="1:8" ht="14">
      <c r="A2826" s="108">
        <v>2015</v>
      </c>
      <c r="B2826" s="108">
        <v>99</v>
      </c>
      <c r="C2826" s="108" t="s">
        <v>138</v>
      </c>
      <c r="D2826" s="108">
        <v>2493.8700089057002</v>
      </c>
      <c r="E2826" s="108">
        <v>0</v>
      </c>
      <c r="F2826" s="108" t="s">
        <v>136</v>
      </c>
      <c r="G2826" s="108"/>
      <c r="H2826" s="108">
        <v>1</v>
      </c>
    </row>
    <row r="2827" spans="1:8" ht="14">
      <c r="A2827" s="108">
        <v>2015</v>
      </c>
      <c r="B2827" s="108">
        <v>99</v>
      </c>
      <c r="C2827" s="108" t="s">
        <v>138</v>
      </c>
      <c r="D2827" s="108">
        <v>806.05899109429402</v>
      </c>
      <c r="E2827" s="108">
        <v>0</v>
      </c>
      <c r="F2827" s="108" t="s">
        <v>135</v>
      </c>
      <c r="G2827" s="108"/>
      <c r="H2827" s="108">
        <v>1</v>
      </c>
    </row>
    <row r="2828" spans="1:8" ht="14">
      <c r="A2828" s="108">
        <v>2015</v>
      </c>
      <c r="B2828" s="108">
        <v>99</v>
      </c>
      <c r="C2828" s="108" t="s">
        <v>139</v>
      </c>
      <c r="D2828" s="108">
        <v>1101.13607587765</v>
      </c>
      <c r="E2828" s="108">
        <v>0</v>
      </c>
      <c r="F2828" s="108" t="s">
        <v>135</v>
      </c>
      <c r="G2828" s="108"/>
      <c r="H2828" s="108">
        <v>1</v>
      </c>
    </row>
    <row r="2829" spans="1:8" ht="14">
      <c r="A2829" s="108">
        <v>2015</v>
      </c>
      <c r="B2829" s="108">
        <v>99</v>
      </c>
      <c r="C2829" s="108" t="s">
        <v>139</v>
      </c>
      <c r="D2829" s="108">
        <v>1214.39392412234</v>
      </c>
      <c r="E2829" s="108">
        <v>0</v>
      </c>
      <c r="F2829" s="108" t="s">
        <v>136</v>
      </c>
      <c r="G2829" s="108"/>
      <c r="H2829" s="108">
        <v>1</v>
      </c>
    </row>
    <row r="2830" spans="1:8" ht="14">
      <c r="A2830" s="108">
        <v>2016</v>
      </c>
      <c r="B2830" s="108">
        <v>11</v>
      </c>
      <c r="C2830" s="108" t="s">
        <v>30</v>
      </c>
      <c r="D2830" s="108">
        <v>12509.2860386266</v>
      </c>
      <c r="E2830" s="108">
        <v>0</v>
      </c>
      <c r="F2830" s="108" t="s">
        <v>136</v>
      </c>
      <c r="G2830" s="108"/>
      <c r="H2830" s="108">
        <v>1</v>
      </c>
    </row>
    <row r="2831" spans="1:8" ht="14">
      <c r="A2831" s="108">
        <v>2016</v>
      </c>
      <c r="B2831" s="108">
        <v>11</v>
      </c>
      <c r="C2831" s="108" t="s">
        <v>30</v>
      </c>
      <c r="D2831" s="108">
        <v>891.92496137339003</v>
      </c>
      <c r="E2831" s="108">
        <v>0</v>
      </c>
      <c r="F2831" s="108" t="s">
        <v>135</v>
      </c>
      <c r="G2831" s="108"/>
      <c r="H2831" s="108">
        <v>1</v>
      </c>
    </row>
    <row r="2832" spans="1:8" ht="14">
      <c r="A2832" s="108">
        <v>2016</v>
      </c>
      <c r="B2832" s="108">
        <v>11</v>
      </c>
      <c r="C2832" s="108" t="s">
        <v>138</v>
      </c>
      <c r="D2832" s="108">
        <v>479.19289270788602</v>
      </c>
      <c r="E2832" s="108">
        <v>0</v>
      </c>
      <c r="F2832" s="108" t="s">
        <v>135</v>
      </c>
      <c r="G2832" s="108"/>
      <c r="H2832" s="108">
        <v>1</v>
      </c>
    </row>
    <row r="2833" spans="1:8" ht="14">
      <c r="A2833" s="108">
        <v>2016</v>
      </c>
      <c r="B2833" s="108">
        <v>11</v>
      </c>
      <c r="C2833" s="108" t="s">
        <v>138</v>
      </c>
      <c r="D2833" s="108">
        <v>9289.43110729211</v>
      </c>
      <c r="E2833" s="108">
        <v>0</v>
      </c>
      <c r="F2833" s="108" t="s">
        <v>136</v>
      </c>
      <c r="G2833" s="108"/>
      <c r="H2833" s="108">
        <v>1</v>
      </c>
    </row>
    <row r="2834" spans="1:8" ht="14">
      <c r="A2834" s="108">
        <v>2016</v>
      </c>
      <c r="B2834" s="108">
        <v>11</v>
      </c>
      <c r="C2834" s="108" t="s">
        <v>139</v>
      </c>
      <c r="D2834" s="108">
        <v>412.73206866550402</v>
      </c>
      <c r="E2834" s="108">
        <v>0</v>
      </c>
      <c r="F2834" s="108" t="s">
        <v>135</v>
      </c>
      <c r="G2834" s="108"/>
      <c r="H2834" s="108">
        <v>1</v>
      </c>
    </row>
    <row r="2835" spans="1:8" ht="14">
      <c r="A2835" s="108">
        <v>2016</v>
      </c>
      <c r="B2835" s="108">
        <v>11</v>
      </c>
      <c r="C2835" s="108" t="s">
        <v>139</v>
      </c>
      <c r="D2835" s="108">
        <v>3219.8549313344902</v>
      </c>
      <c r="E2835" s="108">
        <v>0</v>
      </c>
      <c r="F2835" s="108" t="s">
        <v>136</v>
      </c>
      <c r="G2835" s="108"/>
      <c r="H2835" s="108">
        <v>1</v>
      </c>
    </row>
    <row r="2836" spans="1:8" ht="14">
      <c r="A2836" s="108">
        <v>2016</v>
      </c>
      <c r="B2836" s="108">
        <v>12</v>
      </c>
      <c r="C2836" s="108" t="s">
        <v>30</v>
      </c>
      <c r="D2836" s="108">
        <v>25098.2800402988</v>
      </c>
      <c r="E2836" s="108">
        <v>0</v>
      </c>
      <c r="F2836" s="108" t="s">
        <v>135</v>
      </c>
      <c r="G2836" s="108"/>
      <c r="H2836" s="108">
        <v>1</v>
      </c>
    </row>
    <row r="2837" spans="1:8" ht="14">
      <c r="A2837" s="108">
        <v>2016</v>
      </c>
      <c r="B2837" s="108">
        <v>12</v>
      </c>
      <c r="C2837" s="108" t="s">
        <v>30</v>
      </c>
      <c r="D2837" s="108">
        <v>61991.495959701097</v>
      </c>
      <c r="E2837" s="108">
        <v>0</v>
      </c>
      <c r="F2837" s="108" t="s">
        <v>136</v>
      </c>
      <c r="G2837" s="108"/>
      <c r="H2837" s="108">
        <v>1</v>
      </c>
    </row>
    <row r="2838" spans="1:8" ht="14">
      <c r="A2838" s="108">
        <v>2016</v>
      </c>
      <c r="B2838" s="108">
        <v>12</v>
      </c>
      <c r="C2838" s="108" t="s">
        <v>138</v>
      </c>
      <c r="D2838" s="108">
        <v>34285.489769877</v>
      </c>
      <c r="E2838" s="108">
        <v>0</v>
      </c>
      <c r="F2838" s="108" t="s">
        <v>136</v>
      </c>
      <c r="G2838" s="108"/>
      <c r="H2838" s="108">
        <v>1</v>
      </c>
    </row>
    <row r="2839" spans="1:8" ht="14">
      <c r="A2839" s="108">
        <v>2016</v>
      </c>
      <c r="B2839" s="108">
        <v>12</v>
      </c>
      <c r="C2839" s="108" t="s">
        <v>138</v>
      </c>
      <c r="D2839" s="108">
        <v>14566.4772301229</v>
      </c>
      <c r="E2839" s="108">
        <v>0</v>
      </c>
      <c r="F2839" s="108" t="s">
        <v>135</v>
      </c>
      <c r="G2839" s="108"/>
      <c r="H2839" s="108">
        <v>1</v>
      </c>
    </row>
    <row r="2840" spans="1:8" ht="14">
      <c r="A2840" s="108">
        <v>2016</v>
      </c>
      <c r="B2840" s="108">
        <v>12</v>
      </c>
      <c r="C2840" s="108" t="s">
        <v>139</v>
      </c>
      <c r="D2840" s="108">
        <v>27706.0061898241</v>
      </c>
      <c r="E2840" s="108">
        <v>0</v>
      </c>
      <c r="F2840" s="108" t="s">
        <v>136</v>
      </c>
      <c r="G2840" s="108"/>
      <c r="H2840" s="108">
        <v>1</v>
      </c>
    </row>
    <row r="2841" spans="1:8" ht="14">
      <c r="A2841" s="108">
        <v>2016</v>
      </c>
      <c r="B2841" s="108">
        <v>12</v>
      </c>
      <c r="C2841" s="108" t="s">
        <v>139</v>
      </c>
      <c r="D2841" s="108">
        <v>10531.802810175799</v>
      </c>
      <c r="E2841" s="108">
        <v>0</v>
      </c>
      <c r="F2841" s="108" t="s">
        <v>135</v>
      </c>
      <c r="G2841" s="108"/>
      <c r="H2841" s="108">
        <v>1</v>
      </c>
    </row>
    <row r="2842" spans="1:8" ht="14">
      <c r="A2842" s="108">
        <v>2016</v>
      </c>
      <c r="B2842" s="108">
        <v>13</v>
      </c>
      <c r="C2842" s="108" t="s">
        <v>30</v>
      </c>
      <c r="D2842" s="108">
        <v>15231.906177712801</v>
      </c>
      <c r="E2842" s="108">
        <v>0</v>
      </c>
      <c r="F2842" s="108" t="s">
        <v>135</v>
      </c>
      <c r="G2842" s="108"/>
      <c r="H2842" s="108">
        <v>1</v>
      </c>
    </row>
    <row r="2843" spans="1:8" ht="14">
      <c r="A2843" s="108">
        <v>2016</v>
      </c>
      <c r="B2843" s="108">
        <v>13</v>
      </c>
      <c r="C2843" s="108" t="s">
        <v>30</v>
      </c>
      <c r="D2843" s="108">
        <v>63218.2668222871</v>
      </c>
      <c r="E2843" s="108">
        <v>0</v>
      </c>
      <c r="F2843" s="108" t="s">
        <v>136</v>
      </c>
      <c r="G2843" s="108"/>
      <c r="H2843" s="108">
        <v>1</v>
      </c>
    </row>
    <row r="2844" spans="1:8" ht="14">
      <c r="A2844" s="108">
        <v>2016</v>
      </c>
      <c r="B2844" s="108">
        <v>13</v>
      </c>
      <c r="C2844" s="108" t="s">
        <v>138</v>
      </c>
      <c r="D2844" s="108">
        <v>39102.246358616299</v>
      </c>
      <c r="E2844" s="108">
        <v>0</v>
      </c>
      <c r="F2844" s="108" t="s">
        <v>136</v>
      </c>
      <c r="G2844" s="108"/>
      <c r="H2844" s="108">
        <v>1</v>
      </c>
    </row>
    <row r="2845" spans="1:8" ht="14">
      <c r="A2845" s="108">
        <v>2016</v>
      </c>
      <c r="B2845" s="108">
        <v>13</v>
      </c>
      <c r="C2845" s="108" t="s">
        <v>138</v>
      </c>
      <c r="D2845" s="108">
        <v>7285.4536413836604</v>
      </c>
      <c r="E2845" s="108">
        <v>0</v>
      </c>
      <c r="F2845" s="108" t="s">
        <v>135</v>
      </c>
      <c r="G2845" s="108"/>
      <c r="H2845" s="108">
        <v>1</v>
      </c>
    </row>
    <row r="2846" spans="1:8" ht="14">
      <c r="A2846" s="108">
        <v>2016</v>
      </c>
      <c r="B2846" s="108">
        <v>13</v>
      </c>
      <c r="C2846" s="108" t="s">
        <v>139</v>
      </c>
      <c r="D2846" s="108">
        <v>24116.0204636708</v>
      </c>
      <c r="E2846" s="108">
        <v>0</v>
      </c>
      <c r="F2846" s="108" t="s">
        <v>136</v>
      </c>
      <c r="G2846" s="108"/>
      <c r="H2846" s="108">
        <v>1</v>
      </c>
    </row>
    <row r="2847" spans="1:8" ht="14">
      <c r="A2847" s="108">
        <v>2016</v>
      </c>
      <c r="B2847" s="108">
        <v>13</v>
      </c>
      <c r="C2847" s="108" t="s">
        <v>139</v>
      </c>
      <c r="D2847" s="108">
        <v>7946.4525363291896</v>
      </c>
      <c r="E2847" s="108">
        <v>0</v>
      </c>
      <c r="F2847" s="108" t="s">
        <v>135</v>
      </c>
      <c r="G2847" s="108"/>
      <c r="H2847" s="108">
        <v>1</v>
      </c>
    </row>
    <row r="2848" spans="1:8" ht="14">
      <c r="A2848" s="108">
        <v>2016</v>
      </c>
      <c r="B2848" s="108">
        <v>19</v>
      </c>
      <c r="C2848" s="108" t="s">
        <v>30</v>
      </c>
      <c r="D2848" s="108">
        <v>2044.1333057951799</v>
      </c>
      <c r="E2848" s="108">
        <v>0</v>
      </c>
      <c r="F2848" s="108" t="s">
        <v>135</v>
      </c>
      <c r="G2848" s="108"/>
      <c r="H2848" s="108">
        <v>1</v>
      </c>
    </row>
    <row r="2849" spans="1:8" ht="14">
      <c r="A2849" s="108">
        <v>2016</v>
      </c>
      <c r="B2849" s="108">
        <v>19</v>
      </c>
      <c r="C2849" s="108" t="s">
        <v>30</v>
      </c>
      <c r="D2849" s="108">
        <v>10008.9116942048</v>
      </c>
      <c r="E2849" s="108">
        <v>0</v>
      </c>
      <c r="F2849" s="108" t="s">
        <v>136</v>
      </c>
      <c r="G2849" s="108"/>
      <c r="H2849" s="108">
        <v>1</v>
      </c>
    </row>
    <row r="2850" spans="1:8" ht="14">
      <c r="A2850" s="108">
        <v>2016</v>
      </c>
      <c r="B2850" s="108">
        <v>19</v>
      </c>
      <c r="C2850" s="108" t="s">
        <v>138</v>
      </c>
      <c r="D2850" s="108">
        <v>619.12794152072195</v>
      </c>
      <c r="E2850" s="108">
        <v>0</v>
      </c>
      <c r="F2850" s="108" t="s">
        <v>135</v>
      </c>
      <c r="G2850" s="108"/>
      <c r="H2850" s="108">
        <v>1</v>
      </c>
    </row>
    <row r="2851" spans="1:8" ht="14">
      <c r="A2851" s="108">
        <v>2016</v>
      </c>
      <c r="B2851" s="108">
        <v>19</v>
      </c>
      <c r="C2851" s="108" t="s">
        <v>138</v>
      </c>
      <c r="D2851" s="108">
        <v>6401.6160584792797</v>
      </c>
      <c r="E2851" s="108">
        <v>0</v>
      </c>
      <c r="F2851" s="108" t="s">
        <v>136</v>
      </c>
      <c r="G2851" s="108"/>
      <c r="H2851" s="108">
        <v>1</v>
      </c>
    </row>
    <row r="2852" spans="1:8" ht="14">
      <c r="A2852" s="108">
        <v>2016</v>
      </c>
      <c r="B2852" s="108">
        <v>19</v>
      </c>
      <c r="C2852" s="108" t="s">
        <v>139</v>
      </c>
      <c r="D2852" s="108">
        <v>1425.0053642744499</v>
      </c>
      <c r="E2852" s="108">
        <v>0</v>
      </c>
      <c r="F2852" s="108" t="s">
        <v>135</v>
      </c>
      <c r="G2852" s="108"/>
      <c r="H2852" s="108">
        <v>1</v>
      </c>
    </row>
    <row r="2853" spans="1:8" ht="14">
      <c r="A2853" s="108">
        <v>2016</v>
      </c>
      <c r="B2853" s="108">
        <v>19</v>
      </c>
      <c r="C2853" s="108" t="s">
        <v>139</v>
      </c>
      <c r="D2853" s="108">
        <v>3607.2956357255398</v>
      </c>
      <c r="E2853" s="108">
        <v>0</v>
      </c>
      <c r="F2853" s="108" t="s">
        <v>136</v>
      </c>
      <c r="G2853" s="108"/>
      <c r="H2853" s="108">
        <v>1</v>
      </c>
    </row>
    <row r="2854" spans="1:8" ht="14">
      <c r="A2854" s="108">
        <v>2016</v>
      </c>
      <c r="B2854" s="108">
        <v>21</v>
      </c>
      <c r="C2854" s="108" t="s">
        <v>30</v>
      </c>
      <c r="D2854" s="108">
        <v>14782.668177371601</v>
      </c>
      <c r="E2854" s="108">
        <v>0</v>
      </c>
      <c r="F2854" s="108" t="s">
        <v>136</v>
      </c>
      <c r="G2854" s="108"/>
      <c r="H2854" s="108">
        <v>1</v>
      </c>
    </row>
    <row r="2855" spans="1:8" ht="14">
      <c r="A2855" s="108">
        <v>2016</v>
      </c>
      <c r="B2855" s="108">
        <v>21</v>
      </c>
      <c r="C2855" s="108" t="s">
        <v>30</v>
      </c>
      <c r="D2855" s="108">
        <v>931.70482262831604</v>
      </c>
      <c r="E2855" s="108">
        <v>0</v>
      </c>
      <c r="F2855" s="108" t="s">
        <v>135</v>
      </c>
      <c r="G2855" s="108"/>
      <c r="H2855" s="108">
        <v>1</v>
      </c>
    </row>
    <row r="2856" spans="1:8" ht="14">
      <c r="A2856" s="108">
        <v>2016</v>
      </c>
      <c r="B2856" s="108">
        <v>21</v>
      </c>
      <c r="C2856" s="108" t="s">
        <v>138</v>
      </c>
      <c r="D2856" s="108">
        <v>476.46378139957801</v>
      </c>
      <c r="E2856" s="108">
        <v>0</v>
      </c>
      <c r="F2856" s="108" t="s">
        <v>135</v>
      </c>
      <c r="G2856" s="108"/>
      <c r="H2856" s="108">
        <v>1</v>
      </c>
    </row>
    <row r="2857" spans="1:8" ht="14">
      <c r="A2857" s="108">
        <v>2016</v>
      </c>
      <c r="B2857" s="108">
        <v>21</v>
      </c>
      <c r="C2857" s="108" t="s">
        <v>138</v>
      </c>
      <c r="D2857" s="108">
        <v>9816.6632186004208</v>
      </c>
      <c r="E2857" s="108">
        <v>0</v>
      </c>
      <c r="F2857" s="108" t="s">
        <v>136</v>
      </c>
      <c r="G2857" s="108"/>
      <c r="H2857" s="108">
        <v>1</v>
      </c>
    </row>
    <row r="2858" spans="1:8" ht="14">
      <c r="A2858" s="108">
        <v>2016</v>
      </c>
      <c r="B2858" s="108">
        <v>21</v>
      </c>
      <c r="C2858" s="108" t="s">
        <v>139</v>
      </c>
      <c r="D2858" s="108">
        <v>4966.0049587712601</v>
      </c>
      <c r="E2858" s="108">
        <v>0</v>
      </c>
      <c r="F2858" s="108" t="s">
        <v>136</v>
      </c>
      <c r="G2858" s="108"/>
      <c r="H2858" s="108">
        <v>1</v>
      </c>
    </row>
    <row r="2859" spans="1:8" ht="14">
      <c r="A2859" s="108">
        <v>2016</v>
      </c>
      <c r="B2859" s="108">
        <v>21</v>
      </c>
      <c r="C2859" s="108" t="s">
        <v>139</v>
      </c>
      <c r="D2859" s="108">
        <v>455.24104122873803</v>
      </c>
      <c r="E2859" s="108">
        <v>0</v>
      </c>
      <c r="F2859" s="108" t="s">
        <v>135</v>
      </c>
      <c r="G2859" s="108"/>
      <c r="H2859" s="108">
        <v>1</v>
      </c>
    </row>
    <row r="2860" spans="1:8" ht="14">
      <c r="A2860" s="108">
        <v>2016</v>
      </c>
      <c r="B2860" s="108">
        <v>22</v>
      </c>
      <c r="C2860" s="108" t="s">
        <v>30</v>
      </c>
      <c r="D2860" s="108">
        <v>1707.11306251574</v>
      </c>
      <c r="E2860" s="108">
        <v>0</v>
      </c>
      <c r="F2860" s="108" t="s">
        <v>135</v>
      </c>
      <c r="G2860" s="108"/>
      <c r="H2860" s="108">
        <v>1</v>
      </c>
    </row>
    <row r="2861" spans="1:8" ht="14">
      <c r="A2861" s="108">
        <v>2016</v>
      </c>
      <c r="B2861" s="108">
        <v>22</v>
      </c>
      <c r="C2861" s="108" t="s">
        <v>30</v>
      </c>
      <c r="D2861" s="108">
        <v>10304.027937484199</v>
      </c>
      <c r="E2861" s="108">
        <v>0</v>
      </c>
      <c r="F2861" s="108" t="s">
        <v>136</v>
      </c>
      <c r="G2861" s="108"/>
      <c r="H2861" s="108">
        <v>1</v>
      </c>
    </row>
    <row r="2862" spans="1:8" ht="14">
      <c r="A2862" s="108">
        <v>2016</v>
      </c>
      <c r="B2862" s="108">
        <v>22</v>
      </c>
      <c r="C2862" s="108" t="s">
        <v>138</v>
      </c>
      <c r="D2862" s="108">
        <v>9127.9540347858092</v>
      </c>
      <c r="E2862" s="108">
        <v>0</v>
      </c>
      <c r="F2862" s="108" t="s">
        <v>136</v>
      </c>
      <c r="G2862" s="108"/>
      <c r="H2862" s="108">
        <v>1</v>
      </c>
    </row>
    <row r="2863" spans="1:8" ht="14">
      <c r="A2863" s="108">
        <v>2016</v>
      </c>
      <c r="B2863" s="108">
        <v>22</v>
      </c>
      <c r="C2863" s="108" t="s">
        <v>138</v>
      </c>
      <c r="D2863" s="108">
        <v>852.81096521418601</v>
      </c>
      <c r="E2863" s="108">
        <v>0</v>
      </c>
      <c r="F2863" s="108" t="s">
        <v>135</v>
      </c>
      <c r="G2863" s="108"/>
      <c r="H2863" s="108">
        <v>1</v>
      </c>
    </row>
    <row r="2864" spans="1:8" ht="14">
      <c r="A2864" s="108">
        <v>2016</v>
      </c>
      <c r="B2864" s="108">
        <v>22</v>
      </c>
      <c r="C2864" s="108" t="s">
        <v>139</v>
      </c>
      <c r="D2864" s="108">
        <v>1176.07390269844</v>
      </c>
      <c r="E2864" s="108">
        <v>0</v>
      </c>
      <c r="F2864" s="108" t="s">
        <v>136</v>
      </c>
      <c r="G2864" s="108"/>
      <c r="H2864" s="108">
        <v>1</v>
      </c>
    </row>
    <row r="2865" spans="1:8" ht="14">
      <c r="A2865" s="108">
        <v>2016</v>
      </c>
      <c r="B2865" s="108">
        <v>22</v>
      </c>
      <c r="C2865" s="108" t="s">
        <v>139</v>
      </c>
      <c r="D2865" s="108">
        <v>854.30209730155502</v>
      </c>
      <c r="E2865" s="108">
        <v>0</v>
      </c>
      <c r="F2865" s="108" t="s">
        <v>135</v>
      </c>
      <c r="G2865" s="108"/>
      <c r="H2865" s="108">
        <v>1</v>
      </c>
    </row>
    <row r="2866" spans="1:8" ht="14">
      <c r="A2866" s="108">
        <v>2016</v>
      </c>
      <c r="B2866" s="108">
        <v>23</v>
      </c>
      <c r="C2866" s="108" t="s">
        <v>30</v>
      </c>
      <c r="D2866" s="108">
        <v>1306.8727992243</v>
      </c>
      <c r="E2866" s="108">
        <v>0</v>
      </c>
      <c r="F2866" s="108" t="s">
        <v>135</v>
      </c>
      <c r="G2866" s="108"/>
      <c r="H2866" s="108">
        <v>1</v>
      </c>
    </row>
    <row r="2867" spans="1:8" ht="14">
      <c r="A2867" s="108">
        <v>2016</v>
      </c>
      <c r="B2867" s="108">
        <v>23</v>
      </c>
      <c r="C2867" s="108" t="s">
        <v>30</v>
      </c>
      <c r="D2867" s="108">
        <v>12700.1462007757</v>
      </c>
      <c r="E2867" s="108">
        <v>0</v>
      </c>
      <c r="F2867" s="108" t="s">
        <v>136</v>
      </c>
      <c r="G2867" s="108"/>
      <c r="H2867" s="108">
        <v>1</v>
      </c>
    </row>
    <row r="2868" spans="1:8" ht="14">
      <c r="A2868" s="108">
        <v>2016</v>
      </c>
      <c r="B2868" s="108">
        <v>23</v>
      </c>
      <c r="C2868" s="108" t="s">
        <v>138</v>
      </c>
      <c r="D2868" s="108">
        <v>7769.3720415430798</v>
      </c>
      <c r="E2868" s="108">
        <v>0</v>
      </c>
      <c r="F2868" s="108" t="s">
        <v>136</v>
      </c>
      <c r="G2868" s="108"/>
      <c r="H2868" s="108">
        <v>1</v>
      </c>
    </row>
    <row r="2869" spans="1:8" ht="14">
      <c r="A2869" s="108">
        <v>2016</v>
      </c>
      <c r="B2869" s="108">
        <v>23</v>
      </c>
      <c r="C2869" s="108" t="s">
        <v>138</v>
      </c>
      <c r="D2869" s="108">
        <v>695.28895845691795</v>
      </c>
      <c r="E2869" s="108">
        <v>0</v>
      </c>
      <c r="F2869" s="108" t="s">
        <v>135</v>
      </c>
      <c r="G2869" s="108"/>
      <c r="H2869" s="108">
        <v>1</v>
      </c>
    </row>
    <row r="2870" spans="1:8" ht="14">
      <c r="A2870" s="108">
        <v>2016</v>
      </c>
      <c r="B2870" s="108">
        <v>23</v>
      </c>
      <c r="C2870" s="108" t="s">
        <v>139</v>
      </c>
      <c r="D2870" s="108">
        <v>4930.7741592326101</v>
      </c>
      <c r="E2870" s="108">
        <v>0</v>
      </c>
      <c r="F2870" s="108" t="s">
        <v>136</v>
      </c>
      <c r="G2870" s="108"/>
      <c r="H2870" s="108">
        <v>1</v>
      </c>
    </row>
    <row r="2871" spans="1:8" ht="14">
      <c r="A2871" s="108">
        <v>2016</v>
      </c>
      <c r="B2871" s="108">
        <v>23</v>
      </c>
      <c r="C2871" s="108" t="s">
        <v>139</v>
      </c>
      <c r="D2871" s="108">
        <v>611.58384076738196</v>
      </c>
      <c r="E2871" s="108">
        <v>0</v>
      </c>
      <c r="F2871" s="108" t="s">
        <v>135</v>
      </c>
      <c r="G2871" s="108"/>
      <c r="H2871" s="108">
        <v>1</v>
      </c>
    </row>
    <row r="2872" spans="1:8" ht="14">
      <c r="A2872" s="108">
        <v>2016</v>
      </c>
      <c r="B2872" s="108">
        <v>29</v>
      </c>
      <c r="C2872" s="108" t="s">
        <v>30</v>
      </c>
      <c r="D2872" s="108">
        <v>28361.0018224378</v>
      </c>
      <c r="E2872" s="108">
        <v>0</v>
      </c>
      <c r="F2872" s="108" t="s">
        <v>136</v>
      </c>
      <c r="G2872" s="108"/>
      <c r="H2872" s="108">
        <v>1</v>
      </c>
    </row>
    <row r="2873" spans="1:8" ht="14">
      <c r="A2873" s="108">
        <v>2016</v>
      </c>
      <c r="B2873" s="108">
        <v>29</v>
      </c>
      <c r="C2873" s="108" t="s">
        <v>30</v>
      </c>
      <c r="D2873" s="108">
        <v>22523.661177562099</v>
      </c>
      <c r="E2873" s="108">
        <v>0</v>
      </c>
      <c r="F2873" s="108" t="s">
        <v>135</v>
      </c>
      <c r="G2873" s="108"/>
      <c r="H2873" s="108">
        <v>1</v>
      </c>
    </row>
    <row r="2874" spans="1:8" ht="14">
      <c r="A2874" s="108">
        <v>2016</v>
      </c>
      <c r="B2874" s="108">
        <v>29</v>
      </c>
      <c r="C2874" s="108" t="s">
        <v>138</v>
      </c>
      <c r="D2874" s="108">
        <v>17760.2213181386</v>
      </c>
      <c r="E2874" s="108">
        <v>0</v>
      </c>
      <c r="F2874" s="108" t="s">
        <v>135</v>
      </c>
      <c r="G2874" s="108"/>
      <c r="H2874" s="108">
        <v>1</v>
      </c>
    </row>
    <row r="2875" spans="1:8" ht="14">
      <c r="A2875" s="108">
        <v>2016</v>
      </c>
      <c r="B2875" s="108">
        <v>29</v>
      </c>
      <c r="C2875" s="108" t="s">
        <v>138</v>
      </c>
      <c r="D2875" s="108">
        <v>21739.2156818613</v>
      </c>
      <c r="E2875" s="108">
        <v>0</v>
      </c>
      <c r="F2875" s="108" t="s">
        <v>136</v>
      </c>
      <c r="G2875" s="108"/>
      <c r="H2875" s="108">
        <v>1</v>
      </c>
    </row>
    <row r="2876" spans="1:8" ht="14">
      <c r="A2876" s="108">
        <v>2016</v>
      </c>
      <c r="B2876" s="108">
        <v>29</v>
      </c>
      <c r="C2876" s="108" t="s">
        <v>139</v>
      </c>
      <c r="D2876" s="108">
        <v>6621.7861405764597</v>
      </c>
      <c r="E2876" s="108">
        <v>0</v>
      </c>
      <c r="F2876" s="108" t="s">
        <v>136</v>
      </c>
      <c r="G2876" s="108"/>
      <c r="H2876" s="108">
        <v>1</v>
      </c>
    </row>
    <row r="2877" spans="1:8" ht="14">
      <c r="A2877" s="108">
        <v>2016</v>
      </c>
      <c r="B2877" s="108">
        <v>29</v>
      </c>
      <c r="C2877" s="108" t="s">
        <v>139</v>
      </c>
      <c r="D2877" s="108">
        <v>4763.4398594235299</v>
      </c>
      <c r="E2877" s="108">
        <v>0</v>
      </c>
      <c r="F2877" s="108" t="s">
        <v>135</v>
      </c>
      <c r="G2877" s="108"/>
      <c r="H2877" s="108">
        <v>1</v>
      </c>
    </row>
    <row r="2878" spans="1:8" ht="14">
      <c r="A2878" s="108">
        <v>2016</v>
      </c>
      <c r="B2878" s="108">
        <v>31</v>
      </c>
      <c r="C2878" s="108" t="s">
        <v>30</v>
      </c>
      <c r="D2878" s="108">
        <v>1023.44988569368</v>
      </c>
      <c r="E2878" s="108">
        <v>141.28863301323901</v>
      </c>
      <c r="F2878" s="108" t="s">
        <v>135</v>
      </c>
      <c r="G2878" s="108">
        <v>141.28863002899999</v>
      </c>
      <c r="H2878" s="108">
        <v>1</v>
      </c>
    </row>
    <row r="2879" spans="1:8" ht="14">
      <c r="A2879" s="108">
        <v>2016</v>
      </c>
      <c r="B2879" s="108">
        <v>31</v>
      </c>
      <c r="C2879" s="108" t="s">
        <v>30</v>
      </c>
      <c r="D2879" s="108">
        <v>1.08790386130446</v>
      </c>
      <c r="E2879" s="108">
        <v>6.6634426203019697</v>
      </c>
      <c r="F2879" s="108" t="s">
        <v>137</v>
      </c>
      <c r="G2879" s="108">
        <v>6.6634413489999904</v>
      </c>
      <c r="H2879" s="108">
        <v>1</v>
      </c>
    </row>
    <row r="2880" spans="1:8" ht="14">
      <c r="A2880" s="108">
        <v>2016</v>
      </c>
      <c r="B2880" s="108">
        <v>31</v>
      </c>
      <c r="C2880" s="108" t="s">
        <v>30</v>
      </c>
      <c r="D2880" s="108">
        <v>18905.4062104449</v>
      </c>
      <c r="E2880" s="108">
        <v>1565.4069243664601</v>
      </c>
      <c r="F2880" s="108" t="s">
        <v>136</v>
      </c>
      <c r="G2880" s="108">
        <v>1565.40688402199</v>
      </c>
      <c r="H2880" s="108">
        <v>1</v>
      </c>
    </row>
    <row r="2881" spans="1:8" ht="14">
      <c r="A2881" s="108">
        <v>2016</v>
      </c>
      <c r="B2881" s="108">
        <v>31</v>
      </c>
      <c r="C2881" s="108" t="s">
        <v>138</v>
      </c>
      <c r="D2881" s="108">
        <v>5.93194686159585E-2</v>
      </c>
      <c r="E2881" s="108">
        <v>0.57162546944216497</v>
      </c>
      <c r="F2881" s="108" t="s">
        <v>137</v>
      </c>
      <c r="G2881" s="108">
        <v>0.57162578999999902</v>
      </c>
      <c r="H2881" s="108">
        <v>1</v>
      </c>
    </row>
    <row r="2882" spans="1:8" ht="14">
      <c r="A2882" s="108">
        <v>2016</v>
      </c>
      <c r="B2882" s="108">
        <v>31</v>
      </c>
      <c r="C2882" s="108" t="s">
        <v>138</v>
      </c>
      <c r="D2882" s="108">
        <v>11584.104857902201</v>
      </c>
      <c r="E2882" s="108">
        <v>830.165773425103</v>
      </c>
      <c r="F2882" s="108" t="s">
        <v>136</v>
      </c>
      <c r="G2882" s="108">
        <v>830.16578617899904</v>
      </c>
      <c r="H2882" s="108">
        <v>1</v>
      </c>
    </row>
    <row r="2883" spans="1:8" ht="14">
      <c r="A2883" s="108">
        <v>2016</v>
      </c>
      <c r="B2883" s="108">
        <v>31</v>
      </c>
      <c r="C2883" s="108" t="s">
        <v>138</v>
      </c>
      <c r="D2883" s="108">
        <v>446.09482262911303</v>
      </c>
      <c r="E2883" s="108">
        <v>68.732601105454094</v>
      </c>
      <c r="F2883" s="108" t="s">
        <v>135</v>
      </c>
      <c r="G2883" s="108">
        <v>68.732602795999995</v>
      </c>
      <c r="H2883" s="108">
        <v>1</v>
      </c>
    </row>
    <row r="2884" spans="1:8" ht="14">
      <c r="A2884" s="108">
        <v>2016</v>
      </c>
      <c r="B2884" s="108">
        <v>31</v>
      </c>
      <c r="C2884" s="108" t="s">
        <v>139</v>
      </c>
      <c r="D2884" s="108">
        <v>7321.3013525427295</v>
      </c>
      <c r="E2884" s="108">
        <v>735.241150941353</v>
      </c>
      <c r="F2884" s="108" t="s">
        <v>136</v>
      </c>
      <c r="G2884" s="108">
        <v>735.24109784299901</v>
      </c>
      <c r="H2884" s="108">
        <v>1</v>
      </c>
    </row>
    <row r="2885" spans="1:8" ht="14">
      <c r="A2885" s="108">
        <v>2016</v>
      </c>
      <c r="B2885" s="108">
        <v>31</v>
      </c>
      <c r="C2885" s="108" t="s">
        <v>139</v>
      </c>
      <c r="D2885" s="108">
        <v>577.35506306457205</v>
      </c>
      <c r="E2885" s="108">
        <v>72.556031907785297</v>
      </c>
      <c r="F2885" s="108" t="s">
        <v>135</v>
      </c>
      <c r="G2885" s="108">
        <v>72.556027232999895</v>
      </c>
      <c r="H2885" s="108">
        <v>1</v>
      </c>
    </row>
    <row r="2886" spans="1:8" ht="14">
      <c r="A2886" s="108">
        <v>2016</v>
      </c>
      <c r="B2886" s="108">
        <v>31</v>
      </c>
      <c r="C2886" s="108" t="s">
        <v>139</v>
      </c>
      <c r="D2886" s="108">
        <v>1.0285843926885001</v>
      </c>
      <c r="E2886" s="108">
        <v>6.0918171508598098</v>
      </c>
      <c r="F2886" s="108" t="s">
        <v>137</v>
      </c>
      <c r="G2886" s="108">
        <v>6.0918155589999996</v>
      </c>
      <c r="H2886" s="108">
        <v>1</v>
      </c>
    </row>
    <row r="2887" spans="1:8" ht="14">
      <c r="A2887" s="108">
        <v>2016</v>
      </c>
      <c r="B2887" s="108">
        <v>32</v>
      </c>
      <c r="C2887" s="108" t="s">
        <v>30</v>
      </c>
      <c r="D2887" s="108">
        <v>2258.5348162151199</v>
      </c>
      <c r="E2887" s="108">
        <v>203.50838135653899</v>
      </c>
      <c r="F2887" s="108" t="s">
        <v>135</v>
      </c>
      <c r="G2887" s="108">
        <v>407.01671692000002</v>
      </c>
      <c r="H2887" s="108">
        <v>1</v>
      </c>
    </row>
    <row r="2888" spans="1:8" ht="14">
      <c r="A2888" s="108">
        <v>2016</v>
      </c>
      <c r="B2888" s="108">
        <v>32</v>
      </c>
      <c r="C2888" s="108" t="s">
        <v>30</v>
      </c>
      <c r="D2888" s="108">
        <v>36660.625470009501</v>
      </c>
      <c r="E2888" s="108">
        <v>3437.4656276002502</v>
      </c>
      <c r="F2888" s="108" t="s">
        <v>136</v>
      </c>
      <c r="G2888" s="108">
        <v>6874.9314710499802</v>
      </c>
      <c r="H2888" s="108">
        <v>1</v>
      </c>
    </row>
    <row r="2889" spans="1:8" ht="14">
      <c r="A2889" s="108">
        <v>2016</v>
      </c>
      <c r="B2889" s="108">
        <v>32</v>
      </c>
      <c r="C2889" s="108" t="s">
        <v>30</v>
      </c>
      <c r="D2889" s="108">
        <v>1.67471377530538</v>
      </c>
      <c r="E2889" s="108">
        <v>19.423991043221701</v>
      </c>
      <c r="F2889" s="108" t="s">
        <v>137</v>
      </c>
      <c r="G2889" s="108">
        <v>38.847985880000003</v>
      </c>
      <c r="H2889" s="108">
        <v>1</v>
      </c>
    </row>
    <row r="2890" spans="1:8" ht="14">
      <c r="A2890" s="108">
        <v>2016</v>
      </c>
      <c r="B2890" s="108">
        <v>32</v>
      </c>
      <c r="C2890" s="108" t="s">
        <v>138</v>
      </c>
      <c r="D2890" s="108">
        <v>1089.61434043503</v>
      </c>
      <c r="E2890" s="108">
        <v>102.580289780558</v>
      </c>
      <c r="F2890" s="108" t="s">
        <v>135</v>
      </c>
      <c r="G2890" s="108">
        <v>205.16056104999899</v>
      </c>
      <c r="H2890" s="108">
        <v>1</v>
      </c>
    </row>
    <row r="2891" spans="1:8" ht="14">
      <c r="A2891" s="108">
        <v>2016</v>
      </c>
      <c r="B2891" s="108">
        <v>32</v>
      </c>
      <c r="C2891" s="108" t="s">
        <v>138</v>
      </c>
      <c r="D2891" s="108">
        <v>21730.821580089101</v>
      </c>
      <c r="E2891" s="108">
        <v>1735.3802793162199</v>
      </c>
      <c r="F2891" s="108" t="s">
        <v>136</v>
      </c>
      <c r="G2891" s="108">
        <v>3470.7606030100001</v>
      </c>
      <c r="H2891" s="108">
        <v>1</v>
      </c>
    </row>
    <row r="2892" spans="1:8" ht="14">
      <c r="A2892" s="108">
        <v>2016</v>
      </c>
      <c r="B2892" s="108">
        <v>32</v>
      </c>
      <c r="C2892" s="108" t="s">
        <v>138</v>
      </c>
      <c r="D2892" s="108">
        <v>4.3079475867584802E-2</v>
      </c>
      <c r="E2892" s="108">
        <v>1.7054309032078401</v>
      </c>
      <c r="F2892" s="108" t="s">
        <v>137</v>
      </c>
      <c r="G2892" s="108">
        <v>3.4108621000000001</v>
      </c>
      <c r="H2892" s="108">
        <v>1</v>
      </c>
    </row>
    <row r="2893" spans="1:8" ht="14">
      <c r="A2893" s="108">
        <v>2016</v>
      </c>
      <c r="B2893" s="108">
        <v>32</v>
      </c>
      <c r="C2893" s="108" t="s">
        <v>139</v>
      </c>
      <c r="D2893" s="108">
        <v>14929.8038899204</v>
      </c>
      <c r="E2893" s="108">
        <v>1702.085348284</v>
      </c>
      <c r="F2893" s="108" t="s">
        <v>136</v>
      </c>
      <c r="G2893" s="108">
        <v>3404.1708680399902</v>
      </c>
      <c r="H2893" s="108">
        <v>1</v>
      </c>
    </row>
    <row r="2894" spans="1:8" ht="14">
      <c r="A2894" s="108">
        <v>2016</v>
      </c>
      <c r="B2894" s="108">
        <v>32</v>
      </c>
      <c r="C2894" s="108" t="s">
        <v>139</v>
      </c>
      <c r="D2894" s="108">
        <v>1168.9204757800901</v>
      </c>
      <c r="E2894" s="108">
        <v>100.92809157598001</v>
      </c>
      <c r="F2894" s="108" t="s">
        <v>135</v>
      </c>
      <c r="G2894" s="108">
        <v>201.85615586999899</v>
      </c>
      <c r="H2894" s="108">
        <v>1</v>
      </c>
    </row>
    <row r="2895" spans="1:8" ht="14">
      <c r="A2895" s="108">
        <v>2016</v>
      </c>
      <c r="B2895" s="108">
        <v>32</v>
      </c>
      <c r="C2895" s="108" t="s">
        <v>139</v>
      </c>
      <c r="D2895" s="108">
        <v>1.6316342994377999</v>
      </c>
      <c r="E2895" s="108">
        <v>17.718560140013899</v>
      </c>
      <c r="F2895" s="108" t="s">
        <v>137</v>
      </c>
      <c r="G2895" s="108">
        <v>35.437123779999901</v>
      </c>
      <c r="H2895" s="108">
        <v>1</v>
      </c>
    </row>
    <row r="2896" spans="1:8" ht="14">
      <c r="A2896" s="108">
        <v>2016</v>
      </c>
      <c r="B2896" s="108">
        <v>33</v>
      </c>
      <c r="C2896" s="108" t="s">
        <v>30</v>
      </c>
      <c r="D2896" s="108">
        <v>0</v>
      </c>
      <c r="E2896" s="108">
        <v>8.3491791096015205E-2</v>
      </c>
      <c r="F2896" s="108" t="s">
        <v>137</v>
      </c>
      <c r="G2896" s="108">
        <v>0.12523769000000001</v>
      </c>
      <c r="H2896" s="108">
        <v>1</v>
      </c>
    </row>
    <row r="2897" spans="1:8" ht="14">
      <c r="A2897" s="108">
        <v>2016</v>
      </c>
      <c r="B2897" s="108">
        <v>33</v>
      </c>
      <c r="C2897" s="108" t="s">
        <v>30</v>
      </c>
      <c r="D2897" s="108">
        <v>778.74522474304297</v>
      </c>
      <c r="E2897" s="108">
        <v>63.573139342460799</v>
      </c>
      <c r="F2897" s="108" t="s">
        <v>136</v>
      </c>
      <c r="G2897" s="108">
        <v>95.359701177000005</v>
      </c>
      <c r="H2897" s="108">
        <v>1</v>
      </c>
    </row>
    <row r="2898" spans="1:8" ht="14">
      <c r="A2898" s="108">
        <v>2016</v>
      </c>
      <c r="B2898" s="108">
        <v>33</v>
      </c>
      <c r="C2898" s="108" t="s">
        <v>30</v>
      </c>
      <c r="D2898" s="108">
        <v>51.148775256956696</v>
      </c>
      <c r="E2898" s="108">
        <v>10.383368866443099</v>
      </c>
      <c r="F2898" s="108" t="s">
        <v>135</v>
      </c>
      <c r="G2898" s="108">
        <v>15.57505212</v>
      </c>
      <c r="H2898" s="108">
        <v>1</v>
      </c>
    </row>
    <row r="2899" spans="1:8" ht="14">
      <c r="A2899" s="108">
        <v>2016</v>
      </c>
      <c r="B2899" s="108">
        <v>33</v>
      </c>
      <c r="C2899" s="108" t="s">
        <v>138</v>
      </c>
      <c r="D2899" s="108">
        <v>12.608747632942</v>
      </c>
      <c r="E2899" s="108">
        <v>4.2057203919765502</v>
      </c>
      <c r="F2899" s="108" t="s">
        <v>135</v>
      </c>
      <c r="G2899" s="108">
        <v>6.3085809900000003</v>
      </c>
      <c r="H2899" s="108">
        <v>1</v>
      </c>
    </row>
    <row r="2900" spans="1:8" ht="14">
      <c r="A2900" s="108">
        <v>2016</v>
      </c>
      <c r="B2900" s="108">
        <v>33</v>
      </c>
      <c r="C2900" s="108" t="s">
        <v>138</v>
      </c>
      <c r="D2900" s="108">
        <v>0</v>
      </c>
      <c r="E2900" s="108">
        <v>8.3491791096015205E-2</v>
      </c>
      <c r="F2900" s="108" t="s">
        <v>137</v>
      </c>
      <c r="G2900" s="108">
        <v>0.12523769000000001</v>
      </c>
      <c r="H2900" s="108">
        <v>1</v>
      </c>
    </row>
    <row r="2901" spans="1:8" ht="14">
      <c r="A2901" s="108">
        <v>2016</v>
      </c>
      <c r="B2901" s="108">
        <v>33</v>
      </c>
      <c r="C2901" s="108" t="s">
        <v>138</v>
      </c>
      <c r="D2901" s="108">
        <v>512.43925236705797</v>
      </c>
      <c r="E2901" s="108">
        <v>24.350787816927401</v>
      </c>
      <c r="F2901" s="108" t="s">
        <v>136</v>
      </c>
      <c r="G2901" s="108">
        <v>36.526182677000001</v>
      </c>
      <c r="H2901" s="108">
        <v>1</v>
      </c>
    </row>
    <row r="2902" spans="1:8" ht="14">
      <c r="A2902" s="108">
        <v>2016</v>
      </c>
      <c r="B2902" s="108">
        <v>33</v>
      </c>
      <c r="C2902" s="108" t="s">
        <v>139</v>
      </c>
      <c r="D2902" s="108">
        <v>38.540027624014698</v>
      </c>
      <c r="E2902" s="108">
        <v>6.1776484744665998</v>
      </c>
      <c r="F2902" s="108" t="s">
        <v>135</v>
      </c>
      <c r="G2902" s="108">
        <v>9.2664711299999993</v>
      </c>
      <c r="H2902" s="108">
        <v>1</v>
      </c>
    </row>
    <row r="2903" spans="1:8" ht="14">
      <c r="A2903" s="108">
        <v>2016</v>
      </c>
      <c r="B2903" s="108">
        <v>33</v>
      </c>
      <c r="C2903" s="108" t="s">
        <v>139</v>
      </c>
      <c r="D2903" s="108">
        <v>266.30597237598499</v>
      </c>
      <c r="E2903" s="108">
        <v>39.222351525533298</v>
      </c>
      <c r="F2903" s="108" t="s">
        <v>136</v>
      </c>
      <c r="G2903" s="108">
        <v>58.833518499999897</v>
      </c>
      <c r="H2903" s="108">
        <v>1</v>
      </c>
    </row>
    <row r="2904" spans="1:8" ht="14">
      <c r="A2904" s="108">
        <v>2016</v>
      </c>
      <c r="B2904" s="108">
        <v>34</v>
      </c>
      <c r="C2904" s="108" t="s">
        <v>30</v>
      </c>
      <c r="D2904" s="108">
        <v>5247.1104064212304</v>
      </c>
      <c r="E2904" s="108">
        <v>436.77793988630901</v>
      </c>
      <c r="F2904" s="108" t="s">
        <v>136</v>
      </c>
      <c r="G2904" s="108">
        <v>982.75040268999805</v>
      </c>
      <c r="H2904" s="108">
        <v>1</v>
      </c>
    </row>
    <row r="2905" spans="1:8" ht="14">
      <c r="A2905" s="108">
        <v>2016</v>
      </c>
      <c r="B2905" s="108">
        <v>34</v>
      </c>
      <c r="C2905" s="108" t="s">
        <v>30</v>
      </c>
      <c r="D2905" s="108">
        <v>403.06863168551001</v>
      </c>
      <c r="E2905" s="108">
        <v>29.150776506454299</v>
      </c>
      <c r="F2905" s="108" t="s">
        <v>135</v>
      </c>
      <c r="G2905" s="108">
        <v>65.589241989999906</v>
      </c>
      <c r="H2905" s="108">
        <v>1</v>
      </c>
    </row>
    <row r="2906" spans="1:8" ht="14">
      <c r="A2906" s="108">
        <v>2016</v>
      </c>
      <c r="B2906" s="108">
        <v>34</v>
      </c>
      <c r="C2906" s="108" t="s">
        <v>30</v>
      </c>
      <c r="D2906" s="108">
        <v>0.21896189325642601</v>
      </c>
      <c r="E2906" s="108">
        <v>2.9582836072358898</v>
      </c>
      <c r="F2906" s="108" t="s">
        <v>137</v>
      </c>
      <c r="G2906" s="108">
        <v>6.6561369069999996</v>
      </c>
      <c r="H2906" s="108">
        <v>1</v>
      </c>
    </row>
    <row r="2907" spans="1:8" ht="14">
      <c r="A2907" s="108">
        <v>2016</v>
      </c>
      <c r="B2907" s="108">
        <v>34</v>
      </c>
      <c r="C2907" s="108" t="s">
        <v>138</v>
      </c>
      <c r="D2907" s="108">
        <v>0</v>
      </c>
      <c r="E2907" s="108">
        <v>6.6166075346400802E-2</v>
      </c>
      <c r="F2907" s="108" t="s">
        <v>137</v>
      </c>
      <c r="G2907" s="108">
        <v>0.14887365</v>
      </c>
      <c r="H2907" s="108">
        <v>1</v>
      </c>
    </row>
    <row r="2908" spans="1:8" ht="14">
      <c r="A2908" s="108">
        <v>2016</v>
      </c>
      <c r="B2908" s="108">
        <v>34</v>
      </c>
      <c r="C2908" s="108" t="s">
        <v>138</v>
      </c>
      <c r="D2908" s="108">
        <v>203.149936368504</v>
      </c>
      <c r="E2908" s="108">
        <v>14.199353871900099</v>
      </c>
      <c r="F2908" s="108" t="s">
        <v>135</v>
      </c>
      <c r="G2908" s="108">
        <v>31.948542779999901</v>
      </c>
      <c r="H2908" s="108">
        <v>1</v>
      </c>
    </row>
    <row r="2909" spans="1:8" ht="14">
      <c r="A2909" s="108">
        <v>2016</v>
      </c>
      <c r="B2909" s="108">
        <v>34</v>
      </c>
      <c r="C2909" s="108" t="s">
        <v>138</v>
      </c>
      <c r="D2909" s="108">
        <v>4062.6990636314899</v>
      </c>
      <c r="E2909" s="108">
        <v>222.970480052753</v>
      </c>
      <c r="F2909" s="108" t="s">
        <v>136</v>
      </c>
      <c r="G2909" s="108">
        <v>501.683593768999</v>
      </c>
      <c r="H2909" s="108">
        <v>1</v>
      </c>
    </row>
    <row r="2910" spans="1:8" ht="14">
      <c r="A2910" s="108">
        <v>2016</v>
      </c>
      <c r="B2910" s="108">
        <v>34</v>
      </c>
      <c r="C2910" s="108" t="s">
        <v>139</v>
      </c>
      <c r="D2910" s="108">
        <v>0.21896189325642601</v>
      </c>
      <c r="E2910" s="108">
        <v>2.8921175318894901</v>
      </c>
      <c r="F2910" s="108" t="s">
        <v>137</v>
      </c>
      <c r="G2910" s="108">
        <v>6.5072632569999902</v>
      </c>
      <c r="H2910" s="108">
        <v>1</v>
      </c>
    </row>
    <row r="2911" spans="1:8" ht="14">
      <c r="A2911" s="108">
        <v>2016</v>
      </c>
      <c r="B2911" s="108">
        <v>34</v>
      </c>
      <c r="C2911" s="108" t="s">
        <v>139</v>
      </c>
      <c r="D2911" s="108">
        <v>1184.41134278973</v>
      </c>
      <c r="E2911" s="108">
        <v>213.80745983355601</v>
      </c>
      <c r="F2911" s="108" t="s">
        <v>136</v>
      </c>
      <c r="G2911" s="108">
        <v>481.06680892100002</v>
      </c>
      <c r="H2911" s="108">
        <v>1</v>
      </c>
    </row>
    <row r="2912" spans="1:8" ht="14">
      <c r="A2912" s="108">
        <v>2016</v>
      </c>
      <c r="B2912" s="108">
        <v>34</v>
      </c>
      <c r="C2912" s="108" t="s">
        <v>139</v>
      </c>
      <c r="D2912" s="108">
        <v>199.91869531700499</v>
      </c>
      <c r="E2912" s="108">
        <v>14.951422634554101</v>
      </c>
      <c r="F2912" s="108" t="s">
        <v>135</v>
      </c>
      <c r="G2912" s="108">
        <v>33.640699210000001</v>
      </c>
      <c r="H2912" s="108">
        <v>1</v>
      </c>
    </row>
    <row r="2913" spans="1:8" ht="14">
      <c r="A2913" s="108">
        <v>2016</v>
      </c>
      <c r="B2913" s="108">
        <v>51</v>
      </c>
      <c r="C2913" s="108" t="s">
        <v>30</v>
      </c>
      <c r="D2913" s="108">
        <v>39291.649707239601</v>
      </c>
      <c r="E2913" s="108">
        <v>3632.42727861614</v>
      </c>
      <c r="F2913" s="108" t="s">
        <v>136</v>
      </c>
      <c r="G2913" s="108"/>
      <c r="H2913" s="108">
        <v>1</v>
      </c>
    </row>
    <row r="2914" spans="1:8" ht="14">
      <c r="A2914" s="108">
        <v>2016</v>
      </c>
      <c r="B2914" s="108">
        <v>51</v>
      </c>
      <c r="C2914" s="108" t="s">
        <v>30</v>
      </c>
      <c r="D2914" s="108">
        <v>7676.6022927603999</v>
      </c>
      <c r="E2914" s="108">
        <v>723.42572138385594</v>
      </c>
      <c r="F2914" s="108" t="s">
        <v>135</v>
      </c>
      <c r="G2914" s="108"/>
      <c r="H2914" s="108">
        <v>1</v>
      </c>
    </row>
    <row r="2915" spans="1:8" ht="14">
      <c r="A2915" s="108">
        <v>2016</v>
      </c>
      <c r="B2915" s="108">
        <v>51</v>
      </c>
      <c r="C2915" s="108" t="s">
        <v>138</v>
      </c>
      <c r="D2915" s="108">
        <v>3791.8654555478502</v>
      </c>
      <c r="E2915" s="108">
        <v>360.159049633461</v>
      </c>
      <c r="F2915" s="108" t="s">
        <v>135</v>
      </c>
      <c r="G2915" s="108"/>
      <c r="H2915" s="108">
        <v>1</v>
      </c>
    </row>
    <row r="2916" spans="1:8" ht="14">
      <c r="A2916" s="108">
        <v>2016</v>
      </c>
      <c r="B2916" s="108">
        <v>51</v>
      </c>
      <c r="C2916" s="108" t="s">
        <v>138</v>
      </c>
      <c r="D2916" s="108">
        <v>23013.646544452102</v>
      </c>
      <c r="E2916" s="108">
        <v>1794.31495036653</v>
      </c>
      <c r="F2916" s="108" t="s">
        <v>136</v>
      </c>
      <c r="G2916" s="108"/>
      <c r="H2916" s="108">
        <v>1</v>
      </c>
    </row>
    <row r="2917" spans="1:8" ht="14">
      <c r="A2917" s="108">
        <v>2016</v>
      </c>
      <c r="B2917" s="108">
        <v>51</v>
      </c>
      <c r="C2917" s="108" t="s">
        <v>139</v>
      </c>
      <c r="D2917" s="108">
        <v>16278.0031627874</v>
      </c>
      <c r="E2917" s="108">
        <v>1838.1123282496001</v>
      </c>
      <c r="F2917" s="108" t="s">
        <v>136</v>
      </c>
      <c r="G2917" s="108"/>
      <c r="H2917" s="108">
        <v>1</v>
      </c>
    </row>
    <row r="2918" spans="1:8" ht="14">
      <c r="A2918" s="108">
        <v>2016</v>
      </c>
      <c r="B2918" s="108">
        <v>51</v>
      </c>
      <c r="C2918" s="108" t="s">
        <v>139</v>
      </c>
      <c r="D2918" s="108">
        <v>3884.7368372125502</v>
      </c>
      <c r="E2918" s="108">
        <v>363.26667175039398</v>
      </c>
      <c r="F2918" s="108" t="s">
        <v>135</v>
      </c>
      <c r="G2918" s="108"/>
      <c r="H2918" s="108">
        <v>1</v>
      </c>
    </row>
    <row r="2919" spans="1:8" ht="14">
      <c r="A2919" s="108">
        <v>2016</v>
      </c>
      <c r="B2919" s="108">
        <v>52</v>
      </c>
      <c r="C2919" s="108" t="s">
        <v>30</v>
      </c>
      <c r="D2919" s="108">
        <v>0</v>
      </c>
      <c r="E2919" s="108">
        <v>1324.4717814241601</v>
      </c>
      <c r="F2919" s="108" t="s">
        <v>135</v>
      </c>
      <c r="G2919" s="108"/>
      <c r="H2919" s="108">
        <v>1</v>
      </c>
    </row>
    <row r="2920" spans="1:8" ht="14">
      <c r="A2920" s="108">
        <v>2016</v>
      </c>
      <c r="B2920" s="108">
        <v>52</v>
      </c>
      <c r="C2920" s="108" t="s">
        <v>30</v>
      </c>
      <c r="D2920" s="108">
        <v>0</v>
      </c>
      <c r="E2920" s="108">
        <v>4290.0302185758301</v>
      </c>
      <c r="F2920" s="108" t="s">
        <v>136</v>
      </c>
      <c r="G2920" s="108"/>
      <c r="H2920" s="108">
        <v>1</v>
      </c>
    </row>
    <row r="2921" spans="1:8" ht="14">
      <c r="A2921" s="108">
        <v>2016</v>
      </c>
      <c r="B2921" s="108">
        <v>52</v>
      </c>
      <c r="C2921" s="108" t="s">
        <v>138</v>
      </c>
      <c r="D2921" s="108">
        <v>0</v>
      </c>
      <c r="E2921" s="108">
        <v>656.61871297787604</v>
      </c>
      <c r="F2921" s="108" t="s">
        <v>135</v>
      </c>
      <c r="G2921" s="108"/>
      <c r="H2921" s="108">
        <v>1</v>
      </c>
    </row>
    <row r="2922" spans="1:8" ht="14">
      <c r="A2922" s="108">
        <v>2016</v>
      </c>
      <c r="B2922" s="108">
        <v>52</v>
      </c>
      <c r="C2922" s="108" t="s">
        <v>138</v>
      </c>
      <c r="D2922" s="108">
        <v>0</v>
      </c>
      <c r="E2922" s="108">
        <v>2091.2822870221198</v>
      </c>
      <c r="F2922" s="108" t="s">
        <v>136</v>
      </c>
      <c r="G2922" s="108"/>
      <c r="H2922" s="108">
        <v>1</v>
      </c>
    </row>
    <row r="2923" spans="1:8" ht="14">
      <c r="A2923" s="108">
        <v>2016</v>
      </c>
      <c r="B2923" s="108">
        <v>52</v>
      </c>
      <c r="C2923" s="108" t="s">
        <v>139</v>
      </c>
      <c r="D2923" s="108">
        <v>0</v>
      </c>
      <c r="E2923" s="108">
        <v>667.85306844628701</v>
      </c>
      <c r="F2923" s="108" t="s">
        <v>135</v>
      </c>
      <c r="G2923" s="108"/>
      <c r="H2923" s="108">
        <v>1</v>
      </c>
    </row>
    <row r="2924" spans="1:8" ht="14">
      <c r="A2924" s="108">
        <v>2016</v>
      </c>
      <c r="B2924" s="108">
        <v>52</v>
      </c>
      <c r="C2924" s="108" t="s">
        <v>139</v>
      </c>
      <c r="D2924" s="108">
        <v>0</v>
      </c>
      <c r="E2924" s="108">
        <v>2198.7479315537098</v>
      </c>
      <c r="F2924" s="108" t="s">
        <v>136</v>
      </c>
      <c r="G2924" s="108"/>
      <c r="H2924" s="108">
        <v>1</v>
      </c>
    </row>
    <row r="2925" spans="1:8" ht="14">
      <c r="A2925" s="108">
        <v>2016</v>
      </c>
      <c r="B2925" s="108">
        <v>53</v>
      </c>
      <c r="C2925" s="108" t="s">
        <v>30</v>
      </c>
      <c r="D2925" s="108">
        <v>0</v>
      </c>
      <c r="E2925" s="108">
        <v>20.713999999999999</v>
      </c>
      <c r="F2925" s="108" t="s">
        <v>135</v>
      </c>
      <c r="G2925" s="108"/>
      <c r="H2925" s="108">
        <v>1</v>
      </c>
    </row>
    <row r="2926" spans="1:8" ht="14">
      <c r="A2926" s="108">
        <v>2016</v>
      </c>
      <c r="B2926" s="108">
        <v>53</v>
      </c>
      <c r="C2926" s="108" t="s">
        <v>30</v>
      </c>
      <c r="D2926" s="108">
        <v>0</v>
      </c>
      <c r="E2926" s="108">
        <v>116.670999999999</v>
      </c>
      <c r="F2926" s="108" t="s">
        <v>136</v>
      </c>
      <c r="G2926" s="108"/>
      <c r="H2926" s="108">
        <v>1</v>
      </c>
    </row>
    <row r="2927" spans="1:8" ht="14">
      <c r="A2927" s="108">
        <v>2016</v>
      </c>
      <c r="B2927" s="108">
        <v>53</v>
      </c>
      <c r="C2927" s="108" t="s">
        <v>138</v>
      </c>
      <c r="D2927" s="108">
        <v>0</v>
      </c>
      <c r="E2927" s="108">
        <v>60.256999999999898</v>
      </c>
      <c r="F2927" s="108" t="s">
        <v>136</v>
      </c>
      <c r="G2927" s="108"/>
      <c r="H2927" s="108">
        <v>1</v>
      </c>
    </row>
    <row r="2928" spans="1:8" ht="14">
      <c r="A2928" s="108">
        <v>2016</v>
      </c>
      <c r="B2928" s="108">
        <v>53</v>
      </c>
      <c r="C2928" s="108" t="s">
        <v>138</v>
      </c>
      <c r="D2928" s="108">
        <v>0</v>
      </c>
      <c r="E2928" s="108">
        <v>10.363</v>
      </c>
      <c r="F2928" s="108" t="s">
        <v>135</v>
      </c>
      <c r="G2928" s="108"/>
      <c r="H2928" s="108">
        <v>1</v>
      </c>
    </row>
    <row r="2929" spans="1:8" ht="14">
      <c r="A2929" s="108">
        <v>2016</v>
      </c>
      <c r="B2929" s="108">
        <v>53</v>
      </c>
      <c r="C2929" s="108" t="s">
        <v>139</v>
      </c>
      <c r="D2929" s="108">
        <v>0</v>
      </c>
      <c r="E2929" s="108">
        <v>10.351000000000001</v>
      </c>
      <c r="F2929" s="108" t="s">
        <v>135</v>
      </c>
      <c r="G2929" s="108"/>
      <c r="H2929" s="108">
        <v>1</v>
      </c>
    </row>
    <row r="2930" spans="1:8" ht="14">
      <c r="A2930" s="108">
        <v>2016</v>
      </c>
      <c r="B2930" s="108">
        <v>53</v>
      </c>
      <c r="C2930" s="108" t="s">
        <v>139</v>
      </c>
      <c r="D2930" s="108">
        <v>0</v>
      </c>
      <c r="E2930" s="108">
        <v>56.414000000000001</v>
      </c>
      <c r="F2930" s="108" t="s">
        <v>136</v>
      </c>
      <c r="G2930" s="108"/>
      <c r="H2930" s="108">
        <v>1</v>
      </c>
    </row>
    <row r="2931" spans="1:8" ht="14">
      <c r="A2931" s="108">
        <v>2016</v>
      </c>
      <c r="B2931" s="108">
        <v>54</v>
      </c>
      <c r="C2931" s="108" t="s">
        <v>30</v>
      </c>
      <c r="D2931" s="108">
        <v>222.56279955188299</v>
      </c>
      <c r="E2931" s="108">
        <v>154.750480984646</v>
      </c>
      <c r="F2931" s="108" t="s">
        <v>135</v>
      </c>
      <c r="G2931" s="108"/>
      <c r="H2931" s="108">
        <v>1</v>
      </c>
    </row>
    <row r="2932" spans="1:8" ht="14">
      <c r="A2932" s="108">
        <v>2016</v>
      </c>
      <c r="B2932" s="108">
        <v>54</v>
      </c>
      <c r="C2932" s="108" t="s">
        <v>30</v>
      </c>
      <c r="D2932" s="108">
        <v>6488.7112004481096</v>
      </c>
      <c r="E2932" s="108">
        <v>4308.2005190153504</v>
      </c>
      <c r="F2932" s="108" t="s">
        <v>136</v>
      </c>
      <c r="G2932" s="108"/>
      <c r="H2932" s="108">
        <v>1</v>
      </c>
    </row>
    <row r="2933" spans="1:8" ht="14">
      <c r="A2933" s="108">
        <v>2016</v>
      </c>
      <c r="B2933" s="108">
        <v>54</v>
      </c>
      <c r="C2933" s="108" t="s">
        <v>138</v>
      </c>
      <c r="D2933" s="108">
        <v>3855.6319038145698</v>
      </c>
      <c r="E2933" s="108">
        <v>2767.8649809437002</v>
      </c>
      <c r="F2933" s="108" t="s">
        <v>136</v>
      </c>
      <c r="G2933" s="108"/>
      <c r="H2933" s="108">
        <v>1</v>
      </c>
    </row>
    <row r="2934" spans="1:8" ht="14">
      <c r="A2934" s="108">
        <v>2016</v>
      </c>
      <c r="B2934" s="108">
        <v>54</v>
      </c>
      <c r="C2934" s="108" t="s">
        <v>138</v>
      </c>
      <c r="D2934" s="108">
        <v>106.678096185421</v>
      </c>
      <c r="E2934" s="108">
        <v>68.454019056298904</v>
      </c>
      <c r="F2934" s="108" t="s">
        <v>135</v>
      </c>
      <c r="G2934" s="108"/>
      <c r="H2934" s="108">
        <v>1</v>
      </c>
    </row>
    <row r="2935" spans="1:8" ht="14">
      <c r="A2935" s="108">
        <v>2016</v>
      </c>
      <c r="B2935" s="108">
        <v>54</v>
      </c>
      <c r="C2935" s="108" t="s">
        <v>139</v>
      </c>
      <c r="D2935" s="108">
        <v>115.884703366461</v>
      </c>
      <c r="E2935" s="108">
        <v>86.296461928347796</v>
      </c>
      <c r="F2935" s="108" t="s">
        <v>135</v>
      </c>
      <c r="G2935" s="108"/>
      <c r="H2935" s="108">
        <v>1</v>
      </c>
    </row>
    <row r="2936" spans="1:8" ht="14">
      <c r="A2936" s="108">
        <v>2016</v>
      </c>
      <c r="B2936" s="108">
        <v>54</v>
      </c>
      <c r="C2936" s="108" t="s">
        <v>139</v>
      </c>
      <c r="D2936" s="108">
        <v>2633.0792966335298</v>
      </c>
      <c r="E2936" s="108">
        <v>1540.33553807165</v>
      </c>
      <c r="F2936" s="108" t="s">
        <v>136</v>
      </c>
      <c r="G2936" s="108"/>
      <c r="H2936" s="108">
        <v>1</v>
      </c>
    </row>
    <row r="2937" spans="1:8" ht="14">
      <c r="A2937" s="108">
        <v>2016</v>
      </c>
      <c r="B2937" s="108">
        <v>59</v>
      </c>
      <c r="C2937" s="108" t="s">
        <v>30</v>
      </c>
      <c r="D2937" s="108">
        <v>0</v>
      </c>
      <c r="E2937" s="108">
        <v>0.72399999999999998</v>
      </c>
      <c r="F2937" s="108" t="s">
        <v>135</v>
      </c>
      <c r="G2937" s="108"/>
      <c r="H2937" s="108">
        <v>1</v>
      </c>
    </row>
    <row r="2938" spans="1:8" ht="14">
      <c r="A2938" s="108">
        <v>2016</v>
      </c>
      <c r="B2938" s="108">
        <v>59</v>
      </c>
      <c r="C2938" s="108" t="s">
        <v>138</v>
      </c>
      <c r="D2938" s="108">
        <v>0</v>
      </c>
      <c r="E2938" s="108">
        <v>0.40799999999999997</v>
      </c>
      <c r="F2938" s="108" t="s">
        <v>135</v>
      </c>
      <c r="G2938" s="108"/>
      <c r="H2938" s="108">
        <v>1</v>
      </c>
    </row>
    <row r="2939" spans="1:8" ht="14">
      <c r="A2939" s="108">
        <v>2016</v>
      </c>
      <c r="B2939" s="108">
        <v>59</v>
      </c>
      <c r="C2939" s="108" t="s">
        <v>139</v>
      </c>
      <c r="D2939" s="108">
        <v>0</v>
      </c>
      <c r="E2939" s="108">
        <v>0.315999999999999</v>
      </c>
      <c r="F2939" s="108" t="s">
        <v>135</v>
      </c>
      <c r="G2939" s="108"/>
      <c r="H2939" s="108">
        <v>1</v>
      </c>
    </row>
    <row r="2940" spans="1:8" ht="14">
      <c r="A2940" s="108">
        <v>2016</v>
      </c>
      <c r="B2940" s="108">
        <v>61</v>
      </c>
      <c r="C2940" s="108" t="s">
        <v>30</v>
      </c>
      <c r="D2940" s="108">
        <v>15372.8693400989</v>
      </c>
      <c r="E2940" s="108">
        <v>1033.87908782872</v>
      </c>
      <c r="F2940" s="108" t="s">
        <v>135</v>
      </c>
      <c r="G2940" s="108"/>
      <c r="H2940" s="108">
        <v>1</v>
      </c>
    </row>
    <row r="2941" spans="1:8" ht="14">
      <c r="A2941" s="108">
        <v>2016</v>
      </c>
      <c r="B2941" s="108">
        <v>61</v>
      </c>
      <c r="C2941" s="108" t="s">
        <v>30</v>
      </c>
      <c r="D2941" s="108">
        <v>26930.344659900999</v>
      </c>
      <c r="E2941" s="108">
        <v>1945.5079121712699</v>
      </c>
      <c r="F2941" s="108" t="s">
        <v>136</v>
      </c>
      <c r="G2941" s="108"/>
      <c r="H2941" s="108">
        <v>1</v>
      </c>
    </row>
    <row r="2942" spans="1:8" ht="14">
      <c r="A2942" s="108">
        <v>2016</v>
      </c>
      <c r="B2942" s="108">
        <v>61</v>
      </c>
      <c r="C2942" s="108" t="s">
        <v>138</v>
      </c>
      <c r="D2942" s="108">
        <v>16306.856361435501</v>
      </c>
      <c r="E2942" s="108">
        <v>976.34456970304996</v>
      </c>
      <c r="F2942" s="108" t="s">
        <v>136</v>
      </c>
      <c r="G2942" s="108"/>
      <c r="H2942" s="108">
        <v>1</v>
      </c>
    </row>
    <row r="2943" spans="1:8" ht="14">
      <c r="A2943" s="108">
        <v>2016</v>
      </c>
      <c r="B2943" s="108">
        <v>61</v>
      </c>
      <c r="C2943" s="108" t="s">
        <v>138</v>
      </c>
      <c r="D2943" s="108">
        <v>7505.2376385644402</v>
      </c>
      <c r="E2943" s="108">
        <v>513.69543029694898</v>
      </c>
      <c r="F2943" s="108" t="s">
        <v>135</v>
      </c>
      <c r="G2943" s="108"/>
      <c r="H2943" s="108">
        <v>1</v>
      </c>
    </row>
    <row r="2944" spans="1:8" ht="14">
      <c r="A2944" s="108">
        <v>2016</v>
      </c>
      <c r="B2944" s="108">
        <v>61</v>
      </c>
      <c r="C2944" s="108" t="s">
        <v>139</v>
      </c>
      <c r="D2944" s="108">
        <v>10623.4882984655</v>
      </c>
      <c r="E2944" s="108">
        <v>969.16334246822703</v>
      </c>
      <c r="F2944" s="108" t="s">
        <v>136</v>
      </c>
      <c r="G2944" s="108"/>
      <c r="H2944" s="108">
        <v>1</v>
      </c>
    </row>
    <row r="2945" spans="1:8" ht="14">
      <c r="A2945" s="108">
        <v>2016</v>
      </c>
      <c r="B2945" s="108">
        <v>61</v>
      </c>
      <c r="C2945" s="108" t="s">
        <v>139</v>
      </c>
      <c r="D2945" s="108">
        <v>7867.6317015344803</v>
      </c>
      <c r="E2945" s="108">
        <v>520.18365753177204</v>
      </c>
      <c r="F2945" s="108" t="s">
        <v>135</v>
      </c>
      <c r="G2945" s="108"/>
      <c r="H2945" s="108">
        <v>1</v>
      </c>
    </row>
    <row r="2946" spans="1:8" ht="14">
      <c r="A2946" s="108">
        <v>2016</v>
      </c>
      <c r="B2946" s="108">
        <v>62</v>
      </c>
      <c r="C2946" s="108" t="s">
        <v>30</v>
      </c>
      <c r="D2946" s="108">
        <v>3.2831662846912399</v>
      </c>
      <c r="E2946" s="108">
        <v>1.67238407789599</v>
      </c>
      <c r="F2946" s="108" t="s">
        <v>135</v>
      </c>
      <c r="G2946" s="108"/>
      <c r="H2946" s="108">
        <v>1</v>
      </c>
    </row>
    <row r="2947" spans="1:8" ht="14">
      <c r="A2947" s="108">
        <v>2016</v>
      </c>
      <c r="B2947" s="108">
        <v>62</v>
      </c>
      <c r="C2947" s="108" t="s">
        <v>30</v>
      </c>
      <c r="D2947" s="108">
        <v>47.097000000000001</v>
      </c>
      <c r="E2947" s="108">
        <v>3.0630000000000002</v>
      </c>
      <c r="F2947" s="108" t="s">
        <v>137</v>
      </c>
      <c r="G2947" s="108"/>
      <c r="H2947" s="108">
        <v>1</v>
      </c>
    </row>
    <row r="2948" spans="1:8" ht="14">
      <c r="A2948" s="108">
        <v>2016</v>
      </c>
      <c r="B2948" s="108">
        <v>62</v>
      </c>
      <c r="C2948" s="108" t="s">
        <v>30</v>
      </c>
      <c r="D2948" s="108">
        <v>131.600833715308</v>
      </c>
      <c r="E2948" s="108">
        <v>27.128615922104</v>
      </c>
      <c r="F2948" s="108" t="s">
        <v>136</v>
      </c>
      <c r="G2948" s="108"/>
      <c r="H2948" s="108">
        <v>1</v>
      </c>
    </row>
    <row r="2949" spans="1:8" ht="14">
      <c r="A2949" s="108">
        <v>2016</v>
      </c>
      <c r="B2949" s="108">
        <v>62</v>
      </c>
      <c r="C2949" s="108" t="s">
        <v>138</v>
      </c>
      <c r="D2949" s="108">
        <v>81.467460755813903</v>
      </c>
      <c r="E2949" s="108">
        <v>13.571798151196599</v>
      </c>
      <c r="F2949" s="108" t="s">
        <v>136</v>
      </c>
      <c r="G2949" s="108"/>
      <c r="H2949" s="108">
        <v>1</v>
      </c>
    </row>
    <row r="2950" spans="1:8" ht="14">
      <c r="A2950" s="108">
        <v>2016</v>
      </c>
      <c r="B2950" s="108">
        <v>62</v>
      </c>
      <c r="C2950" s="108" t="s">
        <v>138</v>
      </c>
      <c r="D2950" s="108">
        <v>1.1475392441860399</v>
      </c>
      <c r="E2950" s="108">
        <v>0.57020184880334301</v>
      </c>
      <c r="F2950" s="108" t="s">
        <v>135</v>
      </c>
      <c r="G2950" s="108"/>
      <c r="H2950" s="108">
        <v>1</v>
      </c>
    </row>
    <row r="2951" spans="1:8" ht="14">
      <c r="A2951" s="108">
        <v>2016</v>
      </c>
      <c r="B2951" s="108">
        <v>62</v>
      </c>
      <c r="C2951" s="108" t="s">
        <v>139</v>
      </c>
      <c r="D2951" s="108">
        <v>50.1333729594948</v>
      </c>
      <c r="E2951" s="108">
        <v>13.556817770907299</v>
      </c>
      <c r="F2951" s="108" t="s">
        <v>136</v>
      </c>
      <c r="G2951" s="108"/>
      <c r="H2951" s="108">
        <v>1</v>
      </c>
    </row>
    <row r="2952" spans="1:8" ht="14">
      <c r="A2952" s="108">
        <v>2016</v>
      </c>
      <c r="B2952" s="108">
        <v>62</v>
      </c>
      <c r="C2952" s="108" t="s">
        <v>139</v>
      </c>
      <c r="D2952" s="108">
        <v>47.097000000000001</v>
      </c>
      <c r="E2952" s="108">
        <v>3.0630000000000002</v>
      </c>
      <c r="F2952" s="108" t="s">
        <v>137</v>
      </c>
      <c r="G2952" s="108"/>
      <c r="H2952" s="108">
        <v>1</v>
      </c>
    </row>
    <row r="2953" spans="1:8" ht="14">
      <c r="A2953" s="108">
        <v>2016</v>
      </c>
      <c r="B2953" s="108">
        <v>62</v>
      </c>
      <c r="C2953" s="108" t="s">
        <v>139</v>
      </c>
      <c r="D2953" s="108">
        <v>2.1356270405051898</v>
      </c>
      <c r="E2953" s="108">
        <v>1.10218222909265</v>
      </c>
      <c r="F2953" s="108" t="s">
        <v>135</v>
      </c>
      <c r="G2953" s="108"/>
      <c r="H2953" s="108">
        <v>1</v>
      </c>
    </row>
    <row r="2954" spans="1:8" ht="14">
      <c r="A2954" s="108">
        <v>2016</v>
      </c>
      <c r="B2954" s="108">
        <v>63</v>
      </c>
      <c r="C2954" s="108" t="s">
        <v>30</v>
      </c>
      <c r="D2954" s="108">
        <v>10245.8944242282</v>
      </c>
      <c r="E2954" s="108">
        <v>566.52384057533698</v>
      </c>
      <c r="F2954" s="108" t="s">
        <v>136</v>
      </c>
      <c r="G2954" s="108"/>
      <c r="H2954" s="108">
        <v>1</v>
      </c>
    </row>
    <row r="2955" spans="1:8" ht="14">
      <c r="A2955" s="108">
        <v>2016</v>
      </c>
      <c r="B2955" s="108">
        <v>63</v>
      </c>
      <c r="C2955" s="108" t="s">
        <v>30</v>
      </c>
      <c r="D2955" s="108">
        <v>31.523575771776699</v>
      </c>
      <c r="E2955" s="108">
        <v>5.8781594246625497</v>
      </c>
      <c r="F2955" s="108" t="s">
        <v>135</v>
      </c>
      <c r="G2955" s="108"/>
      <c r="H2955" s="108">
        <v>1</v>
      </c>
    </row>
    <row r="2956" spans="1:8" ht="14">
      <c r="A2956" s="108">
        <v>2016</v>
      </c>
      <c r="B2956" s="108">
        <v>63</v>
      </c>
      <c r="C2956" s="108" t="s">
        <v>138</v>
      </c>
      <c r="D2956" s="108">
        <v>16.066434067740801</v>
      </c>
      <c r="E2956" s="108">
        <v>2.80929281767955</v>
      </c>
      <c r="F2956" s="108" t="s">
        <v>135</v>
      </c>
      <c r="G2956" s="108"/>
      <c r="H2956" s="108">
        <v>1</v>
      </c>
    </row>
    <row r="2957" spans="1:8" ht="14">
      <c r="A2957" s="108">
        <v>2016</v>
      </c>
      <c r="B2957" s="108">
        <v>63</v>
      </c>
      <c r="C2957" s="108" t="s">
        <v>138</v>
      </c>
      <c r="D2957" s="108">
        <v>7165.9675659322602</v>
      </c>
      <c r="E2957" s="108">
        <v>281.96270718232</v>
      </c>
      <c r="F2957" s="108" t="s">
        <v>136</v>
      </c>
      <c r="G2957" s="108"/>
      <c r="H2957" s="108">
        <v>1</v>
      </c>
    </row>
    <row r="2958" spans="1:8" ht="14">
      <c r="A2958" s="108">
        <v>2016</v>
      </c>
      <c r="B2958" s="108">
        <v>63</v>
      </c>
      <c r="C2958" s="108" t="s">
        <v>139</v>
      </c>
      <c r="D2958" s="108">
        <v>15.4571417040358</v>
      </c>
      <c r="E2958" s="108">
        <v>3.0688666069829802</v>
      </c>
      <c r="F2958" s="108" t="s">
        <v>135</v>
      </c>
      <c r="G2958" s="108"/>
      <c r="H2958" s="108">
        <v>1</v>
      </c>
    </row>
    <row r="2959" spans="1:8" ht="14">
      <c r="A2959" s="108">
        <v>2016</v>
      </c>
      <c r="B2959" s="108">
        <v>63</v>
      </c>
      <c r="C2959" s="108" t="s">
        <v>139</v>
      </c>
      <c r="D2959" s="108">
        <v>3079.9268582959598</v>
      </c>
      <c r="E2959" s="108">
        <v>284.56113339301697</v>
      </c>
      <c r="F2959" s="108" t="s">
        <v>136</v>
      </c>
      <c r="G2959" s="108"/>
      <c r="H2959" s="108">
        <v>1</v>
      </c>
    </row>
    <row r="2960" spans="1:8" ht="14">
      <c r="A2960" s="108">
        <v>2016</v>
      </c>
      <c r="B2960" s="108">
        <v>69</v>
      </c>
      <c r="C2960" s="108" t="s">
        <v>30</v>
      </c>
      <c r="D2960" s="108">
        <v>0</v>
      </c>
      <c r="E2960" s="108">
        <v>0</v>
      </c>
      <c r="F2960" s="108" t="s">
        <v>136</v>
      </c>
      <c r="G2960" s="108"/>
      <c r="H2960" s="108">
        <v>1</v>
      </c>
    </row>
    <row r="2961" spans="1:8" ht="14">
      <c r="A2961" s="108">
        <v>2016</v>
      </c>
      <c r="B2961" s="108">
        <v>69</v>
      </c>
      <c r="C2961" s="108" t="s">
        <v>138</v>
      </c>
      <c r="D2961" s="108">
        <v>0</v>
      </c>
      <c r="E2961" s="108">
        <v>0</v>
      </c>
      <c r="F2961" s="108" t="s">
        <v>136</v>
      </c>
      <c r="G2961" s="108"/>
      <c r="H2961" s="108">
        <v>1</v>
      </c>
    </row>
    <row r="2962" spans="1:8" ht="14">
      <c r="A2962" s="108">
        <v>2016</v>
      </c>
      <c r="B2962" s="108">
        <v>91</v>
      </c>
      <c r="C2962" s="108" t="s">
        <v>30</v>
      </c>
      <c r="D2962" s="108">
        <v>54.140827272727201</v>
      </c>
      <c r="E2962" s="108">
        <v>0</v>
      </c>
      <c r="F2962" s="108" t="s">
        <v>135</v>
      </c>
      <c r="G2962" s="108"/>
      <c r="H2962" s="108">
        <v>1</v>
      </c>
    </row>
    <row r="2963" spans="1:8" ht="14">
      <c r="A2963" s="108">
        <v>2016</v>
      </c>
      <c r="B2963" s="108">
        <v>91</v>
      </c>
      <c r="C2963" s="108" t="s">
        <v>30</v>
      </c>
      <c r="D2963" s="108">
        <v>3.2000000000000001E-2</v>
      </c>
      <c r="E2963" s="108">
        <v>0</v>
      </c>
      <c r="F2963" s="108" t="s">
        <v>137</v>
      </c>
      <c r="G2963" s="108"/>
      <c r="H2963" s="108">
        <v>1</v>
      </c>
    </row>
    <row r="2964" spans="1:8" ht="14">
      <c r="A2964" s="108">
        <v>2016</v>
      </c>
      <c r="B2964" s="108">
        <v>91</v>
      </c>
      <c r="C2964" s="108" t="s">
        <v>30</v>
      </c>
      <c r="D2964" s="108">
        <v>5256.2661727272698</v>
      </c>
      <c r="E2964" s="108">
        <v>0</v>
      </c>
      <c r="F2964" s="108" t="s">
        <v>136</v>
      </c>
      <c r="G2964" s="108"/>
      <c r="H2964" s="108">
        <v>1</v>
      </c>
    </row>
    <row r="2965" spans="1:8" ht="14">
      <c r="A2965" s="108">
        <v>2016</v>
      </c>
      <c r="B2965" s="108">
        <v>91</v>
      </c>
      <c r="C2965" s="108" t="s">
        <v>138</v>
      </c>
      <c r="D2965" s="108">
        <v>42.371000000000002</v>
      </c>
      <c r="E2965" s="108">
        <v>0</v>
      </c>
      <c r="F2965" s="108" t="s">
        <v>135</v>
      </c>
      <c r="G2965" s="108"/>
      <c r="H2965" s="108">
        <v>1</v>
      </c>
    </row>
    <row r="2966" spans="1:8" ht="14">
      <c r="A2966" s="108">
        <v>2016</v>
      </c>
      <c r="B2966" s="108">
        <v>91</v>
      </c>
      <c r="C2966" s="108" t="s">
        <v>138</v>
      </c>
      <c r="D2966" s="108">
        <v>5029.2749999999996</v>
      </c>
      <c r="E2966" s="108">
        <v>0</v>
      </c>
      <c r="F2966" s="108" t="s">
        <v>136</v>
      </c>
      <c r="G2966" s="108"/>
      <c r="H2966" s="108">
        <v>1</v>
      </c>
    </row>
    <row r="2967" spans="1:8" ht="14">
      <c r="A2967" s="108">
        <v>2016</v>
      </c>
      <c r="B2967" s="108">
        <v>91</v>
      </c>
      <c r="C2967" s="108" t="s">
        <v>138</v>
      </c>
      <c r="D2967" s="108">
        <v>3.2000000000000001E-2</v>
      </c>
      <c r="E2967" s="108">
        <v>0</v>
      </c>
      <c r="F2967" s="108" t="s">
        <v>137</v>
      </c>
      <c r="G2967" s="108"/>
      <c r="H2967" s="108">
        <v>1</v>
      </c>
    </row>
    <row r="2968" spans="1:8" ht="14">
      <c r="A2968" s="108">
        <v>2016</v>
      </c>
      <c r="B2968" s="108">
        <v>91</v>
      </c>
      <c r="C2968" s="108" t="s">
        <v>139</v>
      </c>
      <c r="D2968" s="108">
        <v>226.99117272727199</v>
      </c>
      <c r="E2968" s="108">
        <v>0</v>
      </c>
      <c r="F2968" s="108" t="s">
        <v>136</v>
      </c>
      <c r="G2968" s="108"/>
      <c r="H2968" s="108">
        <v>1</v>
      </c>
    </row>
    <row r="2969" spans="1:8" ht="14">
      <c r="A2969" s="108">
        <v>2016</v>
      </c>
      <c r="B2969" s="108">
        <v>91</v>
      </c>
      <c r="C2969" s="108" t="s">
        <v>139</v>
      </c>
      <c r="D2969" s="108">
        <v>11.7698272727272</v>
      </c>
      <c r="E2969" s="108">
        <v>0</v>
      </c>
      <c r="F2969" s="108" t="s">
        <v>135</v>
      </c>
      <c r="G2969" s="108"/>
      <c r="H2969" s="108">
        <v>1</v>
      </c>
    </row>
    <row r="2970" spans="1:8" ht="14">
      <c r="A2970" s="108">
        <v>2016</v>
      </c>
      <c r="B2970" s="108">
        <v>92</v>
      </c>
      <c r="C2970" s="108" t="s">
        <v>30</v>
      </c>
      <c r="D2970" s="108">
        <v>6752.1949006178402</v>
      </c>
      <c r="E2970" s="108">
        <v>0</v>
      </c>
      <c r="F2970" s="108" t="s">
        <v>136</v>
      </c>
      <c r="G2970" s="108"/>
      <c r="H2970" s="108">
        <v>1</v>
      </c>
    </row>
    <row r="2971" spans="1:8" ht="14">
      <c r="A2971" s="108">
        <v>2016</v>
      </c>
      <c r="B2971" s="108">
        <v>92</v>
      </c>
      <c r="C2971" s="108" t="s">
        <v>30</v>
      </c>
      <c r="D2971" s="108">
        <v>7.0000000000000007E-2</v>
      </c>
      <c r="E2971" s="108">
        <v>0</v>
      </c>
      <c r="F2971" s="108" t="s">
        <v>137</v>
      </c>
      <c r="G2971" s="108"/>
      <c r="H2971" s="108">
        <v>1</v>
      </c>
    </row>
    <row r="2972" spans="1:8" ht="14">
      <c r="A2972" s="108">
        <v>2016</v>
      </c>
      <c r="B2972" s="108">
        <v>92</v>
      </c>
      <c r="C2972" s="108" t="s">
        <v>30</v>
      </c>
      <c r="D2972" s="108">
        <v>212.26209938215899</v>
      </c>
      <c r="E2972" s="108">
        <v>0</v>
      </c>
      <c r="F2972" s="108" t="s">
        <v>135</v>
      </c>
      <c r="G2972" s="108"/>
      <c r="H2972" s="108">
        <v>1</v>
      </c>
    </row>
    <row r="2973" spans="1:8" ht="14">
      <c r="A2973" s="108">
        <v>2016</v>
      </c>
      <c r="B2973" s="108">
        <v>92</v>
      </c>
      <c r="C2973" s="108" t="s">
        <v>138</v>
      </c>
      <c r="D2973" s="108">
        <v>107.346668491404</v>
      </c>
      <c r="E2973" s="108">
        <v>0</v>
      </c>
      <c r="F2973" s="108" t="s">
        <v>135</v>
      </c>
      <c r="G2973" s="108"/>
      <c r="H2973" s="108">
        <v>1</v>
      </c>
    </row>
    <row r="2974" spans="1:8" ht="14">
      <c r="A2974" s="108">
        <v>2016</v>
      </c>
      <c r="B2974" s="108">
        <v>92</v>
      </c>
      <c r="C2974" s="108" t="s">
        <v>138</v>
      </c>
      <c r="D2974" s="108">
        <v>5218.7873315085899</v>
      </c>
      <c r="E2974" s="108">
        <v>0</v>
      </c>
      <c r="F2974" s="108" t="s">
        <v>136</v>
      </c>
      <c r="G2974" s="108"/>
      <c r="H2974" s="108">
        <v>1</v>
      </c>
    </row>
    <row r="2975" spans="1:8" ht="14">
      <c r="A2975" s="108">
        <v>2016</v>
      </c>
      <c r="B2975" s="108">
        <v>92</v>
      </c>
      <c r="C2975" s="108" t="s">
        <v>138</v>
      </c>
      <c r="D2975" s="108">
        <v>7.0000000000000007E-2</v>
      </c>
      <c r="E2975" s="108">
        <v>0</v>
      </c>
      <c r="F2975" s="108" t="s">
        <v>137</v>
      </c>
      <c r="G2975" s="108"/>
      <c r="H2975" s="108">
        <v>1</v>
      </c>
    </row>
    <row r="2976" spans="1:8" ht="14">
      <c r="A2976" s="108">
        <v>2016</v>
      </c>
      <c r="B2976" s="108">
        <v>92</v>
      </c>
      <c r="C2976" s="108" t="s">
        <v>139</v>
      </c>
      <c r="D2976" s="108">
        <v>104.915430890755</v>
      </c>
      <c r="E2976" s="108">
        <v>0</v>
      </c>
      <c r="F2976" s="108" t="s">
        <v>135</v>
      </c>
      <c r="G2976" s="108"/>
      <c r="H2976" s="108">
        <v>1</v>
      </c>
    </row>
    <row r="2977" spans="1:8" ht="14">
      <c r="A2977" s="108">
        <v>2016</v>
      </c>
      <c r="B2977" s="108">
        <v>92</v>
      </c>
      <c r="C2977" s="108" t="s">
        <v>139</v>
      </c>
      <c r="D2977" s="108">
        <v>1533.4075691092401</v>
      </c>
      <c r="E2977" s="108">
        <v>0</v>
      </c>
      <c r="F2977" s="108" t="s">
        <v>136</v>
      </c>
      <c r="G2977" s="108"/>
      <c r="H2977" s="108">
        <v>1</v>
      </c>
    </row>
    <row r="2978" spans="1:8" ht="14">
      <c r="A2978" s="108">
        <v>2016</v>
      </c>
      <c r="B2978" s="108">
        <v>99</v>
      </c>
      <c r="C2978" s="108" t="s">
        <v>30</v>
      </c>
      <c r="D2978" s="108">
        <v>3.11506058215784E-2</v>
      </c>
      <c r="E2978" s="108">
        <v>0</v>
      </c>
      <c r="F2978" s="108" t="s">
        <v>137</v>
      </c>
      <c r="G2978" s="108"/>
      <c r="H2978" s="108">
        <v>1</v>
      </c>
    </row>
    <row r="2979" spans="1:8" ht="14">
      <c r="A2979" s="108">
        <v>2016</v>
      </c>
      <c r="B2979" s="108">
        <v>99</v>
      </c>
      <c r="C2979" s="108" t="s">
        <v>30</v>
      </c>
      <c r="D2979" s="108">
        <v>3544.3620389645298</v>
      </c>
      <c r="E2979" s="108">
        <v>0</v>
      </c>
      <c r="F2979" s="108" t="s">
        <v>136</v>
      </c>
      <c r="G2979" s="108"/>
      <c r="H2979" s="108">
        <v>1</v>
      </c>
    </row>
    <row r="2980" spans="1:8" ht="14">
      <c r="A2980" s="108">
        <v>2016</v>
      </c>
      <c r="B2980" s="108">
        <v>99</v>
      </c>
      <c r="C2980" s="108" t="s">
        <v>30</v>
      </c>
      <c r="D2980" s="108">
        <v>1568.10181042964</v>
      </c>
      <c r="E2980" s="108">
        <v>0</v>
      </c>
      <c r="F2980" s="108" t="s">
        <v>135</v>
      </c>
      <c r="G2980" s="108"/>
      <c r="H2980" s="108">
        <v>1</v>
      </c>
    </row>
    <row r="2981" spans="1:8" ht="14">
      <c r="A2981" s="108">
        <v>2016</v>
      </c>
      <c r="B2981" s="108">
        <v>99</v>
      </c>
      <c r="C2981" s="108" t="s">
        <v>138</v>
      </c>
      <c r="D2981" s="108">
        <v>3.11506058215784E-2</v>
      </c>
      <c r="E2981" s="108">
        <v>0</v>
      </c>
      <c r="F2981" s="108" t="s">
        <v>137</v>
      </c>
      <c r="G2981" s="108"/>
      <c r="H2981" s="108">
        <v>1</v>
      </c>
    </row>
    <row r="2982" spans="1:8" ht="14">
      <c r="A2982" s="108">
        <v>2016</v>
      </c>
      <c r="B2982" s="108">
        <v>99</v>
      </c>
      <c r="C2982" s="108" t="s">
        <v>138</v>
      </c>
      <c r="D2982" s="108">
        <v>682.47627887225894</v>
      </c>
      <c r="E2982" s="108">
        <v>0</v>
      </c>
      <c r="F2982" s="108" t="s">
        <v>135</v>
      </c>
      <c r="G2982" s="108"/>
      <c r="H2982" s="108">
        <v>1</v>
      </c>
    </row>
    <row r="2983" spans="1:8" ht="14">
      <c r="A2983" s="108">
        <v>2016</v>
      </c>
      <c r="B2983" s="108">
        <v>99</v>
      </c>
      <c r="C2983" s="108" t="s">
        <v>138</v>
      </c>
      <c r="D2983" s="108">
        <v>2480.77057052191</v>
      </c>
      <c r="E2983" s="108">
        <v>0</v>
      </c>
      <c r="F2983" s="108" t="s">
        <v>136</v>
      </c>
      <c r="G2983" s="108"/>
      <c r="H2983" s="108">
        <v>1</v>
      </c>
    </row>
    <row r="2984" spans="1:8" ht="14">
      <c r="A2984" s="108">
        <v>2016</v>
      </c>
      <c r="B2984" s="108">
        <v>99</v>
      </c>
      <c r="C2984" s="108" t="s">
        <v>139</v>
      </c>
      <c r="D2984" s="108">
        <v>885.62553155738499</v>
      </c>
      <c r="E2984" s="108">
        <v>0</v>
      </c>
      <c r="F2984" s="108" t="s">
        <v>135</v>
      </c>
      <c r="G2984" s="108"/>
      <c r="H2984" s="108">
        <v>1</v>
      </c>
    </row>
    <row r="2985" spans="1:8" ht="14">
      <c r="A2985" s="108">
        <v>2016</v>
      </c>
      <c r="B2985" s="108">
        <v>99</v>
      </c>
      <c r="C2985" s="108" t="s">
        <v>139</v>
      </c>
      <c r="D2985" s="108">
        <v>1063.59146844261</v>
      </c>
      <c r="E2985" s="108">
        <v>0</v>
      </c>
      <c r="F2985" s="108" t="s">
        <v>136</v>
      </c>
      <c r="G2985" s="108"/>
      <c r="H2985" s="108">
        <v>1</v>
      </c>
    </row>
    <row r="2986" spans="1:8" ht="14">
      <c r="A2986" s="108">
        <v>2017</v>
      </c>
      <c r="B2986" s="108">
        <v>11</v>
      </c>
      <c r="C2986" s="108" t="s">
        <v>30</v>
      </c>
      <c r="D2986" s="108">
        <v>1013.92377142558</v>
      </c>
      <c r="E2986" s="108">
        <v>0</v>
      </c>
      <c r="F2986" s="108" t="s">
        <v>135</v>
      </c>
      <c r="G2986" s="108"/>
      <c r="H2986" s="108">
        <v>1</v>
      </c>
    </row>
    <row r="2987" spans="1:8" ht="14">
      <c r="A2987" s="108">
        <v>2017</v>
      </c>
      <c r="B2987" s="108">
        <v>11</v>
      </c>
      <c r="C2987" s="108" t="s">
        <v>30</v>
      </c>
      <c r="D2987" s="108">
        <v>10167.8802285744</v>
      </c>
      <c r="E2987" s="108">
        <v>0</v>
      </c>
      <c r="F2987" s="108" t="s">
        <v>136</v>
      </c>
      <c r="G2987" s="108"/>
      <c r="H2987" s="108">
        <v>1</v>
      </c>
    </row>
    <row r="2988" spans="1:8" ht="14">
      <c r="A2988" s="108">
        <v>2017</v>
      </c>
      <c r="B2988" s="108">
        <v>11</v>
      </c>
      <c r="C2988" s="108" t="s">
        <v>138</v>
      </c>
      <c r="D2988" s="108">
        <v>6659.2214300263004</v>
      </c>
      <c r="E2988" s="108">
        <v>0</v>
      </c>
      <c r="F2988" s="108" t="s">
        <v>136</v>
      </c>
      <c r="G2988" s="108"/>
      <c r="H2988" s="108">
        <v>1</v>
      </c>
    </row>
    <row r="2989" spans="1:8" ht="14">
      <c r="A2989" s="108">
        <v>2017</v>
      </c>
      <c r="B2989" s="108">
        <v>11</v>
      </c>
      <c r="C2989" s="108" t="s">
        <v>138</v>
      </c>
      <c r="D2989" s="108">
        <v>518.64156997369901</v>
      </c>
      <c r="E2989" s="108">
        <v>0</v>
      </c>
      <c r="F2989" s="108" t="s">
        <v>135</v>
      </c>
      <c r="G2989" s="108"/>
      <c r="H2989" s="108">
        <v>1</v>
      </c>
    </row>
    <row r="2990" spans="1:8" ht="14">
      <c r="A2990" s="108">
        <v>2017</v>
      </c>
      <c r="B2990" s="108">
        <v>11</v>
      </c>
      <c r="C2990" s="108" t="s">
        <v>139</v>
      </c>
      <c r="D2990" s="108">
        <v>3508.6587985481101</v>
      </c>
      <c r="E2990" s="108">
        <v>0</v>
      </c>
      <c r="F2990" s="108" t="s">
        <v>136</v>
      </c>
      <c r="G2990" s="108"/>
      <c r="H2990" s="108">
        <v>1</v>
      </c>
    </row>
    <row r="2991" spans="1:8" ht="14">
      <c r="A2991" s="108">
        <v>2017</v>
      </c>
      <c r="B2991" s="108">
        <v>11</v>
      </c>
      <c r="C2991" s="108" t="s">
        <v>139</v>
      </c>
      <c r="D2991" s="108">
        <v>495.28220145188499</v>
      </c>
      <c r="E2991" s="108">
        <v>0</v>
      </c>
      <c r="F2991" s="108" t="s">
        <v>135</v>
      </c>
      <c r="G2991" s="108"/>
      <c r="H2991" s="108">
        <v>1</v>
      </c>
    </row>
    <row r="2992" spans="1:8" ht="14">
      <c r="A2992" s="108">
        <v>2017</v>
      </c>
      <c r="B2992" s="108">
        <v>12</v>
      </c>
      <c r="C2992" s="108" t="s">
        <v>30</v>
      </c>
      <c r="D2992" s="108">
        <v>14810.5701740431</v>
      </c>
      <c r="E2992" s="108">
        <v>0</v>
      </c>
      <c r="F2992" s="108" t="s">
        <v>135</v>
      </c>
      <c r="G2992" s="108"/>
      <c r="H2992" s="108">
        <v>1</v>
      </c>
    </row>
    <row r="2993" spans="1:8" ht="14">
      <c r="A2993" s="108">
        <v>2017</v>
      </c>
      <c r="B2993" s="108">
        <v>12</v>
      </c>
      <c r="C2993" s="108" t="s">
        <v>30</v>
      </c>
      <c r="D2993" s="108">
        <v>71529.686825956902</v>
      </c>
      <c r="E2993" s="108">
        <v>0</v>
      </c>
      <c r="F2993" s="108" t="s">
        <v>136</v>
      </c>
      <c r="G2993" s="108"/>
      <c r="H2993" s="108">
        <v>1</v>
      </c>
    </row>
    <row r="2994" spans="1:8" ht="14">
      <c r="A2994" s="108">
        <v>2017</v>
      </c>
      <c r="B2994" s="108">
        <v>12</v>
      </c>
      <c r="C2994" s="108" t="s">
        <v>138</v>
      </c>
      <c r="D2994" s="108">
        <v>7175.0001706475896</v>
      </c>
      <c r="E2994" s="108">
        <v>0</v>
      </c>
      <c r="F2994" s="108" t="s">
        <v>135</v>
      </c>
      <c r="G2994" s="108"/>
      <c r="H2994" s="108">
        <v>1</v>
      </c>
    </row>
    <row r="2995" spans="1:8" ht="14">
      <c r="A2995" s="108">
        <v>2017</v>
      </c>
      <c r="B2995" s="108">
        <v>12</v>
      </c>
      <c r="C2995" s="108" t="s">
        <v>138</v>
      </c>
      <c r="D2995" s="108">
        <v>41452.2848293524</v>
      </c>
      <c r="E2995" s="108">
        <v>0</v>
      </c>
      <c r="F2995" s="108" t="s">
        <v>136</v>
      </c>
      <c r="G2995" s="108"/>
      <c r="H2995" s="108">
        <v>1</v>
      </c>
    </row>
    <row r="2996" spans="1:8" ht="14">
      <c r="A2996" s="108">
        <v>2017</v>
      </c>
      <c r="B2996" s="108">
        <v>12</v>
      </c>
      <c r="C2996" s="108" t="s">
        <v>139</v>
      </c>
      <c r="D2996" s="108">
        <v>7635.57000339551</v>
      </c>
      <c r="E2996" s="108">
        <v>0</v>
      </c>
      <c r="F2996" s="108" t="s">
        <v>135</v>
      </c>
      <c r="G2996" s="108"/>
      <c r="H2996" s="108">
        <v>1</v>
      </c>
    </row>
    <row r="2997" spans="1:8" ht="14">
      <c r="A2997" s="108">
        <v>2017</v>
      </c>
      <c r="B2997" s="108">
        <v>12</v>
      </c>
      <c r="C2997" s="108" t="s">
        <v>139</v>
      </c>
      <c r="D2997" s="108">
        <v>30077.4019966044</v>
      </c>
      <c r="E2997" s="108">
        <v>0</v>
      </c>
      <c r="F2997" s="108" t="s">
        <v>136</v>
      </c>
      <c r="G2997" s="108"/>
      <c r="H2997" s="108">
        <v>1</v>
      </c>
    </row>
    <row r="2998" spans="1:8" ht="14">
      <c r="A2998" s="108">
        <v>2017</v>
      </c>
      <c r="B2998" s="108">
        <v>13</v>
      </c>
      <c r="C2998" s="108" t="s">
        <v>30</v>
      </c>
      <c r="D2998" s="108">
        <v>64057.722513158798</v>
      </c>
      <c r="E2998" s="108">
        <v>0</v>
      </c>
      <c r="F2998" s="108" t="s">
        <v>136</v>
      </c>
      <c r="G2998" s="108"/>
      <c r="H2998" s="108">
        <v>1</v>
      </c>
    </row>
    <row r="2999" spans="1:8" ht="14">
      <c r="A2999" s="108">
        <v>2017</v>
      </c>
      <c r="B2999" s="108">
        <v>13</v>
      </c>
      <c r="C2999" s="108" t="s">
        <v>30</v>
      </c>
      <c r="D2999" s="108">
        <v>16358.426486841099</v>
      </c>
      <c r="E2999" s="108">
        <v>0</v>
      </c>
      <c r="F2999" s="108" t="s">
        <v>135</v>
      </c>
      <c r="G2999" s="108"/>
      <c r="H2999" s="108">
        <v>1</v>
      </c>
    </row>
    <row r="3000" spans="1:8" ht="14">
      <c r="A3000" s="108">
        <v>2017</v>
      </c>
      <c r="B3000" s="108">
        <v>13</v>
      </c>
      <c r="C3000" s="108" t="s">
        <v>138</v>
      </c>
      <c r="D3000" s="108">
        <v>38768.826401232203</v>
      </c>
      <c r="E3000" s="108">
        <v>0</v>
      </c>
      <c r="F3000" s="108" t="s">
        <v>136</v>
      </c>
      <c r="G3000" s="108"/>
      <c r="H3000" s="108">
        <v>1</v>
      </c>
    </row>
    <row r="3001" spans="1:8" ht="14">
      <c r="A3001" s="108">
        <v>2017</v>
      </c>
      <c r="B3001" s="108">
        <v>13</v>
      </c>
      <c r="C3001" s="108" t="s">
        <v>138</v>
      </c>
      <c r="D3001" s="108">
        <v>7372.71259876773</v>
      </c>
      <c r="E3001" s="108">
        <v>0</v>
      </c>
      <c r="F3001" s="108" t="s">
        <v>135</v>
      </c>
      <c r="G3001" s="108"/>
      <c r="H3001" s="108">
        <v>1</v>
      </c>
    </row>
    <row r="3002" spans="1:8" ht="14">
      <c r="A3002" s="108">
        <v>2017</v>
      </c>
      <c r="B3002" s="108">
        <v>13</v>
      </c>
      <c r="C3002" s="108" t="s">
        <v>139</v>
      </c>
      <c r="D3002" s="108">
        <v>25288.8961119265</v>
      </c>
      <c r="E3002" s="108">
        <v>0</v>
      </c>
      <c r="F3002" s="108" t="s">
        <v>136</v>
      </c>
      <c r="G3002" s="108"/>
      <c r="H3002" s="108">
        <v>1</v>
      </c>
    </row>
    <row r="3003" spans="1:8" ht="14">
      <c r="A3003" s="108">
        <v>2017</v>
      </c>
      <c r="B3003" s="108">
        <v>13</v>
      </c>
      <c r="C3003" s="108" t="s">
        <v>139</v>
      </c>
      <c r="D3003" s="108">
        <v>8985.7138880734092</v>
      </c>
      <c r="E3003" s="108">
        <v>0</v>
      </c>
      <c r="F3003" s="108" t="s">
        <v>135</v>
      </c>
      <c r="G3003" s="108"/>
      <c r="H3003" s="108">
        <v>1</v>
      </c>
    </row>
    <row r="3004" spans="1:8" ht="14">
      <c r="A3004" s="108">
        <v>2017</v>
      </c>
      <c r="B3004" s="108">
        <v>19</v>
      </c>
      <c r="C3004" s="108" t="s">
        <v>30</v>
      </c>
      <c r="D3004" s="108">
        <v>1787.0692576527199</v>
      </c>
      <c r="E3004" s="108">
        <v>0</v>
      </c>
      <c r="F3004" s="108" t="s">
        <v>135</v>
      </c>
      <c r="G3004" s="108"/>
      <c r="H3004" s="108">
        <v>1</v>
      </c>
    </row>
    <row r="3005" spans="1:8" ht="14">
      <c r="A3005" s="108">
        <v>2017</v>
      </c>
      <c r="B3005" s="108">
        <v>19</v>
      </c>
      <c r="C3005" s="108" t="s">
        <v>30</v>
      </c>
      <c r="D3005" s="108">
        <v>9418.7337423472709</v>
      </c>
      <c r="E3005" s="108">
        <v>0</v>
      </c>
      <c r="F3005" s="108" t="s">
        <v>136</v>
      </c>
      <c r="G3005" s="108"/>
      <c r="H3005" s="108">
        <v>1</v>
      </c>
    </row>
    <row r="3006" spans="1:8" ht="14">
      <c r="A3006" s="108">
        <v>2017</v>
      </c>
      <c r="B3006" s="108">
        <v>19</v>
      </c>
      <c r="C3006" s="108" t="s">
        <v>138</v>
      </c>
      <c r="D3006" s="108">
        <v>538.75456278284605</v>
      </c>
      <c r="E3006" s="108">
        <v>0</v>
      </c>
      <c r="F3006" s="108" t="s">
        <v>135</v>
      </c>
      <c r="G3006" s="108"/>
      <c r="H3006" s="108">
        <v>1</v>
      </c>
    </row>
    <row r="3007" spans="1:8" ht="14">
      <c r="A3007" s="108">
        <v>2017</v>
      </c>
      <c r="B3007" s="108">
        <v>19</v>
      </c>
      <c r="C3007" s="108" t="s">
        <v>138</v>
      </c>
      <c r="D3007" s="108">
        <v>5734.6394372171499</v>
      </c>
      <c r="E3007" s="108">
        <v>0</v>
      </c>
      <c r="F3007" s="108" t="s">
        <v>136</v>
      </c>
      <c r="G3007" s="108"/>
      <c r="H3007" s="108">
        <v>1</v>
      </c>
    </row>
    <row r="3008" spans="1:8" ht="14">
      <c r="A3008" s="108">
        <v>2017</v>
      </c>
      <c r="B3008" s="108">
        <v>19</v>
      </c>
      <c r="C3008" s="108" t="s">
        <v>139</v>
      </c>
      <c r="D3008" s="108">
        <v>3684.0943051301201</v>
      </c>
      <c r="E3008" s="108">
        <v>0</v>
      </c>
      <c r="F3008" s="108" t="s">
        <v>136</v>
      </c>
      <c r="G3008" s="108"/>
      <c r="H3008" s="108">
        <v>1</v>
      </c>
    </row>
    <row r="3009" spans="1:8" ht="14">
      <c r="A3009" s="108">
        <v>2017</v>
      </c>
      <c r="B3009" s="108">
        <v>19</v>
      </c>
      <c r="C3009" s="108" t="s">
        <v>139</v>
      </c>
      <c r="D3009" s="108">
        <v>1248.31469486988</v>
      </c>
      <c r="E3009" s="108">
        <v>0</v>
      </c>
      <c r="F3009" s="108" t="s">
        <v>135</v>
      </c>
      <c r="G3009" s="108"/>
      <c r="H3009" s="108">
        <v>1</v>
      </c>
    </row>
    <row r="3010" spans="1:8" ht="14">
      <c r="A3010" s="108">
        <v>2017</v>
      </c>
      <c r="B3010" s="108">
        <v>21</v>
      </c>
      <c r="C3010" s="108" t="s">
        <v>30</v>
      </c>
      <c r="D3010" s="108">
        <v>16164.2519075665</v>
      </c>
      <c r="E3010" s="108">
        <v>0</v>
      </c>
      <c r="F3010" s="108" t="s">
        <v>136</v>
      </c>
      <c r="G3010" s="108"/>
      <c r="H3010" s="108">
        <v>1</v>
      </c>
    </row>
    <row r="3011" spans="1:8" ht="14">
      <c r="A3011" s="108">
        <v>2017</v>
      </c>
      <c r="B3011" s="108">
        <v>21</v>
      </c>
      <c r="C3011" s="108" t="s">
        <v>30</v>
      </c>
      <c r="D3011" s="108">
        <v>888.37909243345803</v>
      </c>
      <c r="E3011" s="108">
        <v>0</v>
      </c>
      <c r="F3011" s="108" t="s">
        <v>135</v>
      </c>
      <c r="G3011" s="108"/>
      <c r="H3011" s="108">
        <v>1</v>
      </c>
    </row>
    <row r="3012" spans="1:8" ht="14">
      <c r="A3012" s="108">
        <v>2017</v>
      </c>
      <c r="B3012" s="108">
        <v>21</v>
      </c>
      <c r="C3012" s="108" t="s">
        <v>138</v>
      </c>
      <c r="D3012" s="108">
        <v>470.31620238431202</v>
      </c>
      <c r="E3012" s="108">
        <v>0</v>
      </c>
      <c r="F3012" s="108" t="s">
        <v>135</v>
      </c>
      <c r="G3012" s="108"/>
      <c r="H3012" s="108">
        <v>1</v>
      </c>
    </row>
    <row r="3013" spans="1:8" ht="14">
      <c r="A3013" s="108">
        <v>2017</v>
      </c>
      <c r="B3013" s="108">
        <v>21</v>
      </c>
      <c r="C3013" s="108" t="s">
        <v>138</v>
      </c>
      <c r="D3013" s="108">
        <v>10268.2787976156</v>
      </c>
      <c r="E3013" s="108">
        <v>0</v>
      </c>
      <c r="F3013" s="108" t="s">
        <v>136</v>
      </c>
      <c r="G3013" s="108"/>
      <c r="H3013" s="108">
        <v>1</v>
      </c>
    </row>
    <row r="3014" spans="1:8" ht="14">
      <c r="A3014" s="108">
        <v>2017</v>
      </c>
      <c r="B3014" s="108">
        <v>21</v>
      </c>
      <c r="C3014" s="108" t="s">
        <v>139</v>
      </c>
      <c r="D3014" s="108">
        <v>418.06289004914498</v>
      </c>
      <c r="E3014" s="108">
        <v>0</v>
      </c>
      <c r="F3014" s="108" t="s">
        <v>135</v>
      </c>
      <c r="G3014" s="108"/>
      <c r="H3014" s="108">
        <v>1</v>
      </c>
    </row>
    <row r="3015" spans="1:8" ht="14">
      <c r="A3015" s="108">
        <v>2017</v>
      </c>
      <c r="B3015" s="108">
        <v>21</v>
      </c>
      <c r="C3015" s="108" t="s">
        <v>139</v>
      </c>
      <c r="D3015" s="108">
        <v>5895.9731099508499</v>
      </c>
      <c r="E3015" s="108">
        <v>0</v>
      </c>
      <c r="F3015" s="108" t="s">
        <v>136</v>
      </c>
      <c r="G3015" s="108"/>
      <c r="H3015" s="108">
        <v>1</v>
      </c>
    </row>
    <row r="3016" spans="1:8" ht="14">
      <c r="A3016" s="108">
        <v>2017</v>
      </c>
      <c r="B3016" s="108">
        <v>22</v>
      </c>
      <c r="C3016" s="108" t="s">
        <v>30</v>
      </c>
      <c r="D3016" s="108">
        <v>9337.5382644675901</v>
      </c>
      <c r="E3016" s="108">
        <v>0</v>
      </c>
      <c r="F3016" s="108" t="s">
        <v>136</v>
      </c>
      <c r="G3016" s="108"/>
      <c r="H3016" s="108">
        <v>1</v>
      </c>
    </row>
    <row r="3017" spans="1:8" ht="14">
      <c r="A3017" s="108">
        <v>2017</v>
      </c>
      <c r="B3017" s="108">
        <v>22</v>
      </c>
      <c r="C3017" s="108" t="s">
        <v>30</v>
      </c>
      <c r="D3017" s="108">
        <v>1209.6137355323999</v>
      </c>
      <c r="E3017" s="108">
        <v>0</v>
      </c>
      <c r="F3017" s="108" t="s">
        <v>135</v>
      </c>
      <c r="G3017" s="108"/>
      <c r="H3017" s="108">
        <v>1</v>
      </c>
    </row>
    <row r="3018" spans="1:8" ht="14">
      <c r="A3018" s="108">
        <v>2017</v>
      </c>
      <c r="B3018" s="108">
        <v>22</v>
      </c>
      <c r="C3018" s="108" t="s">
        <v>138</v>
      </c>
      <c r="D3018" s="108">
        <v>613.36688261004497</v>
      </c>
      <c r="E3018" s="108">
        <v>0</v>
      </c>
      <c r="F3018" s="108" t="s">
        <v>135</v>
      </c>
      <c r="G3018" s="108"/>
      <c r="H3018" s="108">
        <v>1</v>
      </c>
    </row>
    <row r="3019" spans="1:8" ht="14">
      <c r="A3019" s="108">
        <v>2017</v>
      </c>
      <c r="B3019" s="108">
        <v>22</v>
      </c>
      <c r="C3019" s="108" t="s">
        <v>138</v>
      </c>
      <c r="D3019" s="108">
        <v>8348.2761173899507</v>
      </c>
      <c r="E3019" s="108">
        <v>0</v>
      </c>
      <c r="F3019" s="108" t="s">
        <v>136</v>
      </c>
      <c r="G3019" s="108"/>
      <c r="H3019" s="108">
        <v>1</v>
      </c>
    </row>
    <row r="3020" spans="1:8" ht="14">
      <c r="A3020" s="108">
        <v>2017</v>
      </c>
      <c r="B3020" s="108">
        <v>22</v>
      </c>
      <c r="C3020" s="108" t="s">
        <v>139</v>
      </c>
      <c r="D3020" s="108">
        <v>596.24685292235802</v>
      </c>
      <c r="E3020" s="108">
        <v>0</v>
      </c>
      <c r="F3020" s="108" t="s">
        <v>135</v>
      </c>
      <c r="G3020" s="108"/>
      <c r="H3020" s="108">
        <v>1</v>
      </c>
    </row>
    <row r="3021" spans="1:8" ht="14">
      <c r="A3021" s="108">
        <v>2017</v>
      </c>
      <c r="B3021" s="108">
        <v>22</v>
      </c>
      <c r="C3021" s="108" t="s">
        <v>139</v>
      </c>
      <c r="D3021" s="108">
        <v>989.26214707764098</v>
      </c>
      <c r="E3021" s="108">
        <v>0</v>
      </c>
      <c r="F3021" s="108" t="s">
        <v>136</v>
      </c>
      <c r="G3021" s="108"/>
      <c r="H3021" s="108">
        <v>1</v>
      </c>
    </row>
    <row r="3022" spans="1:8" ht="14">
      <c r="A3022" s="108">
        <v>2017</v>
      </c>
      <c r="B3022" s="108">
        <v>23</v>
      </c>
      <c r="C3022" s="108" t="s">
        <v>30</v>
      </c>
      <c r="D3022" s="108">
        <v>10096.631140592501</v>
      </c>
      <c r="E3022" s="108">
        <v>0</v>
      </c>
      <c r="F3022" s="108" t="s">
        <v>136</v>
      </c>
      <c r="G3022" s="108"/>
      <c r="H3022" s="108">
        <v>1</v>
      </c>
    </row>
    <row r="3023" spans="1:8" ht="14">
      <c r="A3023" s="108">
        <v>2017</v>
      </c>
      <c r="B3023" s="108">
        <v>23</v>
      </c>
      <c r="C3023" s="108" t="s">
        <v>30</v>
      </c>
      <c r="D3023" s="108">
        <v>1206.26985940744</v>
      </c>
      <c r="E3023" s="108">
        <v>0</v>
      </c>
      <c r="F3023" s="108" t="s">
        <v>135</v>
      </c>
      <c r="G3023" s="108"/>
      <c r="H3023" s="108">
        <v>1</v>
      </c>
    </row>
    <row r="3024" spans="1:8" ht="14">
      <c r="A3024" s="108">
        <v>2017</v>
      </c>
      <c r="B3024" s="108">
        <v>23</v>
      </c>
      <c r="C3024" s="108" t="s">
        <v>30</v>
      </c>
      <c r="D3024" s="108">
        <v>12.897</v>
      </c>
      <c r="E3024" s="108">
        <v>0</v>
      </c>
      <c r="F3024" s="108" t="s">
        <v>137</v>
      </c>
      <c r="G3024" s="108"/>
      <c r="H3024" s="108">
        <v>1</v>
      </c>
    </row>
    <row r="3025" spans="1:8" ht="14">
      <c r="A3025" s="108">
        <v>2017</v>
      </c>
      <c r="B3025" s="108">
        <v>23</v>
      </c>
      <c r="C3025" s="108" t="s">
        <v>138</v>
      </c>
      <c r="D3025" s="108">
        <v>12.897</v>
      </c>
      <c r="E3025" s="108">
        <v>0</v>
      </c>
      <c r="F3025" s="108" t="s">
        <v>137</v>
      </c>
      <c r="G3025" s="108"/>
      <c r="H3025" s="108">
        <v>1</v>
      </c>
    </row>
    <row r="3026" spans="1:8" ht="14">
      <c r="A3026" s="108">
        <v>2017</v>
      </c>
      <c r="B3026" s="108">
        <v>23</v>
      </c>
      <c r="C3026" s="108" t="s">
        <v>138</v>
      </c>
      <c r="D3026" s="108">
        <v>8170.6554258465803</v>
      </c>
      <c r="E3026" s="108">
        <v>0</v>
      </c>
      <c r="F3026" s="108" t="s">
        <v>136</v>
      </c>
      <c r="G3026" s="108"/>
      <c r="H3026" s="108">
        <v>1</v>
      </c>
    </row>
    <row r="3027" spans="1:8" ht="14">
      <c r="A3027" s="108">
        <v>2017</v>
      </c>
      <c r="B3027" s="108">
        <v>23</v>
      </c>
      <c r="C3027" s="108" t="s">
        <v>138</v>
      </c>
      <c r="D3027" s="108">
        <v>644.92157415341501</v>
      </c>
      <c r="E3027" s="108">
        <v>0</v>
      </c>
      <c r="F3027" s="108" t="s">
        <v>135</v>
      </c>
      <c r="G3027" s="108"/>
      <c r="H3027" s="108">
        <v>1</v>
      </c>
    </row>
    <row r="3028" spans="1:8" ht="14">
      <c r="A3028" s="108">
        <v>2017</v>
      </c>
      <c r="B3028" s="108">
        <v>23</v>
      </c>
      <c r="C3028" s="108" t="s">
        <v>139</v>
      </c>
      <c r="D3028" s="108">
        <v>1925.97571474597</v>
      </c>
      <c r="E3028" s="108">
        <v>0</v>
      </c>
      <c r="F3028" s="108" t="s">
        <v>136</v>
      </c>
      <c r="G3028" s="108"/>
      <c r="H3028" s="108">
        <v>1</v>
      </c>
    </row>
    <row r="3029" spans="1:8" ht="14">
      <c r="A3029" s="108">
        <v>2017</v>
      </c>
      <c r="B3029" s="108">
        <v>23</v>
      </c>
      <c r="C3029" s="108" t="s">
        <v>139</v>
      </c>
      <c r="D3029" s="108">
        <v>561.34828525402395</v>
      </c>
      <c r="E3029" s="108">
        <v>0</v>
      </c>
      <c r="F3029" s="108" t="s">
        <v>135</v>
      </c>
      <c r="G3029" s="108"/>
      <c r="H3029" s="108">
        <v>1</v>
      </c>
    </row>
    <row r="3030" spans="1:8" ht="14">
      <c r="A3030" s="108">
        <v>2017</v>
      </c>
      <c r="B3030" s="108">
        <v>29</v>
      </c>
      <c r="C3030" s="108" t="s">
        <v>30</v>
      </c>
      <c r="D3030" s="108">
        <v>29918.698246167602</v>
      </c>
      <c r="E3030" s="108">
        <v>0</v>
      </c>
      <c r="F3030" s="108" t="s">
        <v>136</v>
      </c>
      <c r="G3030" s="108"/>
      <c r="H3030" s="108">
        <v>1</v>
      </c>
    </row>
    <row r="3031" spans="1:8" ht="14">
      <c r="A3031" s="108">
        <v>2017</v>
      </c>
      <c r="B3031" s="108">
        <v>29</v>
      </c>
      <c r="C3031" s="108" t="s">
        <v>30</v>
      </c>
      <c r="D3031" s="108">
        <v>22864.394753832301</v>
      </c>
      <c r="E3031" s="108">
        <v>0</v>
      </c>
      <c r="F3031" s="108" t="s">
        <v>135</v>
      </c>
      <c r="G3031" s="108"/>
      <c r="H3031" s="108">
        <v>1</v>
      </c>
    </row>
    <row r="3032" spans="1:8" ht="14">
      <c r="A3032" s="108">
        <v>2017</v>
      </c>
      <c r="B3032" s="108">
        <v>29</v>
      </c>
      <c r="C3032" s="108" t="s">
        <v>138</v>
      </c>
      <c r="D3032" s="108">
        <v>22873.000666643198</v>
      </c>
      <c r="E3032" s="108">
        <v>0</v>
      </c>
      <c r="F3032" s="108" t="s">
        <v>136</v>
      </c>
      <c r="G3032" s="108"/>
      <c r="H3032" s="108">
        <v>1</v>
      </c>
    </row>
    <row r="3033" spans="1:8" ht="14">
      <c r="A3033" s="108">
        <v>2017</v>
      </c>
      <c r="B3033" s="108">
        <v>29</v>
      </c>
      <c r="C3033" s="108" t="s">
        <v>138</v>
      </c>
      <c r="D3033" s="108">
        <v>17995.5893333567</v>
      </c>
      <c r="E3033" s="108">
        <v>0</v>
      </c>
      <c r="F3033" s="108" t="s">
        <v>135</v>
      </c>
      <c r="G3033" s="108"/>
      <c r="H3033" s="108">
        <v>1</v>
      </c>
    </row>
    <row r="3034" spans="1:8" ht="14">
      <c r="A3034" s="108">
        <v>2017</v>
      </c>
      <c r="B3034" s="108">
        <v>29</v>
      </c>
      <c r="C3034" s="108" t="s">
        <v>139</v>
      </c>
      <c r="D3034" s="108">
        <v>7045.6975795243798</v>
      </c>
      <c r="E3034" s="108">
        <v>0</v>
      </c>
      <c r="F3034" s="108" t="s">
        <v>136</v>
      </c>
      <c r="G3034" s="108"/>
      <c r="H3034" s="108">
        <v>1</v>
      </c>
    </row>
    <row r="3035" spans="1:8" ht="14">
      <c r="A3035" s="108">
        <v>2017</v>
      </c>
      <c r="B3035" s="108">
        <v>29</v>
      </c>
      <c r="C3035" s="108" t="s">
        <v>139</v>
      </c>
      <c r="D3035" s="108">
        <v>4868.8054204756099</v>
      </c>
      <c r="E3035" s="108">
        <v>0</v>
      </c>
      <c r="F3035" s="108" t="s">
        <v>135</v>
      </c>
      <c r="G3035" s="108"/>
      <c r="H3035" s="108">
        <v>1</v>
      </c>
    </row>
    <row r="3036" spans="1:8" ht="14">
      <c r="A3036" s="108">
        <v>2017</v>
      </c>
      <c r="B3036" s="108">
        <v>31</v>
      </c>
      <c r="C3036" s="108" t="s">
        <v>30</v>
      </c>
      <c r="D3036" s="108">
        <v>865.24869337250004</v>
      </c>
      <c r="E3036" s="108">
        <v>123.468978246944</v>
      </c>
      <c r="F3036" s="108" t="s">
        <v>135</v>
      </c>
      <c r="G3036" s="108">
        <v>123.46897824692699</v>
      </c>
      <c r="H3036" s="108">
        <v>1</v>
      </c>
    </row>
    <row r="3037" spans="1:8" ht="14">
      <c r="A3037" s="108">
        <v>2017</v>
      </c>
      <c r="B3037" s="108">
        <v>31</v>
      </c>
      <c r="C3037" s="108" t="s">
        <v>30</v>
      </c>
      <c r="D3037" s="108">
        <v>18431.568283249599</v>
      </c>
      <c r="E3037" s="108">
        <v>1556.69176651615</v>
      </c>
      <c r="F3037" s="108" t="s">
        <v>136</v>
      </c>
      <c r="G3037" s="108">
        <v>1556.6917665153901</v>
      </c>
      <c r="H3037" s="108">
        <v>1</v>
      </c>
    </row>
    <row r="3038" spans="1:8" ht="14">
      <c r="A3038" s="108">
        <v>2017</v>
      </c>
      <c r="B3038" s="108">
        <v>31</v>
      </c>
      <c r="C3038" s="108" t="s">
        <v>30</v>
      </c>
      <c r="D3038" s="108">
        <v>3.7390233778917099</v>
      </c>
      <c r="E3038" s="108">
        <v>4.4432552368990299</v>
      </c>
      <c r="F3038" s="108" t="s">
        <v>137</v>
      </c>
      <c r="G3038" s="108">
        <v>4.4432552368829903</v>
      </c>
      <c r="H3038" s="108">
        <v>1</v>
      </c>
    </row>
    <row r="3039" spans="1:8" ht="14">
      <c r="A3039" s="108">
        <v>2017</v>
      </c>
      <c r="B3039" s="108">
        <v>31</v>
      </c>
      <c r="C3039" s="108" t="s">
        <v>138</v>
      </c>
      <c r="D3039" s="108">
        <v>336.28476149754601</v>
      </c>
      <c r="E3039" s="108">
        <v>57.920690290518799</v>
      </c>
      <c r="F3039" s="108" t="s">
        <v>135</v>
      </c>
      <c r="G3039" s="108">
        <v>57.920690290495997</v>
      </c>
      <c r="H3039" s="108">
        <v>1</v>
      </c>
    </row>
    <row r="3040" spans="1:8" ht="14">
      <c r="A3040" s="108">
        <v>2017</v>
      </c>
      <c r="B3040" s="108">
        <v>31</v>
      </c>
      <c r="C3040" s="108" t="s">
        <v>138</v>
      </c>
      <c r="D3040" s="108">
        <v>11515.4442151245</v>
      </c>
      <c r="E3040" s="108">
        <v>800.057445494033</v>
      </c>
      <c r="F3040" s="108" t="s">
        <v>136</v>
      </c>
      <c r="G3040" s="108">
        <v>800.05744549275198</v>
      </c>
      <c r="H3040" s="108">
        <v>1</v>
      </c>
    </row>
    <row r="3041" spans="1:8" ht="14">
      <c r="A3041" s="108">
        <v>2017</v>
      </c>
      <c r="B3041" s="108">
        <v>31</v>
      </c>
      <c r="C3041" s="108" t="s">
        <v>138</v>
      </c>
      <c r="D3041" s="108">
        <v>3.5950233778917098</v>
      </c>
      <c r="E3041" s="108">
        <v>0.76686421544794503</v>
      </c>
      <c r="F3041" s="108" t="s">
        <v>137</v>
      </c>
      <c r="G3041" s="108">
        <v>0.76686421543600003</v>
      </c>
      <c r="H3041" s="108">
        <v>1</v>
      </c>
    </row>
    <row r="3042" spans="1:8" ht="14">
      <c r="A3042" s="108">
        <v>2017</v>
      </c>
      <c r="B3042" s="108">
        <v>31</v>
      </c>
      <c r="C3042" s="108" t="s">
        <v>139</v>
      </c>
      <c r="D3042" s="108">
        <v>0.14399999999999999</v>
      </c>
      <c r="E3042" s="108">
        <v>3.6763910214510802</v>
      </c>
      <c r="F3042" s="108" t="s">
        <v>137</v>
      </c>
      <c r="G3042" s="108">
        <v>3.6763910214469999</v>
      </c>
      <c r="H3042" s="108">
        <v>1</v>
      </c>
    </row>
    <row r="3043" spans="1:8" ht="14">
      <c r="A3043" s="108">
        <v>2017</v>
      </c>
      <c r="B3043" s="108">
        <v>31</v>
      </c>
      <c r="C3043" s="108" t="s">
        <v>139</v>
      </c>
      <c r="D3043" s="108">
        <v>6916.1240681250401</v>
      </c>
      <c r="E3043" s="108">
        <v>756.63432102212198</v>
      </c>
      <c r="F3043" s="108" t="s">
        <v>136</v>
      </c>
      <c r="G3043" s="108">
        <v>756.63432102264505</v>
      </c>
      <c r="H3043" s="108">
        <v>1</v>
      </c>
    </row>
    <row r="3044" spans="1:8" ht="14">
      <c r="A3044" s="108">
        <v>2017</v>
      </c>
      <c r="B3044" s="108">
        <v>31</v>
      </c>
      <c r="C3044" s="108" t="s">
        <v>139</v>
      </c>
      <c r="D3044" s="108">
        <v>528.963931874953</v>
      </c>
      <c r="E3044" s="108">
        <v>65.548287956425696</v>
      </c>
      <c r="F3044" s="108" t="s">
        <v>135</v>
      </c>
      <c r="G3044" s="108">
        <v>65.548287956430997</v>
      </c>
      <c r="H3044" s="108">
        <v>1</v>
      </c>
    </row>
    <row r="3045" spans="1:8" ht="14">
      <c r="A3045" s="108">
        <v>2017</v>
      </c>
      <c r="B3045" s="108">
        <v>32</v>
      </c>
      <c r="C3045" s="108" t="s">
        <v>30</v>
      </c>
      <c r="D3045" s="108">
        <v>0.11157043619106501</v>
      </c>
      <c r="E3045" s="108">
        <v>15.340032619378899</v>
      </c>
      <c r="F3045" s="108" t="s">
        <v>137</v>
      </c>
      <c r="G3045" s="108">
        <v>30.680065238757901</v>
      </c>
      <c r="H3045" s="108">
        <v>1</v>
      </c>
    </row>
    <row r="3046" spans="1:8" ht="14">
      <c r="A3046" s="108">
        <v>2017</v>
      </c>
      <c r="B3046" s="108">
        <v>32</v>
      </c>
      <c r="C3046" s="108" t="s">
        <v>30</v>
      </c>
      <c r="D3046" s="108">
        <v>2333.9703419555399</v>
      </c>
      <c r="E3046" s="108">
        <v>193.93623502402201</v>
      </c>
      <c r="F3046" s="108" t="s">
        <v>135</v>
      </c>
      <c r="G3046" s="108">
        <v>387.87247004800201</v>
      </c>
      <c r="H3046" s="108">
        <v>1</v>
      </c>
    </row>
    <row r="3047" spans="1:8" ht="14">
      <c r="A3047" s="108">
        <v>2017</v>
      </c>
      <c r="B3047" s="108">
        <v>32</v>
      </c>
      <c r="C3047" s="108" t="s">
        <v>30</v>
      </c>
      <c r="D3047" s="108">
        <v>35399.837087608197</v>
      </c>
      <c r="E3047" s="108">
        <v>3456.81273235659</v>
      </c>
      <c r="F3047" s="108" t="s">
        <v>136</v>
      </c>
      <c r="G3047" s="108">
        <v>6913.6254647100204</v>
      </c>
      <c r="H3047" s="108">
        <v>1</v>
      </c>
    </row>
    <row r="3048" spans="1:8" ht="14">
      <c r="A3048" s="108">
        <v>2017</v>
      </c>
      <c r="B3048" s="108">
        <v>32</v>
      </c>
      <c r="C3048" s="108" t="s">
        <v>138</v>
      </c>
      <c r="D3048" s="108">
        <v>0.102808339371822</v>
      </c>
      <c r="E3048" s="108">
        <v>0.87943020086300805</v>
      </c>
      <c r="F3048" s="108" t="s">
        <v>137</v>
      </c>
      <c r="G3048" s="108">
        <v>1.75886040172999</v>
      </c>
      <c r="H3048" s="108">
        <v>1</v>
      </c>
    </row>
    <row r="3049" spans="1:8" ht="14">
      <c r="A3049" s="108">
        <v>2017</v>
      </c>
      <c r="B3049" s="108">
        <v>32</v>
      </c>
      <c r="C3049" s="108" t="s">
        <v>138</v>
      </c>
      <c r="D3049" s="108">
        <v>864.275575849402</v>
      </c>
      <c r="E3049" s="108">
        <v>84.543079050147796</v>
      </c>
      <c r="F3049" s="108" t="s">
        <v>135</v>
      </c>
      <c r="G3049" s="108">
        <v>169.086158100262</v>
      </c>
      <c r="H3049" s="108">
        <v>1</v>
      </c>
    </row>
    <row r="3050" spans="1:8" ht="14">
      <c r="A3050" s="108">
        <v>2017</v>
      </c>
      <c r="B3050" s="108">
        <v>32</v>
      </c>
      <c r="C3050" s="108" t="s">
        <v>138</v>
      </c>
      <c r="D3050" s="108">
        <v>21350.951615811198</v>
      </c>
      <c r="E3050" s="108">
        <v>1744.4944907489801</v>
      </c>
      <c r="F3050" s="108" t="s">
        <v>136</v>
      </c>
      <c r="G3050" s="108">
        <v>3488.9889814964499</v>
      </c>
      <c r="H3050" s="108">
        <v>1</v>
      </c>
    </row>
    <row r="3051" spans="1:8" ht="14">
      <c r="A3051" s="108">
        <v>2017</v>
      </c>
      <c r="B3051" s="108">
        <v>32</v>
      </c>
      <c r="C3051" s="108" t="s">
        <v>139</v>
      </c>
      <c r="D3051" s="108">
        <v>8.7620968192431807E-3</v>
      </c>
      <c r="E3051" s="108">
        <v>14.460602418515901</v>
      </c>
      <c r="F3051" s="108" t="s">
        <v>137</v>
      </c>
      <c r="G3051" s="108">
        <v>28.921204837027901</v>
      </c>
      <c r="H3051" s="108">
        <v>1</v>
      </c>
    </row>
    <row r="3052" spans="1:8" ht="14">
      <c r="A3052" s="108">
        <v>2017</v>
      </c>
      <c r="B3052" s="108">
        <v>32</v>
      </c>
      <c r="C3052" s="108" t="s">
        <v>139</v>
      </c>
      <c r="D3052" s="108">
        <v>14048.885471797001</v>
      </c>
      <c r="E3052" s="108">
        <v>1712.3182416075999</v>
      </c>
      <c r="F3052" s="108" t="s">
        <v>136</v>
      </c>
      <c r="G3052" s="108">
        <v>3424.63648321356</v>
      </c>
      <c r="H3052" s="108">
        <v>1</v>
      </c>
    </row>
    <row r="3053" spans="1:8" ht="14">
      <c r="A3053" s="108">
        <v>2017</v>
      </c>
      <c r="B3053" s="108">
        <v>32</v>
      </c>
      <c r="C3053" s="108" t="s">
        <v>139</v>
      </c>
      <c r="D3053" s="108">
        <v>1469.6947661061299</v>
      </c>
      <c r="E3053" s="108">
        <v>109.393155973874</v>
      </c>
      <c r="F3053" s="108" t="s">
        <v>135</v>
      </c>
      <c r="G3053" s="108">
        <v>218.78631194773999</v>
      </c>
      <c r="H3053" s="108">
        <v>1</v>
      </c>
    </row>
    <row r="3054" spans="1:8" ht="14">
      <c r="A3054" s="108">
        <v>2017</v>
      </c>
      <c r="B3054" s="108">
        <v>33</v>
      </c>
      <c r="C3054" s="108" t="s">
        <v>30</v>
      </c>
      <c r="D3054" s="108">
        <v>1177.1533322528201</v>
      </c>
      <c r="E3054" s="108">
        <v>75.739244926532294</v>
      </c>
      <c r="F3054" s="108" t="s">
        <v>136</v>
      </c>
      <c r="G3054" s="108">
        <v>113.608867389767</v>
      </c>
      <c r="H3054" s="108">
        <v>1</v>
      </c>
    </row>
    <row r="3055" spans="1:8" ht="14">
      <c r="A3055" s="108">
        <v>2017</v>
      </c>
      <c r="B3055" s="108">
        <v>33</v>
      </c>
      <c r="C3055" s="108" t="s">
        <v>30</v>
      </c>
      <c r="D3055" s="108">
        <v>0</v>
      </c>
      <c r="E3055" s="108">
        <v>1.91066137179552E-2</v>
      </c>
      <c r="F3055" s="108" t="s">
        <v>137</v>
      </c>
      <c r="G3055" s="108">
        <v>2.8659920576E-2</v>
      </c>
      <c r="H3055" s="108">
        <v>1</v>
      </c>
    </row>
    <row r="3056" spans="1:8" ht="14">
      <c r="A3056" s="108">
        <v>2017</v>
      </c>
      <c r="B3056" s="108">
        <v>33</v>
      </c>
      <c r="C3056" s="108" t="s">
        <v>30</v>
      </c>
      <c r="D3056" s="108">
        <v>16.067667747176699</v>
      </c>
      <c r="E3056" s="108">
        <v>7.3336484597496598</v>
      </c>
      <c r="F3056" s="108" t="s">
        <v>135</v>
      </c>
      <c r="G3056" s="108">
        <v>11.000472689615</v>
      </c>
      <c r="H3056" s="108">
        <v>1</v>
      </c>
    </row>
    <row r="3057" spans="1:8" ht="14">
      <c r="A3057" s="108">
        <v>2017</v>
      </c>
      <c r="B3057" s="108">
        <v>33</v>
      </c>
      <c r="C3057" s="108" t="s">
        <v>138</v>
      </c>
      <c r="D3057" s="108">
        <v>8.6320342255756906</v>
      </c>
      <c r="E3057" s="108">
        <v>4.3216353314454299</v>
      </c>
      <c r="F3057" s="108" t="s">
        <v>135</v>
      </c>
      <c r="G3057" s="108">
        <v>6.4824529971619897</v>
      </c>
      <c r="H3057" s="108">
        <v>1</v>
      </c>
    </row>
    <row r="3058" spans="1:8" ht="14">
      <c r="A3058" s="108">
        <v>2017</v>
      </c>
      <c r="B3058" s="108">
        <v>33</v>
      </c>
      <c r="C3058" s="108" t="s">
        <v>138</v>
      </c>
      <c r="D3058" s="108">
        <v>804.649965774424</v>
      </c>
      <c r="E3058" s="108">
        <v>37.870285021753403</v>
      </c>
      <c r="F3058" s="108" t="s">
        <v>136</v>
      </c>
      <c r="G3058" s="108">
        <v>56.805427532617003</v>
      </c>
      <c r="H3058" s="108">
        <v>1</v>
      </c>
    </row>
    <row r="3059" spans="1:8" ht="14">
      <c r="A3059" s="108">
        <v>2017</v>
      </c>
      <c r="B3059" s="108">
        <v>33</v>
      </c>
      <c r="C3059" s="108" t="s">
        <v>138</v>
      </c>
      <c r="D3059" s="108">
        <v>0</v>
      </c>
      <c r="E3059" s="108">
        <v>1.8079646801079999E-2</v>
      </c>
      <c r="F3059" s="108" t="s">
        <v>137</v>
      </c>
      <c r="G3059" s="108">
        <v>2.71194702009999E-2</v>
      </c>
      <c r="H3059" s="108">
        <v>1</v>
      </c>
    </row>
    <row r="3060" spans="1:8" ht="14">
      <c r="A3060" s="108">
        <v>2017</v>
      </c>
      <c r="B3060" s="108">
        <v>33</v>
      </c>
      <c r="C3060" s="108" t="s">
        <v>139</v>
      </c>
      <c r="D3060" s="108">
        <v>372.50336647839799</v>
      </c>
      <c r="E3060" s="108">
        <v>37.868959904778798</v>
      </c>
      <c r="F3060" s="108" t="s">
        <v>136</v>
      </c>
      <c r="G3060" s="108">
        <v>56.803439857150998</v>
      </c>
      <c r="H3060" s="108">
        <v>1</v>
      </c>
    </row>
    <row r="3061" spans="1:8" ht="14">
      <c r="A3061" s="108">
        <v>2017</v>
      </c>
      <c r="B3061" s="108">
        <v>33</v>
      </c>
      <c r="C3061" s="108" t="s">
        <v>139</v>
      </c>
      <c r="D3061" s="108">
        <v>7.4356335216010496</v>
      </c>
      <c r="E3061" s="108">
        <v>3.01201312830423</v>
      </c>
      <c r="F3061" s="108" t="s">
        <v>135</v>
      </c>
      <c r="G3061" s="108">
        <v>4.5180196924529898</v>
      </c>
      <c r="H3061" s="108">
        <v>1</v>
      </c>
    </row>
    <row r="3062" spans="1:8" ht="14">
      <c r="A3062" s="108">
        <v>2017</v>
      </c>
      <c r="B3062" s="108">
        <v>33</v>
      </c>
      <c r="C3062" s="108" t="s">
        <v>139</v>
      </c>
      <c r="D3062" s="108">
        <v>0</v>
      </c>
      <c r="E3062" s="108">
        <v>1.02696691687517E-3</v>
      </c>
      <c r="F3062" s="108" t="s">
        <v>137</v>
      </c>
      <c r="G3062" s="108">
        <v>1.5404503750000001E-3</v>
      </c>
      <c r="H3062" s="108">
        <v>1</v>
      </c>
    </row>
    <row r="3063" spans="1:8" ht="14">
      <c r="A3063" s="108">
        <v>2017</v>
      </c>
      <c r="B3063" s="108">
        <v>34</v>
      </c>
      <c r="C3063" s="108" t="s">
        <v>30</v>
      </c>
      <c r="D3063" s="110">
        <v>5438.7567692464199</v>
      </c>
      <c r="E3063" s="108">
        <v>459.262951403893</v>
      </c>
      <c r="F3063" s="108" t="s">
        <v>136</v>
      </c>
      <c r="G3063" s="108">
        <v>1033.3416406608301</v>
      </c>
      <c r="H3063" s="108">
        <v>1</v>
      </c>
    </row>
    <row r="3064" spans="1:8" ht="14">
      <c r="A3064" s="108">
        <v>2017</v>
      </c>
      <c r="B3064" s="108">
        <v>34</v>
      </c>
      <c r="C3064" s="108" t="s">
        <v>30</v>
      </c>
      <c r="D3064" s="108">
        <v>364.32915498999398</v>
      </c>
      <c r="E3064" s="108">
        <v>27.9314366327663</v>
      </c>
      <c r="F3064" s="108" t="s">
        <v>135</v>
      </c>
      <c r="G3064" s="108">
        <v>62.845732423744998</v>
      </c>
      <c r="H3064" s="108">
        <v>1</v>
      </c>
    </row>
    <row r="3065" spans="1:8" ht="14">
      <c r="A3065" s="108">
        <v>2017</v>
      </c>
      <c r="B3065" s="108">
        <v>34</v>
      </c>
      <c r="C3065" s="108" t="s">
        <v>30</v>
      </c>
      <c r="D3065" s="110">
        <v>7.5763582233750402E-5</v>
      </c>
      <c r="E3065" s="108">
        <v>0.96761196333851296</v>
      </c>
      <c r="F3065" s="108" t="s">
        <v>137</v>
      </c>
      <c r="G3065" s="108">
        <v>2.1771269175130001</v>
      </c>
      <c r="H3065" s="108">
        <v>1</v>
      </c>
    </row>
    <row r="3066" spans="1:8" ht="14">
      <c r="A3066" s="108">
        <v>2017</v>
      </c>
      <c r="B3066" s="108">
        <v>34</v>
      </c>
      <c r="C3066" s="108" t="s">
        <v>138</v>
      </c>
      <c r="D3066" s="108">
        <v>174.68911322364301</v>
      </c>
      <c r="E3066" s="108">
        <v>12.410142456559999</v>
      </c>
      <c r="F3066" s="108" t="s">
        <v>135</v>
      </c>
      <c r="G3066" s="108">
        <v>27.922820527269</v>
      </c>
      <c r="H3066" s="108">
        <v>1</v>
      </c>
    </row>
    <row r="3067" spans="1:8" ht="14">
      <c r="A3067" s="108">
        <v>2017</v>
      </c>
      <c r="B3067" s="108">
        <v>34</v>
      </c>
      <c r="C3067" s="108" t="s">
        <v>138</v>
      </c>
      <c r="D3067" s="110">
        <v>4189.5888110127698</v>
      </c>
      <c r="E3067" s="108">
        <v>227.81151245497901</v>
      </c>
      <c r="F3067" s="108" t="s">
        <v>136</v>
      </c>
      <c r="G3067" s="108">
        <v>512.57590302495998</v>
      </c>
      <c r="H3067" s="108">
        <v>1</v>
      </c>
    </row>
    <row r="3068" spans="1:8" ht="14">
      <c r="A3068" s="108">
        <v>2017</v>
      </c>
      <c r="B3068" s="108">
        <v>34</v>
      </c>
      <c r="C3068" s="108" t="s">
        <v>138</v>
      </c>
      <c r="D3068" s="110">
        <v>7.5763582233750402E-5</v>
      </c>
      <c r="E3068" s="108">
        <v>6.6345088459952406E-2</v>
      </c>
      <c r="F3068" s="108" t="s">
        <v>137</v>
      </c>
      <c r="G3068" s="108">
        <v>0.149276449033999</v>
      </c>
      <c r="H3068" s="108">
        <v>1</v>
      </c>
    </row>
    <row r="3069" spans="1:8" ht="14">
      <c r="A3069" s="108">
        <v>2017</v>
      </c>
      <c r="B3069" s="108">
        <v>34</v>
      </c>
      <c r="C3069" s="108" t="s">
        <v>139</v>
      </c>
      <c r="D3069" s="108">
        <v>189.640041766351</v>
      </c>
      <c r="E3069" s="108">
        <v>15.5212941762063</v>
      </c>
      <c r="F3069" s="108" t="s">
        <v>135</v>
      </c>
      <c r="G3069" s="108">
        <v>34.922911896475902</v>
      </c>
      <c r="H3069" s="108">
        <v>1</v>
      </c>
    </row>
    <row r="3070" spans="1:8" ht="14">
      <c r="A3070" s="108">
        <v>2017</v>
      </c>
      <c r="B3070" s="108">
        <v>34</v>
      </c>
      <c r="C3070" s="108" t="s">
        <v>139</v>
      </c>
      <c r="D3070" s="108">
        <v>0</v>
      </c>
      <c r="E3070" s="108">
        <v>0.90126687487856105</v>
      </c>
      <c r="F3070" s="108" t="s">
        <v>137</v>
      </c>
      <c r="G3070" s="108">
        <v>2.027850468479</v>
      </c>
      <c r="H3070" s="108">
        <v>1</v>
      </c>
    </row>
    <row r="3071" spans="1:8" ht="14">
      <c r="A3071" s="108">
        <v>2017</v>
      </c>
      <c r="B3071" s="108">
        <v>34</v>
      </c>
      <c r="C3071" s="108" t="s">
        <v>139</v>
      </c>
      <c r="D3071" s="108">
        <v>1249.1679582336401</v>
      </c>
      <c r="E3071" s="108">
        <v>231.45143894891501</v>
      </c>
      <c r="F3071" s="108" t="s">
        <v>136</v>
      </c>
      <c r="G3071" s="108">
        <v>520.76573763587601</v>
      </c>
      <c r="H3071" s="108">
        <v>1</v>
      </c>
    </row>
    <row r="3072" spans="1:8" ht="14">
      <c r="A3072" s="108">
        <v>2017</v>
      </c>
      <c r="B3072" s="108">
        <v>51</v>
      </c>
      <c r="C3072" s="108" t="s">
        <v>30</v>
      </c>
      <c r="D3072" s="108">
        <v>8270.5443735176596</v>
      </c>
      <c r="E3072" s="108">
        <v>736.07858962533203</v>
      </c>
      <c r="F3072" s="108" t="s">
        <v>135</v>
      </c>
      <c r="G3072" s="108"/>
      <c r="H3072" s="108">
        <v>1</v>
      </c>
    </row>
    <row r="3073" spans="1:8" ht="14">
      <c r="A3073" s="108">
        <v>2017</v>
      </c>
      <c r="B3073" s="108">
        <v>51</v>
      </c>
      <c r="C3073" s="108" t="s">
        <v>30</v>
      </c>
      <c r="D3073" s="108">
        <v>38174.516626482298</v>
      </c>
      <c r="E3073" s="108">
        <v>3857.2534103746598</v>
      </c>
      <c r="F3073" s="108" t="s">
        <v>136</v>
      </c>
      <c r="G3073" s="108"/>
      <c r="H3073" s="108">
        <v>1</v>
      </c>
    </row>
    <row r="3074" spans="1:8" ht="14">
      <c r="A3074" s="108">
        <v>2017</v>
      </c>
      <c r="B3074" s="108">
        <v>51</v>
      </c>
      <c r="C3074" s="108" t="s">
        <v>138</v>
      </c>
      <c r="D3074" s="108">
        <v>22077.917466834799</v>
      </c>
      <c r="E3074" s="108">
        <v>1883.2948302862301</v>
      </c>
      <c r="F3074" s="108" t="s">
        <v>136</v>
      </c>
      <c r="G3074" s="108"/>
      <c r="H3074" s="108">
        <v>1</v>
      </c>
    </row>
    <row r="3075" spans="1:8" ht="14">
      <c r="A3075" s="108">
        <v>2017</v>
      </c>
      <c r="B3075" s="108">
        <v>51</v>
      </c>
      <c r="C3075" s="108" t="s">
        <v>138</v>
      </c>
      <c r="D3075" s="108">
        <v>4096.1465331651998</v>
      </c>
      <c r="E3075" s="108">
        <v>368.58016971375997</v>
      </c>
      <c r="F3075" s="108" t="s">
        <v>135</v>
      </c>
      <c r="G3075" s="108"/>
      <c r="H3075" s="108">
        <v>1</v>
      </c>
    </row>
    <row r="3076" spans="1:8" ht="14">
      <c r="A3076" s="108">
        <v>2017</v>
      </c>
      <c r="B3076" s="108">
        <v>51</v>
      </c>
      <c r="C3076" s="108" t="s">
        <v>139</v>
      </c>
      <c r="D3076" s="108">
        <v>4174.3978403524598</v>
      </c>
      <c r="E3076" s="108">
        <v>367.49841991157098</v>
      </c>
      <c r="F3076" s="108" t="s">
        <v>135</v>
      </c>
      <c r="G3076" s="108"/>
      <c r="H3076" s="108">
        <v>1</v>
      </c>
    </row>
    <row r="3077" spans="1:8" ht="14">
      <c r="A3077" s="108">
        <v>2017</v>
      </c>
      <c r="B3077" s="108">
        <v>51</v>
      </c>
      <c r="C3077" s="108" t="s">
        <v>139</v>
      </c>
      <c r="D3077" s="108">
        <v>16096.5991596475</v>
      </c>
      <c r="E3077" s="108">
        <v>1973.9585800884199</v>
      </c>
      <c r="F3077" s="108" t="s">
        <v>136</v>
      </c>
      <c r="G3077" s="108"/>
      <c r="H3077" s="108">
        <v>1</v>
      </c>
    </row>
    <row r="3078" spans="1:8" ht="14">
      <c r="A3078" s="108">
        <v>2017</v>
      </c>
      <c r="B3078" s="108">
        <v>52</v>
      </c>
      <c r="C3078" s="108" t="s">
        <v>30</v>
      </c>
      <c r="D3078" s="108">
        <v>0</v>
      </c>
      <c r="E3078" s="108">
        <v>1355.5487837109599</v>
      </c>
      <c r="F3078" s="108" t="s">
        <v>135</v>
      </c>
      <c r="G3078" s="108"/>
      <c r="H3078" s="108">
        <v>1</v>
      </c>
    </row>
    <row r="3079" spans="1:8" ht="14">
      <c r="A3079" s="108">
        <v>2017</v>
      </c>
      <c r="B3079" s="108">
        <v>52</v>
      </c>
      <c r="C3079" s="108" t="s">
        <v>30</v>
      </c>
      <c r="D3079" s="108">
        <v>0</v>
      </c>
      <c r="E3079" s="108">
        <v>4038.1132162890299</v>
      </c>
      <c r="F3079" s="108" t="s">
        <v>136</v>
      </c>
      <c r="G3079" s="108"/>
      <c r="H3079" s="108">
        <v>1</v>
      </c>
    </row>
    <row r="3080" spans="1:8" ht="14">
      <c r="A3080" s="108">
        <v>2017</v>
      </c>
      <c r="B3080" s="108">
        <v>52</v>
      </c>
      <c r="C3080" s="108" t="s">
        <v>138</v>
      </c>
      <c r="D3080" s="108">
        <v>0</v>
      </c>
      <c r="E3080" s="108">
        <v>1979.0620378230899</v>
      </c>
      <c r="F3080" s="108" t="s">
        <v>136</v>
      </c>
      <c r="G3080" s="108"/>
      <c r="H3080" s="108">
        <v>1</v>
      </c>
    </row>
    <row r="3081" spans="1:8" ht="14">
      <c r="A3081" s="108">
        <v>2017</v>
      </c>
      <c r="B3081" s="108">
        <v>52</v>
      </c>
      <c r="C3081" s="108" t="s">
        <v>138</v>
      </c>
      <c r="D3081" s="108">
        <v>0</v>
      </c>
      <c r="E3081" s="108">
        <v>671.56296217690306</v>
      </c>
      <c r="F3081" s="108" t="s">
        <v>135</v>
      </c>
      <c r="G3081" s="108"/>
      <c r="H3081" s="108">
        <v>1</v>
      </c>
    </row>
    <row r="3082" spans="1:8" ht="14">
      <c r="A3082" s="108">
        <v>2017</v>
      </c>
      <c r="B3082" s="108">
        <v>52</v>
      </c>
      <c r="C3082" s="108" t="s">
        <v>139</v>
      </c>
      <c r="D3082" s="108">
        <v>0</v>
      </c>
      <c r="E3082" s="108">
        <v>683.98582153406005</v>
      </c>
      <c r="F3082" s="108" t="s">
        <v>135</v>
      </c>
      <c r="G3082" s="108"/>
      <c r="H3082" s="108">
        <v>1</v>
      </c>
    </row>
    <row r="3083" spans="1:8" ht="14">
      <c r="A3083" s="108">
        <v>2017</v>
      </c>
      <c r="B3083" s="108">
        <v>52</v>
      </c>
      <c r="C3083" s="108" t="s">
        <v>139</v>
      </c>
      <c r="D3083" s="108">
        <v>0</v>
      </c>
      <c r="E3083" s="108">
        <v>2059.0511784659402</v>
      </c>
      <c r="F3083" s="108" t="s">
        <v>136</v>
      </c>
      <c r="G3083" s="108"/>
      <c r="H3083" s="108">
        <v>1</v>
      </c>
    </row>
    <row r="3084" spans="1:8" ht="14">
      <c r="A3084" s="108">
        <v>2017</v>
      </c>
      <c r="B3084" s="108">
        <v>53</v>
      </c>
      <c r="C3084" s="108" t="s">
        <v>30</v>
      </c>
      <c r="D3084" s="108">
        <v>0</v>
      </c>
      <c r="E3084" s="108">
        <v>105.10899999999999</v>
      </c>
      <c r="F3084" s="108" t="s">
        <v>136</v>
      </c>
      <c r="G3084" s="108"/>
      <c r="H3084" s="108">
        <v>1</v>
      </c>
    </row>
    <row r="3085" spans="1:8" ht="14">
      <c r="A3085" s="108">
        <v>2017</v>
      </c>
      <c r="B3085" s="108">
        <v>53</v>
      </c>
      <c r="C3085" s="108" t="s">
        <v>30</v>
      </c>
      <c r="D3085" s="108">
        <v>0</v>
      </c>
      <c r="E3085" s="108">
        <v>22.013000000000002</v>
      </c>
      <c r="F3085" s="108" t="s">
        <v>135</v>
      </c>
      <c r="G3085" s="108"/>
      <c r="H3085" s="108">
        <v>1</v>
      </c>
    </row>
    <row r="3086" spans="1:8" ht="14">
      <c r="A3086" s="108">
        <v>2017</v>
      </c>
      <c r="B3086" s="108">
        <v>53</v>
      </c>
      <c r="C3086" s="108" t="s">
        <v>138</v>
      </c>
      <c r="D3086" s="108">
        <v>0</v>
      </c>
      <c r="E3086" s="108">
        <v>53.66</v>
      </c>
      <c r="F3086" s="108" t="s">
        <v>136</v>
      </c>
      <c r="G3086" s="108"/>
      <c r="H3086" s="108">
        <v>1</v>
      </c>
    </row>
    <row r="3087" spans="1:8" ht="14">
      <c r="A3087" s="108">
        <v>2017</v>
      </c>
      <c r="B3087" s="108">
        <v>53</v>
      </c>
      <c r="C3087" s="108" t="s">
        <v>138</v>
      </c>
      <c r="D3087" s="108">
        <v>0</v>
      </c>
      <c r="E3087" s="108">
        <v>11.0209999999999</v>
      </c>
      <c r="F3087" s="108" t="s">
        <v>135</v>
      </c>
      <c r="G3087" s="108"/>
      <c r="H3087" s="108">
        <v>1</v>
      </c>
    </row>
    <row r="3088" spans="1:8" ht="14">
      <c r="A3088" s="108">
        <v>2017</v>
      </c>
      <c r="B3088" s="108">
        <v>53</v>
      </c>
      <c r="C3088" s="108" t="s">
        <v>139</v>
      </c>
      <c r="D3088" s="108">
        <v>0</v>
      </c>
      <c r="E3088" s="108">
        <v>10.992000000000001</v>
      </c>
      <c r="F3088" s="108" t="s">
        <v>135</v>
      </c>
      <c r="G3088" s="108"/>
      <c r="H3088" s="108">
        <v>1</v>
      </c>
    </row>
    <row r="3089" spans="1:8" ht="14">
      <c r="A3089" s="108">
        <v>2017</v>
      </c>
      <c r="B3089" s="108">
        <v>53</v>
      </c>
      <c r="C3089" s="108" t="s">
        <v>139</v>
      </c>
      <c r="D3089" s="108">
        <v>0</v>
      </c>
      <c r="E3089" s="108">
        <v>51.448999999999998</v>
      </c>
      <c r="F3089" s="108" t="s">
        <v>136</v>
      </c>
      <c r="G3089" s="108"/>
      <c r="H3089" s="108">
        <v>1</v>
      </c>
    </row>
    <row r="3090" spans="1:8" ht="14">
      <c r="A3090" s="108">
        <v>2017</v>
      </c>
      <c r="B3090" s="108">
        <v>54</v>
      </c>
      <c r="C3090" s="108" t="s">
        <v>30</v>
      </c>
      <c r="D3090" s="108">
        <v>220.883500372393</v>
      </c>
      <c r="E3090" s="108">
        <v>137.24397493253301</v>
      </c>
      <c r="F3090" s="108" t="s">
        <v>135</v>
      </c>
      <c r="G3090" s="108"/>
      <c r="H3090" s="108">
        <v>1</v>
      </c>
    </row>
    <row r="3091" spans="1:8" ht="14">
      <c r="A3091" s="108">
        <v>2017</v>
      </c>
      <c r="B3091" s="108">
        <v>54</v>
      </c>
      <c r="C3091" s="108" t="s">
        <v>30</v>
      </c>
      <c r="D3091" s="108">
        <v>5872.9954996276001</v>
      </c>
      <c r="E3091" s="108">
        <v>4177.8640250674598</v>
      </c>
      <c r="F3091" s="108" t="s">
        <v>136</v>
      </c>
      <c r="G3091" s="108"/>
      <c r="H3091" s="108">
        <v>1</v>
      </c>
    </row>
    <row r="3092" spans="1:8" ht="14">
      <c r="A3092" s="108">
        <v>2017</v>
      </c>
      <c r="B3092" s="108">
        <v>54</v>
      </c>
      <c r="C3092" s="108" t="s">
        <v>138</v>
      </c>
      <c r="D3092" s="108">
        <v>99.107394712128595</v>
      </c>
      <c r="E3092" s="108">
        <v>62.386697081913098</v>
      </c>
      <c r="F3092" s="108" t="s">
        <v>135</v>
      </c>
      <c r="G3092" s="108"/>
      <c r="H3092" s="108">
        <v>1</v>
      </c>
    </row>
    <row r="3093" spans="1:8" ht="14">
      <c r="A3093" s="108">
        <v>2017</v>
      </c>
      <c r="B3093" s="108">
        <v>54</v>
      </c>
      <c r="C3093" s="108" t="s">
        <v>138</v>
      </c>
      <c r="D3093" s="108">
        <v>3723.1496052878701</v>
      </c>
      <c r="E3093" s="108">
        <v>2654.6773029180799</v>
      </c>
      <c r="F3093" s="108" t="s">
        <v>136</v>
      </c>
      <c r="G3093" s="108"/>
      <c r="H3093" s="108">
        <v>1</v>
      </c>
    </row>
    <row r="3094" spans="1:8" ht="14">
      <c r="A3094" s="108">
        <v>2017</v>
      </c>
      <c r="B3094" s="108">
        <v>54</v>
      </c>
      <c r="C3094" s="108" t="s">
        <v>139</v>
      </c>
      <c r="D3094" s="108">
        <v>121.776105660265</v>
      </c>
      <c r="E3094" s="108">
        <v>74.857277850620704</v>
      </c>
      <c r="F3094" s="108" t="s">
        <v>135</v>
      </c>
      <c r="G3094" s="108"/>
      <c r="H3094" s="108">
        <v>1</v>
      </c>
    </row>
    <row r="3095" spans="1:8" ht="14">
      <c r="A3095" s="108">
        <v>2017</v>
      </c>
      <c r="B3095" s="108">
        <v>54</v>
      </c>
      <c r="C3095" s="108" t="s">
        <v>139</v>
      </c>
      <c r="D3095" s="108">
        <v>2149.84589433973</v>
      </c>
      <c r="E3095" s="108">
        <v>1523.1867221493701</v>
      </c>
      <c r="F3095" s="108" t="s">
        <v>136</v>
      </c>
      <c r="G3095" s="108"/>
      <c r="H3095" s="108">
        <v>1</v>
      </c>
    </row>
    <row r="3096" spans="1:8" ht="14">
      <c r="A3096" s="108">
        <v>2017</v>
      </c>
      <c r="B3096" s="108">
        <v>59</v>
      </c>
      <c r="C3096" s="108" t="s">
        <v>30</v>
      </c>
      <c r="D3096" s="108">
        <v>0.378</v>
      </c>
      <c r="E3096" s="108">
        <v>1.7000000000000001E-2</v>
      </c>
      <c r="F3096" s="108" t="s">
        <v>136</v>
      </c>
      <c r="G3096" s="108"/>
      <c r="H3096" s="108">
        <v>1</v>
      </c>
    </row>
    <row r="3097" spans="1:8" ht="14">
      <c r="A3097" s="108">
        <v>2017</v>
      </c>
      <c r="B3097" s="108">
        <v>59</v>
      </c>
      <c r="C3097" s="108" t="s">
        <v>30</v>
      </c>
      <c r="D3097" s="108">
        <v>0</v>
      </c>
      <c r="E3097" s="108">
        <v>0.56200000000000006</v>
      </c>
      <c r="F3097" s="108" t="s">
        <v>135</v>
      </c>
      <c r="G3097" s="108"/>
      <c r="H3097" s="108">
        <v>1</v>
      </c>
    </row>
    <row r="3098" spans="1:8" ht="14">
      <c r="A3098" s="108">
        <v>2017</v>
      </c>
      <c r="B3098" s="108">
        <v>59</v>
      </c>
      <c r="C3098" s="108" t="s">
        <v>138</v>
      </c>
      <c r="D3098" s="108">
        <v>0.378</v>
      </c>
      <c r="E3098" s="108">
        <v>1.7000000000000001E-2</v>
      </c>
      <c r="F3098" s="108" t="s">
        <v>136</v>
      </c>
      <c r="G3098" s="108"/>
      <c r="H3098" s="108">
        <v>1</v>
      </c>
    </row>
    <row r="3099" spans="1:8" ht="14">
      <c r="A3099" s="108">
        <v>2017</v>
      </c>
      <c r="B3099" s="108">
        <v>59</v>
      </c>
      <c r="C3099" s="108" t="s">
        <v>138</v>
      </c>
      <c r="D3099" s="108">
        <v>0</v>
      </c>
      <c r="E3099" s="108">
        <v>0.19600000000000001</v>
      </c>
      <c r="F3099" s="108" t="s">
        <v>135</v>
      </c>
      <c r="G3099" s="108"/>
      <c r="H3099" s="108">
        <v>1</v>
      </c>
    </row>
    <row r="3100" spans="1:8" ht="14">
      <c r="A3100" s="108">
        <v>2017</v>
      </c>
      <c r="B3100" s="108">
        <v>59</v>
      </c>
      <c r="C3100" s="108" t="s">
        <v>139</v>
      </c>
      <c r="D3100" s="108">
        <v>0</v>
      </c>
      <c r="E3100" s="108">
        <v>0.36599999999999999</v>
      </c>
      <c r="F3100" s="108" t="s">
        <v>135</v>
      </c>
      <c r="G3100" s="108"/>
      <c r="H3100" s="108">
        <v>1</v>
      </c>
    </row>
    <row r="3101" spans="1:8" ht="14">
      <c r="A3101" s="108">
        <v>2017</v>
      </c>
      <c r="B3101" s="108">
        <v>61</v>
      </c>
      <c r="C3101" s="108" t="s">
        <v>30</v>
      </c>
      <c r="D3101" s="108">
        <v>15685.8682556077</v>
      </c>
      <c r="E3101" s="108">
        <v>1068.0328779859899</v>
      </c>
      <c r="F3101" s="108" t="s">
        <v>135</v>
      </c>
      <c r="G3101" s="108"/>
      <c r="H3101" s="108">
        <v>1</v>
      </c>
    </row>
    <row r="3102" spans="1:8" ht="14">
      <c r="A3102" s="108">
        <v>2017</v>
      </c>
      <c r="B3102" s="108">
        <v>61</v>
      </c>
      <c r="C3102" s="108" t="s">
        <v>30</v>
      </c>
      <c r="D3102" s="108">
        <v>28262.360744392201</v>
      </c>
      <c r="E3102" s="108">
        <v>2040.4841220139999</v>
      </c>
      <c r="F3102" s="108" t="s">
        <v>136</v>
      </c>
      <c r="G3102" s="108"/>
      <c r="H3102" s="108">
        <v>1</v>
      </c>
    </row>
    <row r="3103" spans="1:8" ht="14">
      <c r="A3103" s="108">
        <v>2017</v>
      </c>
      <c r="B3103" s="108">
        <v>61</v>
      </c>
      <c r="C3103" s="108" t="s">
        <v>138</v>
      </c>
      <c r="D3103" s="108">
        <v>7563.5249947464699</v>
      </c>
      <c r="E3103" s="108">
        <v>526.50457467758304</v>
      </c>
      <c r="F3103" s="108" t="s">
        <v>135</v>
      </c>
      <c r="G3103" s="108"/>
      <c r="H3103" s="108">
        <v>1</v>
      </c>
    </row>
    <row r="3104" spans="1:8" ht="14">
      <c r="A3104" s="108">
        <v>2017</v>
      </c>
      <c r="B3104" s="108">
        <v>61</v>
      </c>
      <c r="C3104" s="108" t="s">
        <v>138</v>
      </c>
      <c r="D3104" s="108">
        <v>17043.939005253502</v>
      </c>
      <c r="E3104" s="108">
        <v>1037.98742532241</v>
      </c>
      <c r="F3104" s="108" t="s">
        <v>136</v>
      </c>
      <c r="G3104" s="108"/>
      <c r="H3104" s="108">
        <v>1</v>
      </c>
    </row>
    <row r="3105" spans="1:8" ht="14">
      <c r="A3105" s="108">
        <v>2017</v>
      </c>
      <c r="B3105" s="108">
        <v>61</v>
      </c>
      <c r="C3105" s="108" t="s">
        <v>139</v>
      </c>
      <c r="D3105" s="108">
        <v>11218.421739138699</v>
      </c>
      <c r="E3105" s="108">
        <v>1002.49669669158</v>
      </c>
      <c r="F3105" s="108" t="s">
        <v>136</v>
      </c>
      <c r="G3105" s="108"/>
      <c r="H3105" s="108">
        <v>1</v>
      </c>
    </row>
    <row r="3106" spans="1:8" ht="14">
      <c r="A3106" s="108">
        <v>2017</v>
      </c>
      <c r="B3106" s="108">
        <v>61</v>
      </c>
      <c r="C3106" s="108" t="s">
        <v>139</v>
      </c>
      <c r="D3106" s="108">
        <v>8122.3432608612302</v>
      </c>
      <c r="E3106" s="108">
        <v>541.528303308413</v>
      </c>
      <c r="F3106" s="108" t="s">
        <v>135</v>
      </c>
      <c r="G3106" s="108"/>
      <c r="H3106" s="108">
        <v>1</v>
      </c>
    </row>
    <row r="3107" spans="1:8" ht="14">
      <c r="A3107" s="108">
        <v>2017</v>
      </c>
      <c r="B3107" s="108">
        <v>62</v>
      </c>
      <c r="C3107" s="108" t="s">
        <v>30</v>
      </c>
      <c r="D3107" s="108">
        <v>6.7617650661976398</v>
      </c>
      <c r="E3107" s="108">
        <v>2.5841873057262199</v>
      </c>
      <c r="F3107" s="108" t="s">
        <v>135</v>
      </c>
      <c r="G3107" s="108"/>
      <c r="H3107" s="108">
        <v>1</v>
      </c>
    </row>
    <row r="3108" spans="1:8" ht="14">
      <c r="A3108" s="108">
        <v>2017</v>
      </c>
      <c r="B3108" s="108">
        <v>62</v>
      </c>
      <c r="C3108" s="108" t="s">
        <v>30</v>
      </c>
      <c r="D3108" s="108">
        <v>1.579</v>
      </c>
      <c r="E3108" s="108">
        <v>0.627</v>
      </c>
      <c r="F3108" s="108" t="s">
        <v>137</v>
      </c>
      <c r="G3108" s="108"/>
      <c r="H3108" s="108">
        <v>1</v>
      </c>
    </row>
    <row r="3109" spans="1:8" ht="14">
      <c r="A3109" s="108">
        <v>2017</v>
      </c>
      <c r="B3109" s="108">
        <v>62</v>
      </c>
      <c r="C3109" s="108" t="s">
        <v>30</v>
      </c>
      <c r="D3109" s="108">
        <v>129.19723493380201</v>
      </c>
      <c r="E3109" s="108">
        <v>31.1418126942737</v>
      </c>
      <c r="F3109" s="108" t="s">
        <v>136</v>
      </c>
      <c r="G3109" s="108"/>
      <c r="H3109" s="108">
        <v>1</v>
      </c>
    </row>
    <row r="3110" spans="1:8" ht="14">
      <c r="A3110" s="108">
        <v>2017</v>
      </c>
      <c r="B3110" s="108">
        <v>62</v>
      </c>
      <c r="C3110" s="108" t="s">
        <v>138</v>
      </c>
      <c r="D3110" s="108">
        <v>2.9244046997389002</v>
      </c>
      <c r="E3110" s="108">
        <v>1.0157794448612101</v>
      </c>
      <c r="F3110" s="108" t="s">
        <v>135</v>
      </c>
      <c r="G3110" s="108"/>
      <c r="H3110" s="108">
        <v>1</v>
      </c>
    </row>
    <row r="3111" spans="1:8" ht="14">
      <c r="A3111" s="108">
        <v>2017</v>
      </c>
      <c r="B3111" s="108">
        <v>62</v>
      </c>
      <c r="C3111" s="108" t="s">
        <v>138</v>
      </c>
      <c r="D3111" s="108">
        <v>65.899595300261097</v>
      </c>
      <c r="E3111" s="108">
        <v>13.435220555138701</v>
      </c>
      <c r="F3111" s="108" t="s">
        <v>136</v>
      </c>
      <c r="G3111" s="108"/>
      <c r="H3111" s="108">
        <v>1</v>
      </c>
    </row>
    <row r="3112" spans="1:8" ht="14">
      <c r="A3112" s="108">
        <v>2017</v>
      </c>
      <c r="B3112" s="108">
        <v>62</v>
      </c>
      <c r="C3112" s="108" t="s">
        <v>138</v>
      </c>
      <c r="D3112" s="108">
        <v>1.488</v>
      </c>
      <c r="E3112" s="108">
        <v>0.59299999999999997</v>
      </c>
      <c r="F3112" s="108" t="s">
        <v>137</v>
      </c>
      <c r="G3112" s="108"/>
      <c r="H3112" s="108">
        <v>1</v>
      </c>
    </row>
    <row r="3113" spans="1:8" ht="14">
      <c r="A3113" s="108">
        <v>2017</v>
      </c>
      <c r="B3113" s="108">
        <v>62</v>
      </c>
      <c r="C3113" s="108" t="s">
        <v>139</v>
      </c>
      <c r="D3113" s="108">
        <v>63.297639633541202</v>
      </c>
      <c r="E3113" s="108">
        <v>17.706592139134901</v>
      </c>
      <c r="F3113" s="108" t="s">
        <v>136</v>
      </c>
      <c r="G3113" s="108"/>
      <c r="H3113" s="108">
        <v>1</v>
      </c>
    </row>
    <row r="3114" spans="1:8" ht="14">
      <c r="A3114" s="108">
        <v>2017</v>
      </c>
      <c r="B3114" s="108">
        <v>62</v>
      </c>
      <c r="C3114" s="108" t="s">
        <v>139</v>
      </c>
      <c r="D3114" s="108">
        <v>9.0999999999999998E-2</v>
      </c>
      <c r="E3114" s="108">
        <v>3.4000000000000002E-2</v>
      </c>
      <c r="F3114" s="108" t="s">
        <v>137</v>
      </c>
      <c r="G3114" s="108"/>
      <c r="H3114" s="108">
        <v>1</v>
      </c>
    </row>
    <row r="3115" spans="1:8" ht="14">
      <c r="A3115" s="108">
        <v>2017</v>
      </c>
      <c r="B3115" s="108">
        <v>62</v>
      </c>
      <c r="C3115" s="108" t="s">
        <v>139</v>
      </c>
      <c r="D3115" s="108">
        <v>3.8373603664587299</v>
      </c>
      <c r="E3115" s="108">
        <v>1.5684078608650101</v>
      </c>
      <c r="F3115" s="108" t="s">
        <v>135</v>
      </c>
      <c r="G3115" s="108"/>
      <c r="H3115" s="108">
        <v>1</v>
      </c>
    </row>
    <row r="3116" spans="1:8" ht="14">
      <c r="A3116" s="108">
        <v>2017</v>
      </c>
      <c r="B3116" s="108">
        <v>63</v>
      </c>
      <c r="C3116" s="108" t="s">
        <v>30</v>
      </c>
      <c r="D3116" s="108">
        <v>30.689995847988701</v>
      </c>
      <c r="E3116" s="108">
        <v>7.8306719581375699</v>
      </c>
      <c r="F3116" s="108" t="s">
        <v>135</v>
      </c>
      <c r="G3116" s="108"/>
      <c r="H3116" s="108">
        <v>1</v>
      </c>
    </row>
    <row r="3117" spans="1:8" ht="14">
      <c r="A3117" s="108">
        <v>2017</v>
      </c>
      <c r="B3117" s="108">
        <v>63</v>
      </c>
      <c r="C3117" s="108" t="s">
        <v>30</v>
      </c>
      <c r="D3117" s="108">
        <v>10381.890004151999</v>
      </c>
      <c r="E3117" s="108">
        <v>579.53032804186205</v>
      </c>
      <c r="F3117" s="108" t="s">
        <v>136</v>
      </c>
      <c r="G3117" s="108"/>
      <c r="H3117" s="108">
        <v>1</v>
      </c>
    </row>
    <row r="3118" spans="1:8" ht="14">
      <c r="A3118" s="108">
        <v>2017</v>
      </c>
      <c r="B3118" s="108">
        <v>63</v>
      </c>
      <c r="C3118" s="108" t="s">
        <v>138</v>
      </c>
      <c r="D3118" s="108">
        <v>16.8705728392647</v>
      </c>
      <c r="E3118" s="108">
        <v>3.8671956601691799</v>
      </c>
      <c r="F3118" s="108" t="s">
        <v>135</v>
      </c>
      <c r="G3118" s="108"/>
      <c r="H3118" s="108">
        <v>1</v>
      </c>
    </row>
    <row r="3119" spans="1:8" ht="14">
      <c r="A3119" s="108">
        <v>2017</v>
      </c>
      <c r="B3119" s="108">
        <v>63</v>
      </c>
      <c r="C3119" s="108" t="s">
        <v>138</v>
      </c>
      <c r="D3119" s="108">
        <v>7239.33342716073</v>
      </c>
      <c r="E3119" s="108">
        <v>293.97180433982999</v>
      </c>
      <c r="F3119" s="108" t="s">
        <v>136</v>
      </c>
      <c r="G3119" s="108"/>
      <c r="H3119" s="108">
        <v>1</v>
      </c>
    </row>
    <row r="3120" spans="1:8" ht="14">
      <c r="A3120" s="108">
        <v>2017</v>
      </c>
      <c r="B3120" s="108">
        <v>63</v>
      </c>
      <c r="C3120" s="108" t="s">
        <v>139</v>
      </c>
      <c r="D3120" s="108">
        <v>3142.55657699127</v>
      </c>
      <c r="E3120" s="108">
        <v>285.55852370203098</v>
      </c>
      <c r="F3120" s="108" t="s">
        <v>136</v>
      </c>
      <c r="G3120" s="108"/>
      <c r="H3120" s="108">
        <v>1</v>
      </c>
    </row>
    <row r="3121" spans="1:8" ht="14">
      <c r="A3121" s="108">
        <v>2017</v>
      </c>
      <c r="B3121" s="108">
        <v>63</v>
      </c>
      <c r="C3121" s="108" t="s">
        <v>139</v>
      </c>
      <c r="D3121" s="108">
        <v>13.819423008724</v>
      </c>
      <c r="E3121" s="108">
        <v>3.96347629796839</v>
      </c>
      <c r="F3121" s="108" t="s">
        <v>135</v>
      </c>
      <c r="G3121" s="108"/>
      <c r="H3121" s="108">
        <v>1</v>
      </c>
    </row>
    <row r="3122" spans="1:8" ht="14">
      <c r="A3122" s="108">
        <v>2017</v>
      </c>
      <c r="B3122" s="108">
        <v>91</v>
      </c>
      <c r="C3122" s="108" t="s">
        <v>30</v>
      </c>
      <c r="D3122" s="108">
        <v>41.453576412199702</v>
      </c>
      <c r="E3122" s="108">
        <v>0</v>
      </c>
      <c r="F3122" s="108" t="s">
        <v>135</v>
      </c>
      <c r="G3122" s="108"/>
      <c r="H3122" s="108">
        <v>1</v>
      </c>
    </row>
    <row r="3123" spans="1:8" ht="14">
      <c r="A3123" s="108">
        <v>2017</v>
      </c>
      <c r="B3123" s="108">
        <v>91</v>
      </c>
      <c r="C3123" s="108" t="s">
        <v>30</v>
      </c>
      <c r="D3123" s="108">
        <v>5220.9474235877997</v>
      </c>
      <c r="E3123" s="108">
        <v>0</v>
      </c>
      <c r="F3123" s="108" t="s">
        <v>136</v>
      </c>
      <c r="G3123" s="108"/>
      <c r="H3123" s="108">
        <v>1</v>
      </c>
    </row>
    <row r="3124" spans="1:8" ht="14">
      <c r="A3124" s="108">
        <v>2017</v>
      </c>
      <c r="B3124" s="108">
        <v>91</v>
      </c>
      <c r="C3124" s="108" t="s">
        <v>138</v>
      </c>
      <c r="D3124" s="108">
        <v>4995.9994235878003</v>
      </c>
      <c r="E3124" s="108">
        <v>0</v>
      </c>
      <c r="F3124" s="108" t="s">
        <v>136</v>
      </c>
      <c r="G3124" s="108"/>
      <c r="H3124" s="108">
        <v>1</v>
      </c>
    </row>
    <row r="3125" spans="1:8" ht="14">
      <c r="A3125" s="108">
        <v>2017</v>
      </c>
      <c r="B3125" s="108">
        <v>91</v>
      </c>
      <c r="C3125" s="108" t="s">
        <v>138</v>
      </c>
      <c r="D3125" s="108">
        <v>41.012576412199699</v>
      </c>
      <c r="E3125" s="108">
        <v>0</v>
      </c>
      <c r="F3125" s="108" t="s">
        <v>135</v>
      </c>
      <c r="G3125" s="108"/>
      <c r="H3125" s="108">
        <v>1</v>
      </c>
    </row>
    <row r="3126" spans="1:8" ht="14">
      <c r="A3126" s="108">
        <v>2017</v>
      </c>
      <c r="B3126" s="108">
        <v>91</v>
      </c>
      <c r="C3126" s="108" t="s">
        <v>139</v>
      </c>
      <c r="D3126" s="108">
        <v>0.441</v>
      </c>
      <c r="E3126" s="108">
        <v>0</v>
      </c>
      <c r="F3126" s="108" t="s">
        <v>135</v>
      </c>
      <c r="G3126" s="108"/>
      <c r="H3126" s="108">
        <v>1</v>
      </c>
    </row>
    <row r="3127" spans="1:8" ht="14">
      <c r="A3127" s="108">
        <v>2017</v>
      </c>
      <c r="B3127" s="108">
        <v>91</v>
      </c>
      <c r="C3127" s="108" t="s">
        <v>139</v>
      </c>
      <c r="D3127" s="108">
        <v>224.94800000000001</v>
      </c>
      <c r="E3127" s="108">
        <v>0</v>
      </c>
      <c r="F3127" s="108" t="s">
        <v>136</v>
      </c>
      <c r="G3127" s="108"/>
      <c r="H3127" s="108">
        <v>1</v>
      </c>
    </row>
    <row r="3128" spans="1:8" ht="14">
      <c r="A3128" s="108">
        <v>2017</v>
      </c>
      <c r="B3128" s="108">
        <v>92</v>
      </c>
      <c r="C3128" s="108" t="s">
        <v>30</v>
      </c>
      <c r="D3128" s="108">
        <v>7071.0280265561296</v>
      </c>
      <c r="E3128" s="108">
        <v>0</v>
      </c>
      <c r="F3128" s="108" t="s">
        <v>136</v>
      </c>
      <c r="G3128" s="108"/>
      <c r="H3128" s="108">
        <v>1</v>
      </c>
    </row>
    <row r="3129" spans="1:8" ht="14">
      <c r="A3129" s="108">
        <v>2017</v>
      </c>
      <c r="B3129" s="108">
        <v>92</v>
      </c>
      <c r="C3129" s="108" t="s">
        <v>30</v>
      </c>
      <c r="D3129" s="108">
        <v>187.50997344386801</v>
      </c>
      <c r="E3129" s="108">
        <v>0</v>
      </c>
      <c r="F3129" s="108" t="s">
        <v>135</v>
      </c>
      <c r="G3129" s="108"/>
      <c r="H3129" s="108">
        <v>1</v>
      </c>
    </row>
    <row r="3130" spans="1:8" ht="14">
      <c r="A3130" s="108">
        <v>2017</v>
      </c>
      <c r="B3130" s="108">
        <v>92</v>
      </c>
      <c r="C3130" s="108" t="s">
        <v>138</v>
      </c>
      <c r="D3130" s="108">
        <v>112.67471094748799</v>
      </c>
      <c r="E3130" s="108">
        <v>0</v>
      </c>
      <c r="F3130" s="108" t="s">
        <v>135</v>
      </c>
      <c r="G3130" s="108"/>
      <c r="H3130" s="108">
        <v>1</v>
      </c>
    </row>
    <row r="3131" spans="1:8" ht="14">
      <c r="A3131" s="108">
        <v>2017</v>
      </c>
      <c r="B3131" s="108">
        <v>92</v>
      </c>
      <c r="C3131" s="108" t="s">
        <v>138</v>
      </c>
      <c r="D3131" s="108">
        <v>5572.7442890525099</v>
      </c>
      <c r="E3131" s="108">
        <v>0</v>
      </c>
      <c r="F3131" s="108" t="s">
        <v>136</v>
      </c>
      <c r="G3131" s="108"/>
      <c r="H3131" s="108">
        <v>1</v>
      </c>
    </row>
    <row r="3132" spans="1:8" ht="14">
      <c r="A3132" s="108">
        <v>2017</v>
      </c>
      <c r="B3132" s="108">
        <v>92</v>
      </c>
      <c r="C3132" s="108" t="s">
        <v>139</v>
      </c>
      <c r="D3132" s="108">
        <v>74.835262496380494</v>
      </c>
      <c r="E3132" s="108">
        <v>0</v>
      </c>
      <c r="F3132" s="108" t="s">
        <v>135</v>
      </c>
      <c r="G3132" s="108"/>
      <c r="H3132" s="108">
        <v>1</v>
      </c>
    </row>
    <row r="3133" spans="1:8" ht="14">
      <c r="A3133" s="108">
        <v>2017</v>
      </c>
      <c r="B3133" s="108">
        <v>92</v>
      </c>
      <c r="C3133" s="108" t="s">
        <v>139</v>
      </c>
      <c r="D3133" s="108">
        <v>1498.2837375036199</v>
      </c>
      <c r="E3133" s="108">
        <v>0</v>
      </c>
      <c r="F3133" s="108" t="s">
        <v>136</v>
      </c>
      <c r="G3133" s="108"/>
      <c r="H3133" s="108">
        <v>1</v>
      </c>
    </row>
    <row r="3134" spans="1:8" ht="14">
      <c r="A3134" s="108">
        <v>2017</v>
      </c>
      <c r="B3134" s="108">
        <v>99</v>
      </c>
      <c r="C3134" s="108" t="s">
        <v>30</v>
      </c>
      <c r="D3134" s="108">
        <v>3.2659317020704401E-3</v>
      </c>
      <c r="E3134" s="108">
        <v>0</v>
      </c>
      <c r="F3134" s="108" t="s">
        <v>137</v>
      </c>
      <c r="G3134" s="108"/>
      <c r="H3134" s="108">
        <v>1</v>
      </c>
    </row>
    <row r="3135" spans="1:8" ht="14">
      <c r="A3135" s="108">
        <v>2017</v>
      </c>
      <c r="B3135" s="108">
        <v>99</v>
      </c>
      <c r="C3135" s="108" t="s">
        <v>30</v>
      </c>
      <c r="D3135" s="108">
        <v>2368.6438896100999</v>
      </c>
      <c r="E3135" s="108">
        <v>0</v>
      </c>
      <c r="F3135" s="108" t="s">
        <v>135</v>
      </c>
      <c r="G3135" s="108"/>
      <c r="H3135" s="108">
        <v>1</v>
      </c>
    </row>
    <row r="3136" spans="1:8" ht="14">
      <c r="A3136" s="108">
        <v>2017</v>
      </c>
      <c r="B3136" s="108">
        <v>99</v>
      </c>
      <c r="C3136" s="108" t="s">
        <v>30</v>
      </c>
      <c r="D3136" s="108">
        <v>3881.9908444581802</v>
      </c>
      <c r="E3136" s="108">
        <v>0</v>
      </c>
      <c r="F3136" s="108" t="s">
        <v>136</v>
      </c>
      <c r="G3136" s="108"/>
      <c r="H3136" s="108">
        <v>1</v>
      </c>
    </row>
    <row r="3137" spans="1:8" ht="14">
      <c r="A3137" s="108">
        <v>2017</v>
      </c>
      <c r="B3137" s="108">
        <v>99</v>
      </c>
      <c r="C3137" s="108" t="s">
        <v>138</v>
      </c>
      <c r="D3137" s="108">
        <v>3.2659317020704401E-3</v>
      </c>
      <c r="E3137" s="108">
        <v>0</v>
      </c>
      <c r="F3137" s="108" t="s">
        <v>137</v>
      </c>
      <c r="G3137" s="108"/>
      <c r="H3137" s="108">
        <v>1</v>
      </c>
    </row>
    <row r="3138" spans="1:8" ht="14">
      <c r="A3138" s="108">
        <v>2017</v>
      </c>
      <c r="B3138" s="108">
        <v>99</v>
      </c>
      <c r="C3138" s="108" t="s">
        <v>138</v>
      </c>
      <c r="D3138" s="108">
        <v>888.27804237815803</v>
      </c>
      <c r="E3138" s="108">
        <v>0</v>
      </c>
      <c r="F3138" s="108" t="s">
        <v>135</v>
      </c>
      <c r="G3138" s="108"/>
      <c r="H3138" s="108">
        <v>1</v>
      </c>
    </row>
    <row r="3139" spans="1:8" ht="14">
      <c r="A3139" s="108">
        <v>2017</v>
      </c>
      <c r="B3139" s="108">
        <v>99</v>
      </c>
      <c r="C3139" s="108" t="s">
        <v>138</v>
      </c>
      <c r="D3139" s="108">
        <v>2630.9826916901302</v>
      </c>
      <c r="E3139" s="108">
        <v>0</v>
      </c>
      <c r="F3139" s="108" t="s">
        <v>136</v>
      </c>
      <c r="G3139" s="108"/>
      <c r="H3139" s="108">
        <v>1</v>
      </c>
    </row>
    <row r="3140" spans="1:8" ht="14">
      <c r="A3140" s="108">
        <v>2017</v>
      </c>
      <c r="B3140" s="108">
        <v>99</v>
      </c>
      <c r="C3140" s="108" t="s">
        <v>139</v>
      </c>
      <c r="D3140" s="108">
        <v>1480.3658472319501</v>
      </c>
      <c r="E3140" s="108">
        <v>0</v>
      </c>
      <c r="F3140" s="108" t="s">
        <v>135</v>
      </c>
      <c r="G3140" s="108"/>
      <c r="H3140" s="108">
        <v>1</v>
      </c>
    </row>
    <row r="3141" spans="1:8" ht="14">
      <c r="A3141" s="108">
        <v>2017</v>
      </c>
      <c r="B3141" s="108">
        <v>99</v>
      </c>
      <c r="C3141" s="108" t="s">
        <v>139</v>
      </c>
      <c r="D3141" s="108">
        <v>1251.00815276805</v>
      </c>
      <c r="E3141" s="108">
        <v>0</v>
      </c>
      <c r="F3141" s="108" t="s">
        <v>136</v>
      </c>
      <c r="G3141" s="108"/>
      <c r="H3141" s="108">
        <v>1</v>
      </c>
    </row>
    <row r="3142" spans="1:8" ht="14">
      <c r="A3142" s="108">
        <v>2018</v>
      </c>
      <c r="B3142" s="108">
        <v>11</v>
      </c>
      <c r="C3142" s="108" t="s">
        <v>30</v>
      </c>
      <c r="D3142" s="108">
        <v>10913.9358939758</v>
      </c>
      <c r="E3142" s="108">
        <v>0</v>
      </c>
      <c r="F3142" s="108" t="s">
        <v>136</v>
      </c>
      <c r="G3142" s="108"/>
      <c r="H3142" s="108">
        <v>1</v>
      </c>
    </row>
    <row r="3143" spans="1:8" ht="14">
      <c r="A3143" s="108">
        <v>2018</v>
      </c>
      <c r="B3143" s="108">
        <v>11</v>
      </c>
      <c r="C3143" s="108" t="s">
        <v>30</v>
      </c>
      <c r="D3143" s="108">
        <v>1252.04010602415</v>
      </c>
      <c r="E3143" s="108">
        <v>0</v>
      </c>
      <c r="F3143" s="108" t="s">
        <v>135</v>
      </c>
      <c r="G3143" s="108"/>
      <c r="H3143" s="108">
        <v>1</v>
      </c>
    </row>
    <row r="3144" spans="1:8" ht="14">
      <c r="A3144" s="108">
        <v>2018</v>
      </c>
      <c r="B3144" s="108">
        <v>11</v>
      </c>
      <c r="C3144" s="108" t="s">
        <v>138</v>
      </c>
      <c r="D3144" s="108">
        <v>7595.3740653825098</v>
      </c>
      <c r="E3144" s="108">
        <v>0</v>
      </c>
      <c r="F3144" s="108" t="s">
        <v>136</v>
      </c>
      <c r="G3144" s="108"/>
      <c r="H3144" s="108">
        <v>1</v>
      </c>
    </row>
    <row r="3145" spans="1:8" ht="14">
      <c r="A3145" s="108">
        <v>2018</v>
      </c>
      <c r="B3145" s="108">
        <v>11</v>
      </c>
      <c r="C3145" s="108" t="s">
        <v>138</v>
      </c>
      <c r="D3145" s="108">
        <v>608.27393461749</v>
      </c>
      <c r="E3145" s="108">
        <v>0</v>
      </c>
      <c r="F3145" s="108" t="s">
        <v>135</v>
      </c>
      <c r="G3145" s="108"/>
      <c r="H3145" s="108">
        <v>1</v>
      </c>
    </row>
    <row r="3146" spans="1:8" ht="14">
      <c r="A3146" s="108">
        <v>2018</v>
      </c>
      <c r="B3146" s="108">
        <v>11</v>
      </c>
      <c r="C3146" s="108" t="s">
        <v>139</v>
      </c>
      <c r="D3146" s="108">
        <v>643.76617140666201</v>
      </c>
      <c r="E3146" s="108">
        <v>0</v>
      </c>
      <c r="F3146" s="108" t="s">
        <v>135</v>
      </c>
      <c r="G3146" s="108"/>
      <c r="H3146" s="108">
        <v>1</v>
      </c>
    </row>
    <row r="3147" spans="1:8" ht="14">
      <c r="A3147" s="108">
        <v>2018</v>
      </c>
      <c r="B3147" s="108">
        <v>11</v>
      </c>
      <c r="C3147" s="108" t="s">
        <v>139</v>
      </c>
      <c r="D3147" s="108">
        <v>3318.5618285933301</v>
      </c>
      <c r="E3147" s="108">
        <v>0</v>
      </c>
      <c r="F3147" s="108" t="s">
        <v>136</v>
      </c>
      <c r="G3147" s="108"/>
      <c r="H3147" s="108">
        <v>1</v>
      </c>
    </row>
    <row r="3148" spans="1:8" ht="14">
      <c r="A3148" s="108">
        <v>2018</v>
      </c>
      <c r="B3148" s="108">
        <v>12</v>
      </c>
      <c r="C3148" s="108" t="s">
        <v>30</v>
      </c>
      <c r="D3148" s="108">
        <v>14971.2209429301</v>
      </c>
      <c r="E3148" s="108">
        <v>0</v>
      </c>
      <c r="F3148" s="108" t="s">
        <v>135</v>
      </c>
      <c r="G3148" s="108"/>
      <c r="H3148" s="108">
        <v>1</v>
      </c>
    </row>
    <row r="3149" spans="1:8" ht="14">
      <c r="A3149" s="108">
        <v>2018</v>
      </c>
      <c r="B3149" s="108">
        <v>12</v>
      </c>
      <c r="C3149" s="108" t="s">
        <v>30</v>
      </c>
      <c r="D3149" s="108">
        <v>67455.911057069796</v>
      </c>
      <c r="E3149" s="108">
        <v>0</v>
      </c>
      <c r="F3149" s="108" t="s">
        <v>136</v>
      </c>
      <c r="G3149" s="108"/>
      <c r="H3149" s="108">
        <v>1</v>
      </c>
    </row>
    <row r="3150" spans="1:8" ht="14">
      <c r="A3150" s="108">
        <v>2018</v>
      </c>
      <c r="B3150" s="108">
        <v>12</v>
      </c>
      <c r="C3150" s="108" t="s">
        <v>30</v>
      </c>
      <c r="D3150" s="108">
        <v>8.5259999999999998</v>
      </c>
      <c r="E3150" s="108">
        <v>0</v>
      </c>
      <c r="F3150" s="108" t="s">
        <v>137</v>
      </c>
      <c r="G3150" s="108"/>
      <c r="H3150" s="108">
        <v>1</v>
      </c>
    </row>
    <row r="3151" spans="1:8" ht="14">
      <c r="A3151" s="108">
        <v>2018</v>
      </c>
      <c r="B3151" s="108">
        <v>12</v>
      </c>
      <c r="C3151" s="108" t="s">
        <v>138</v>
      </c>
      <c r="D3151" s="108">
        <v>7568.7187007671801</v>
      </c>
      <c r="E3151" s="108">
        <v>0</v>
      </c>
      <c r="F3151" s="108" t="s">
        <v>135</v>
      </c>
      <c r="G3151" s="108"/>
      <c r="H3151" s="108">
        <v>1</v>
      </c>
    </row>
    <row r="3152" spans="1:8" ht="14">
      <c r="A3152" s="108">
        <v>2018</v>
      </c>
      <c r="B3152" s="108">
        <v>12</v>
      </c>
      <c r="C3152" s="108" t="s">
        <v>138</v>
      </c>
      <c r="D3152" s="108">
        <v>40283.752299232801</v>
      </c>
      <c r="E3152" s="108">
        <v>0</v>
      </c>
      <c r="F3152" s="108" t="s">
        <v>136</v>
      </c>
      <c r="G3152" s="108"/>
      <c r="H3152" s="108">
        <v>1</v>
      </c>
    </row>
    <row r="3153" spans="1:8" ht="14">
      <c r="A3153" s="108">
        <v>2018</v>
      </c>
      <c r="B3153" s="108">
        <v>12</v>
      </c>
      <c r="C3153" s="108" t="s">
        <v>139</v>
      </c>
      <c r="D3153" s="108">
        <v>8.5259999999999998</v>
      </c>
      <c r="E3153" s="108">
        <v>0</v>
      </c>
      <c r="F3153" s="108" t="s">
        <v>137</v>
      </c>
      <c r="G3153" s="108"/>
      <c r="H3153" s="108">
        <v>1</v>
      </c>
    </row>
    <row r="3154" spans="1:8" ht="14">
      <c r="A3154" s="108">
        <v>2018</v>
      </c>
      <c r="B3154" s="108">
        <v>12</v>
      </c>
      <c r="C3154" s="108" t="s">
        <v>139</v>
      </c>
      <c r="D3154" s="108">
        <v>7402.5022421630001</v>
      </c>
      <c r="E3154" s="108">
        <v>0</v>
      </c>
      <c r="F3154" s="108" t="s">
        <v>135</v>
      </c>
      <c r="G3154" s="108"/>
      <c r="H3154" s="108">
        <v>1</v>
      </c>
    </row>
    <row r="3155" spans="1:8" ht="14">
      <c r="A3155" s="108">
        <v>2018</v>
      </c>
      <c r="B3155" s="108">
        <v>12</v>
      </c>
      <c r="C3155" s="108" t="s">
        <v>139</v>
      </c>
      <c r="D3155" s="108">
        <v>27172.158757837002</v>
      </c>
      <c r="E3155" s="108">
        <v>0</v>
      </c>
      <c r="F3155" s="108" t="s">
        <v>136</v>
      </c>
      <c r="G3155" s="108"/>
      <c r="H3155" s="108">
        <v>1</v>
      </c>
    </row>
    <row r="3156" spans="1:8" ht="14">
      <c r="A3156" s="108">
        <v>2018</v>
      </c>
      <c r="B3156" s="108">
        <v>13</v>
      </c>
      <c r="C3156" s="108" t="s">
        <v>30</v>
      </c>
      <c r="D3156" s="108">
        <v>63227.099910907302</v>
      </c>
      <c r="E3156" s="108">
        <v>0</v>
      </c>
      <c r="F3156" s="108" t="s">
        <v>136</v>
      </c>
      <c r="G3156" s="108"/>
      <c r="H3156" s="108">
        <v>1</v>
      </c>
    </row>
    <row r="3157" spans="1:8" ht="14">
      <c r="A3157" s="108">
        <v>2018</v>
      </c>
      <c r="B3157" s="108">
        <v>13</v>
      </c>
      <c r="C3157" s="108" t="s">
        <v>30</v>
      </c>
      <c r="D3157" s="108">
        <v>15183.2110890926</v>
      </c>
      <c r="E3157" s="108">
        <v>0</v>
      </c>
      <c r="F3157" s="108" t="s">
        <v>135</v>
      </c>
      <c r="G3157" s="108"/>
      <c r="H3157" s="108">
        <v>1</v>
      </c>
    </row>
    <row r="3158" spans="1:8" ht="14">
      <c r="A3158" s="108">
        <v>2018</v>
      </c>
      <c r="B3158" s="108">
        <v>13</v>
      </c>
      <c r="C3158" s="108" t="s">
        <v>138</v>
      </c>
      <c r="D3158" s="108">
        <v>7326.7709575795097</v>
      </c>
      <c r="E3158" s="108">
        <v>0</v>
      </c>
      <c r="F3158" s="108" t="s">
        <v>135</v>
      </c>
      <c r="G3158" s="108"/>
      <c r="H3158" s="108">
        <v>1</v>
      </c>
    </row>
    <row r="3159" spans="1:8" ht="14">
      <c r="A3159" s="108">
        <v>2018</v>
      </c>
      <c r="B3159" s="108">
        <v>13</v>
      </c>
      <c r="C3159" s="108" t="s">
        <v>138</v>
      </c>
      <c r="D3159" s="108">
        <v>39931.268042420401</v>
      </c>
      <c r="E3159" s="108">
        <v>0</v>
      </c>
      <c r="F3159" s="108" t="s">
        <v>136</v>
      </c>
      <c r="G3159" s="108"/>
      <c r="H3159" s="108">
        <v>1</v>
      </c>
    </row>
    <row r="3160" spans="1:8" ht="14">
      <c r="A3160" s="108">
        <v>2018</v>
      </c>
      <c r="B3160" s="108">
        <v>13</v>
      </c>
      <c r="C3160" s="108" t="s">
        <v>139</v>
      </c>
      <c r="D3160" s="108">
        <v>7856.4401315131399</v>
      </c>
      <c r="E3160" s="108">
        <v>0</v>
      </c>
      <c r="F3160" s="108" t="s">
        <v>135</v>
      </c>
      <c r="G3160" s="108"/>
      <c r="H3160" s="108">
        <v>1</v>
      </c>
    </row>
    <row r="3161" spans="1:8" ht="14">
      <c r="A3161" s="108">
        <v>2018</v>
      </c>
      <c r="B3161" s="108">
        <v>13</v>
      </c>
      <c r="C3161" s="108" t="s">
        <v>139</v>
      </c>
      <c r="D3161" s="108">
        <v>23295.831868486799</v>
      </c>
      <c r="E3161" s="108">
        <v>0</v>
      </c>
      <c r="F3161" s="108" t="s">
        <v>136</v>
      </c>
      <c r="G3161" s="108"/>
      <c r="H3161" s="108">
        <v>1</v>
      </c>
    </row>
    <row r="3162" spans="1:8" ht="14">
      <c r="A3162" s="108">
        <v>2018</v>
      </c>
      <c r="B3162" s="108">
        <v>19</v>
      </c>
      <c r="C3162" s="108" t="s">
        <v>30</v>
      </c>
      <c r="D3162" s="108">
        <v>1383.5607428817</v>
      </c>
      <c r="E3162" s="108">
        <v>0</v>
      </c>
      <c r="F3162" s="108" t="s">
        <v>135</v>
      </c>
      <c r="G3162" s="108"/>
      <c r="H3162" s="108">
        <v>1</v>
      </c>
    </row>
    <row r="3163" spans="1:8" ht="14">
      <c r="A3163" s="108">
        <v>2018</v>
      </c>
      <c r="B3163" s="108">
        <v>19</v>
      </c>
      <c r="C3163" s="108" t="s">
        <v>30</v>
      </c>
      <c r="D3163" s="108">
        <v>9778.3122571182903</v>
      </c>
      <c r="E3163" s="108">
        <v>0</v>
      </c>
      <c r="F3163" s="108" t="s">
        <v>136</v>
      </c>
      <c r="G3163" s="108"/>
      <c r="H3163" s="108">
        <v>1</v>
      </c>
    </row>
    <row r="3164" spans="1:8" ht="14">
      <c r="A3164" s="108">
        <v>2018</v>
      </c>
      <c r="B3164" s="108">
        <v>19</v>
      </c>
      <c r="C3164" s="108" t="s">
        <v>138</v>
      </c>
      <c r="D3164" s="108">
        <v>6333.7083821691604</v>
      </c>
      <c r="E3164" s="108">
        <v>0</v>
      </c>
      <c r="F3164" s="108" t="s">
        <v>136</v>
      </c>
      <c r="G3164" s="108"/>
      <c r="H3164" s="108">
        <v>1</v>
      </c>
    </row>
    <row r="3165" spans="1:8" ht="14">
      <c r="A3165" s="108">
        <v>2018</v>
      </c>
      <c r="B3165" s="108">
        <v>19</v>
      </c>
      <c r="C3165" s="108" t="s">
        <v>138</v>
      </c>
      <c r="D3165" s="108">
        <v>394.91061783083802</v>
      </c>
      <c r="E3165" s="108">
        <v>0</v>
      </c>
      <c r="F3165" s="108" t="s">
        <v>135</v>
      </c>
      <c r="G3165" s="108"/>
      <c r="H3165" s="108">
        <v>1</v>
      </c>
    </row>
    <row r="3166" spans="1:8" ht="14">
      <c r="A3166" s="108">
        <v>2018</v>
      </c>
      <c r="B3166" s="108">
        <v>19</v>
      </c>
      <c r="C3166" s="108" t="s">
        <v>139</v>
      </c>
      <c r="D3166" s="108">
        <v>988.65012505086202</v>
      </c>
      <c r="E3166" s="108">
        <v>0</v>
      </c>
      <c r="F3166" s="108" t="s">
        <v>135</v>
      </c>
      <c r="G3166" s="108"/>
      <c r="H3166" s="108">
        <v>1</v>
      </c>
    </row>
    <row r="3167" spans="1:8" ht="14">
      <c r="A3167" s="108">
        <v>2018</v>
      </c>
      <c r="B3167" s="108">
        <v>19</v>
      </c>
      <c r="C3167" s="108" t="s">
        <v>139</v>
      </c>
      <c r="D3167" s="108">
        <v>3444.6038749491299</v>
      </c>
      <c r="E3167" s="108">
        <v>0</v>
      </c>
      <c r="F3167" s="108" t="s">
        <v>136</v>
      </c>
      <c r="G3167" s="108"/>
      <c r="H3167" s="108">
        <v>1</v>
      </c>
    </row>
    <row r="3168" spans="1:8" ht="14">
      <c r="A3168" s="108">
        <v>2018</v>
      </c>
      <c r="B3168" s="108">
        <v>21</v>
      </c>
      <c r="C3168" s="108" t="s">
        <v>30</v>
      </c>
      <c r="D3168" s="108">
        <v>5.8873406044407899</v>
      </c>
      <c r="E3168" s="108">
        <v>0</v>
      </c>
      <c r="F3168" s="108" t="s">
        <v>137</v>
      </c>
      <c r="G3168" s="108"/>
      <c r="H3168" s="108">
        <v>1</v>
      </c>
    </row>
    <row r="3169" spans="1:8" ht="14">
      <c r="A3169" s="108">
        <v>2018</v>
      </c>
      <c r="B3169" s="108">
        <v>21</v>
      </c>
      <c r="C3169" s="108" t="s">
        <v>30</v>
      </c>
      <c r="D3169" s="108">
        <v>14607.167211062</v>
      </c>
      <c r="E3169" s="108">
        <v>0</v>
      </c>
      <c r="F3169" s="108" t="s">
        <v>136</v>
      </c>
      <c r="G3169" s="108"/>
      <c r="H3169" s="108">
        <v>1</v>
      </c>
    </row>
    <row r="3170" spans="1:8" ht="14">
      <c r="A3170" s="108">
        <v>2018</v>
      </c>
      <c r="B3170" s="108">
        <v>21</v>
      </c>
      <c r="C3170" s="108" t="s">
        <v>30</v>
      </c>
      <c r="D3170" s="108">
        <v>938.94144833346104</v>
      </c>
      <c r="E3170" s="108">
        <v>0</v>
      </c>
      <c r="F3170" s="108" t="s">
        <v>135</v>
      </c>
      <c r="G3170" s="108"/>
      <c r="H3170" s="108">
        <v>1</v>
      </c>
    </row>
    <row r="3171" spans="1:8" ht="14">
      <c r="A3171" s="108">
        <v>2018</v>
      </c>
      <c r="B3171" s="108">
        <v>21</v>
      </c>
      <c r="C3171" s="108" t="s">
        <v>138</v>
      </c>
      <c r="D3171" s="108">
        <v>9360.1743668525596</v>
      </c>
      <c r="E3171" s="108">
        <v>0</v>
      </c>
      <c r="F3171" s="108" t="s">
        <v>136</v>
      </c>
      <c r="G3171" s="108"/>
      <c r="H3171" s="108">
        <v>1</v>
      </c>
    </row>
    <row r="3172" spans="1:8" ht="14">
      <c r="A3172" s="108">
        <v>2018</v>
      </c>
      <c r="B3172" s="108">
        <v>21</v>
      </c>
      <c r="C3172" s="108" t="s">
        <v>138</v>
      </c>
      <c r="D3172" s="108">
        <v>572.50663314743201</v>
      </c>
      <c r="E3172" s="108">
        <v>0</v>
      </c>
      <c r="F3172" s="108" t="s">
        <v>135</v>
      </c>
      <c r="G3172" s="108"/>
      <c r="H3172" s="108">
        <v>1</v>
      </c>
    </row>
    <row r="3173" spans="1:8" ht="14">
      <c r="A3173" s="108">
        <v>2018</v>
      </c>
      <c r="B3173" s="108">
        <v>21</v>
      </c>
      <c r="C3173" s="108" t="s">
        <v>138</v>
      </c>
      <c r="D3173" s="108">
        <v>0.95899999999999996</v>
      </c>
      <c r="E3173" s="108">
        <v>0</v>
      </c>
      <c r="F3173" s="108" t="s">
        <v>137</v>
      </c>
      <c r="G3173" s="108"/>
      <c r="H3173" s="108">
        <v>1</v>
      </c>
    </row>
    <row r="3174" spans="1:8" ht="14">
      <c r="A3174" s="108">
        <v>2018</v>
      </c>
      <c r="B3174" s="108">
        <v>21</v>
      </c>
      <c r="C3174" s="108" t="s">
        <v>139</v>
      </c>
      <c r="D3174" s="108">
        <v>4.9283406044407903</v>
      </c>
      <c r="E3174" s="108">
        <v>0</v>
      </c>
      <c r="F3174" s="108" t="s">
        <v>137</v>
      </c>
      <c r="G3174" s="108"/>
      <c r="H3174" s="108">
        <v>1</v>
      </c>
    </row>
    <row r="3175" spans="1:8" ht="14">
      <c r="A3175" s="108">
        <v>2018</v>
      </c>
      <c r="B3175" s="108">
        <v>21</v>
      </c>
      <c r="C3175" s="108" t="s">
        <v>139</v>
      </c>
      <c r="D3175" s="108">
        <v>5246.9928442095297</v>
      </c>
      <c r="E3175" s="108">
        <v>0</v>
      </c>
      <c r="F3175" s="108" t="s">
        <v>136</v>
      </c>
      <c r="G3175" s="108"/>
      <c r="H3175" s="108">
        <v>1</v>
      </c>
    </row>
    <row r="3176" spans="1:8" ht="14">
      <c r="A3176" s="108">
        <v>2018</v>
      </c>
      <c r="B3176" s="108">
        <v>21</v>
      </c>
      <c r="C3176" s="108" t="s">
        <v>139</v>
      </c>
      <c r="D3176" s="108">
        <v>366.434815186028</v>
      </c>
      <c r="E3176" s="108">
        <v>0</v>
      </c>
      <c r="F3176" s="108" t="s">
        <v>135</v>
      </c>
      <c r="G3176" s="108"/>
      <c r="H3176" s="108">
        <v>1</v>
      </c>
    </row>
    <row r="3177" spans="1:8" ht="14">
      <c r="A3177" s="108">
        <v>2018</v>
      </c>
      <c r="B3177" s="108">
        <v>22</v>
      </c>
      <c r="C3177" s="108" t="s">
        <v>30</v>
      </c>
      <c r="D3177" s="108">
        <v>11807.994656725599</v>
      </c>
      <c r="E3177" s="108">
        <v>0</v>
      </c>
      <c r="F3177" s="108" t="s">
        <v>136</v>
      </c>
      <c r="G3177" s="108"/>
      <c r="H3177" s="108">
        <v>1</v>
      </c>
    </row>
    <row r="3178" spans="1:8" ht="14">
      <c r="A3178" s="108">
        <v>2018</v>
      </c>
      <c r="B3178" s="108">
        <v>22</v>
      </c>
      <c r="C3178" s="108" t="s">
        <v>30</v>
      </c>
      <c r="D3178" s="108">
        <v>1121.88134327436</v>
      </c>
      <c r="E3178" s="108">
        <v>0</v>
      </c>
      <c r="F3178" s="108" t="s">
        <v>135</v>
      </c>
      <c r="G3178" s="108"/>
      <c r="H3178" s="108">
        <v>1</v>
      </c>
    </row>
    <row r="3179" spans="1:8" ht="14">
      <c r="A3179" s="108">
        <v>2018</v>
      </c>
      <c r="B3179" s="108">
        <v>22</v>
      </c>
      <c r="C3179" s="108" t="s">
        <v>138</v>
      </c>
      <c r="D3179" s="108">
        <v>10871.6352315846</v>
      </c>
      <c r="E3179" s="108">
        <v>0</v>
      </c>
      <c r="F3179" s="108" t="s">
        <v>136</v>
      </c>
      <c r="G3179" s="108"/>
      <c r="H3179" s="108">
        <v>1</v>
      </c>
    </row>
    <row r="3180" spans="1:8" ht="14">
      <c r="A3180" s="108">
        <v>2018</v>
      </c>
      <c r="B3180" s="108">
        <v>22</v>
      </c>
      <c r="C3180" s="108" t="s">
        <v>138</v>
      </c>
      <c r="D3180" s="108">
        <v>532.84276841531698</v>
      </c>
      <c r="E3180" s="108">
        <v>0</v>
      </c>
      <c r="F3180" s="108" t="s">
        <v>135</v>
      </c>
      <c r="G3180" s="108"/>
      <c r="H3180" s="108">
        <v>1</v>
      </c>
    </row>
    <row r="3181" spans="1:8" ht="14">
      <c r="A3181" s="108">
        <v>2018</v>
      </c>
      <c r="B3181" s="108">
        <v>22</v>
      </c>
      <c r="C3181" s="108" t="s">
        <v>139</v>
      </c>
      <c r="D3181" s="108">
        <v>936.35942514094802</v>
      </c>
      <c r="E3181" s="108">
        <v>0</v>
      </c>
      <c r="F3181" s="108" t="s">
        <v>136</v>
      </c>
      <c r="G3181" s="108"/>
      <c r="H3181" s="108">
        <v>1</v>
      </c>
    </row>
    <row r="3182" spans="1:8" ht="14">
      <c r="A3182" s="108">
        <v>2018</v>
      </c>
      <c r="B3182" s="108">
        <v>22</v>
      </c>
      <c r="C3182" s="108" t="s">
        <v>139</v>
      </c>
      <c r="D3182" s="108">
        <v>589.03857485905098</v>
      </c>
      <c r="E3182" s="108">
        <v>0</v>
      </c>
      <c r="F3182" s="108" t="s">
        <v>135</v>
      </c>
      <c r="G3182" s="108"/>
      <c r="H3182" s="108">
        <v>1</v>
      </c>
    </row>
    <row r="3183" spans="1:8" ht="14">
      <c r="A3183" s="108">
        <v>2018</v>
      </c>
      <c r="B3183" s="108">
        <v>23</v>
      </c>
      <c r="C3183" s="108" t="s">
        <v>30</v>
      </c>
      <c r="D3183" s="108">
        <v>10195.6647916291</v>
      </c>
      <c r="E3183" s="108">
        <v>0</v>
      </c>
      <c r="F3183" s="108" t="s">
        <v>136</v>
      </c>
      <c r="G3183" s="108"/>
      <c r="H3183" s="108">
        <v>1</v>
      </c>
    </row>
    <row r="3184" spans="1:8" ht="14">
      <c r="A3184" s="108">
        <v>2018</v>
      </c>
      <c r="B3184" s="108">
        <v>23</v>
      </c>
      <c r="C3184" s="108" t="s">
        <v>30</v>
      </c>
      <c r="D3184" s="108">
        <v>1066.5422083707999</v>
      </c>
      <c r="E3184" s="108">
        <v>0</v>
      </c>
      <c r="F3184" s="108" t="s">
        <v>135</v>
      </c>
      <c r="G3184" s="108"/>
      <c r="H3184" s="108">
        <v>1</v>
      </c>
    </row>
    <row r="3185" spans="1:8" ht="14">
      <c r="A3185" s="108">
        <v>2018</v>
      </c>
      <c r="B3185" s="108">
        <v>23</v>
      </c>
      <c r="C3185" s="108" t="s">
        <v>138</v>
      </c>
      <c r="D3185" s="108">
        <v>8981.7740508035695</v>
      </c>
      <c r="E3185" s="108">
        <v>0</v>
      </c>
      <c r="F3185" s="108" t="s">
        <v>136</v>
      </c>
      <c r="G3185" s="108"/>
      <c r="H3185" s="108">
        <v>1</v>
      </c>
    </row>
    <row r="3186" spans="1:8" ht="14">
      <c r="A3186" s="108">
        <v>2018</v>
      </c>
      <c r="B3186" s="108">
        <v>23</v>
      </c>
      <c r="C3186" s="108" t="s">
        <v>138</v>
      </c>
      <c r="D3186" s="108">
        <v>589.02894919642495</v>
      </c>
      <c r="E3186" s="108">
        <v>0</v>
      </c>
      <c r="F3186" s="108" t="s">
        <v>135</v>
      </c>
      <c r="G3186" s="108"/>
      <c r="H3186" s="108">
        <v>1</v>
      </c>
    </row>
    <row r="3187" spans="1:8" ht="14">
      <c r="A3187" s="108">
        <v>2018</v>
      </c>
      <c r="B3187" s="108">
        <v>23</v>
      </c>
      <c r="C3187" s="108" t="s">
        <v>139</v>
      </c>
      <c r="D3187" s="108">
        <v>1213.89074082562</v>
      </c>
      <c r="E3187" s="108">
        <v>0</v>
      </c>
      <c r="F3187" s="108" t="s">
        <v>136</v>
      </c>
      <c r="G3187" s="108"/>
      <c r="H3187" s="108">
        <v>1</v>
      </c>
    </row>
    <row r="3188" spans="1:8" ht="14">
      <c r="A3188" s="108">
        <v>2018</v>
      </c>
      <c r="B3188" s="108">
        <v>23</v>
      </c>
      <c r="C3188" s="108" t="s">
        <v>139</v>
      </c>
      <c r="D3188" s="108">
        <v>477.51325917437703</v>
      </c>
      <c r="E3188" s="108">
        <v>0</v>
      </c>
      <c r="F3188" s="108" t="s">
        <v>135</v>
      </c>
      <c r="G3188" s="108"/>
      <c r="H3188" s="108">
        <v>1</v>
      </c>
    </row>
    <row r="3189" spans="1:8" ht="14">
      <c r="A3189" s="108">
        <v>2018</v>
      </c>
      <c r="B3189" s="108">
        <v>29</v>
      </c>
      <c r="C3189" s="108" t="s">
        <v>30</v>
      </c>
      <c r="D3189" s="108">
        <v>31846.175519389799</v>
      </c>
      <c r="E3189" s="108">
        <v>0</v>
      </c>
      <c r="F3189" s="108" t="s">
        <v>136</v>
      </c>
      <c r="G3189" s="108"/>
      <c r="H3189" s="108">
        <v>1</v>
      </c>
    </row>
    <row r="3190" spans="1:8" ht="14">
      <c r="A3190" s="108">
        <v>2018</v>
      </c>
      <c r="B3190" s="108">
        <v>29</v>
      </c>
      <c r="C3190" s="108" t="s">
        <v>30</v>
      </c>
      <c r="D3190" s="108">
        <v>22391.3454806101</v>
      </c>
      <c r="E3190" s="108">
        <v>0</v>
      </c>
      <c r="F3190" s="108" t="s">
        <v>135</v>
      </c>
      <c r="G3190" s="108"/>
      <c r="H3190" s="108">
        <v>1</v>
      </c>
    </row>
    <row r="3191" spans="1:8" ht="14">
      <c r="A3191" s="108">
        <v>2018</v>
      </c>
      <c r="B3191" s="108">
        <v>29</v>
      </c>
      <c r="C3191" s="108" t="s">
        <v>138</v>
      </c>
      <c r="D3191" s="108">
        <v>17502.285806631298</v>
      </c>
      <c r="E3191" s="108">
        <v>0</v>
      </c>
      <c r="F3191" s="108" t="s">
        <v>135</v>
      </c>
      <c r="G3191" s="108"/>
      <c r="H3191" s="108">
        <v>1</v>
      </c>
    </row>
    <row r="3192" spans="1:8" ht="14">
      <c r="A3192" s="108">
        <v>2018</v>
      </c>
      <c r="B3192" s="108">
        <v>29</v>
      </c>
      <c r="C3192" s="108" t="s">
        <v>138</v>
      </c>
      <c r="D3192" s="108">
        <v>24635.7691933686</v>
      </c>
      <c r="E3192" s="108">
        <v>0</v>
      </c>
      <c r="F3192" s="108" t="s">
        <v>136</v>
      </c>
      <c r="G3192" s="108"/>
      <c r="H3192" s="108">
        <v>1</v>
      </c>
    </row>
    <row r="3193" spans="1:8" ht="14">
      <c r="A3193" s="108">
        <v>2018</v>
      </c>
      <c r="B3193" s="108">
        <v>29</v>
      </c>
      <c r="C3193" s="108" t="s">
        <v>139</v>
      </c>
      <c r="D3193" s="108">
        <v>7210.4063260211797</v>
      </c>
      <c r="E3193" s="108">
        <v>0</v>
      </c>
      <c r="F3193" s="108" t="s">
        <v>136</v>
      </c>
      <c r="G3193" s="108"/>
      <c r="H3193" s="108">
        <v>1</v>
      </c>
    </row>
    <row r="3194" spans="1:8" ht="14">
      <c r="A3194" s="108">
        <v>2018</v>
      </c>
      <c r="B3194" s="108">
        <v>29</v>
      </c>
      <c r="C3194" s="108" t="s">
        <v>139</v>
      </c>
      <c r="D3194" s="108">
        <v>4889.0596739788098</v>
      </c>
      <c r="E3194" s="108">
        <v>0</v>
      </c>
      <c r="F3194" s="108" t="s">
        <v>135</v>
      </c>
      <c r="G3194" s="108"/>
      <c r="H3194" s="108">
        <v>1</v>
      </c>
    </row>
    <row r="3195" spans="1:8" ht="14">
      <c r="A3195" s="108">
        <v>2018</v>
      </c>
      <c r="B3195" s="108">
        <v>31</v>
      </c>
      <c r="C3195" s="108" t="s">
        <v>30</v>
      </c>
      <c r="D3195" s="108">
        <v>1.5605347812518201E-2</v>
      </c>
      <c r="E3195" s="108">
        <v>2.5047144087646598</v>
      </c>
      <c r="F3195" s="108" t="s">
        <v>137</v>
      </c>
      <c r="G3195" s="108">
        <v>2.5047144087689999</v>
      </c>
      <c r="H3195" s="108">
        <v>1</v>
      </c>
    </row>
    <row r="3196" spans="1:8" ht="14">
      <c r="A3196" s="108">
        <v>2018</v>
      </c>
      <c r="B3196" s="108">
        <v>31</v>
      </c>
      <c r="C3196" s="108" t="s">
        <v>30</v>
      </c>
      <c r="D3196" s="108">
        <v>787.20370784245597</v>
      </c>
      <c r="E3196" s="108">
        <v>96.832616224097805</v>
      </c>
      <c r="F3196" s="108" t="s">
        <v>135</v>
      </c>
      <c r="G3196" s="108">
        <v>96.832616224093897</v>
      </c>
      <c r="H3196" s="108">
        <v>1</v>
      </c>
    </row>
    <row r="3197" spans="1:8" ht="14">
      <c r="A3197" s="108">
        <v>2018</v>
      </c>
      <c r="B3197" s="108">
        <v>31</v>
      </c>
      <c r="C3197" s="108" t="s">
        <v>30</v>
      </c>
      <c r="D3197" s="108">
        <v>19453.910686809701</v>
      </c>
      <c r="E3197" s="108">
        <v>1550.00166936713</v>
      </c>
      <c r="F3197" s="108" t="s">
        <v>136</v>
      </c>
      <c r="G3197" s="108">
        <v>1550.0016693662401</v>
      </c>
      <c r="H3197" s="108">
        <v>1</v>
      </c>
    </row>
    <row r="3198" spans="1:8" ht="14">
      <c r="A3198" s="108">
        <v>2018</v>
      </c>
      <c r="B3198" s="108">
        <v>31</v>
      </c>
      <c r="C3198" s="108" t="s">
        <v>138</v>
      </c>
      <c r="D3198" s="108">
        <v>309.00885233141298</v>
      </c>
      <c r="E3198" s="108">
        <v>44.197282501763098</v>
      </c>
      <c r="F3198" s="108" t="s">
        <v>135</v>
      </c>
      <c r="G3198" s="108">
        <v>44.197282501773998</v>
      </c>
      <c r="H3198" s="108">
        <v>1</v>
      </c>
    </row>
    <row r="3199" spans="1:8" ht="14">
      <c r="A3199" s="108">
        <v>2018</v>
      </c>
      <c r="B3199" s="108">
        <v>31</v>
      </c>
      <c r="C3199" s="108" t="s">
        <v>138</v>
      </c>
      <c r="D3199" s="108">
        <v>1.5605347812518201E-2</v>
      </c>
      <c r="E3199" s="108">
        <v>1.7638044070949399</v>
      </c>
      <c r="F3199" s="108" t="s">
        <v>137</v>
      </c>
      <c r="G3199" s="108">
        <v>1.7638044070979899</v>
      </c>
      <c r="H3199" s="108">
        <v>1</v>
      </c>
    </row>
    <row r="3200" spans="1:8" ht="14">
      <c r="A3200" s="108">
        <v>2018</v>
      </c>
      <c r="B3200" s="108">
        <v>31</v>
      </c>
      <c r="C3200" s="108" t="s">
        <v>138</v>
      </c>
      <c r="D3200" s="108">
        <v>11913.493542320701</v>
      </c>
      <c r="E3200" s="108">
        <v>794.11491309114194</v>
      </c>
      <c r="F3200" s="108" t="s">
        <v>136</v>
      </c>
      <c r="G3200" s="108">
        <v>794.11491309058295</v>
      </c>
      <c r="H3200" s="108">
        <v>1</v>
      </c>
    </row>
    <row r="3201" spans="1:8" ht="14">
      <c r="A3201" s="108">
        <v>2018</v>
      </c>
      <c r="B3201" s="108">
        <v>31</v>
      </c>
      <c r="C3201" s="108" t="s">
        <v>139</v>
      </c>
      <c r="D3201" s="108">
        <v>0</v>
      </c>
      <c r="E3201" s="108">
        <v>0.74091000166971399</v>
      </c>
      <c r="F3201" s="108" t="s">
        <v>137</v>
      </c>
      <c r="G3201" s="108">
        <v>0.74091000167099996</v>
      </c>
      <c r="H3201" s="108">
        <v>1</v>
      </c>
    </row>
    <row r="3202" spans="1:8" ht="14">
      <c r="A3202" s="108">
        <v>2018</v>
      </c>
      <c r="B3202" s="108">
        <v>31</v>
      </c>
      <c r="C3202" s="108" t="s">
        <v>139</v>
      </c>
      <c r="D3202" s="108">
        <v>7540.4171444889498</v>
      </c>
      <c r="E3202" s="108">
        <v>755.88675627599503</v>
      </c>
      <c r="F3202" s="108" t="s">
        <v>136</v>
      </c>
      <c r="G3202" s="108">
        <v>755.88675627565897</v>
      </c>
      <c r="H3202" s="108">
        <v>1</v>
      </c>
    </row>
    <row r="3203" spans="1:8" ht="14">
      <c r="A3203" s="108">
        <v>2018</v>
      </c>
      <c r="B3203" s="108">
        <v>31</v>
      </c>
      <c r="C3203" s="108" t="s">
        <v>139</v>
      </c>
      <c r="D3203" s="108">
        <v>478.19485551104299</v>
      </c>
      <c r="E3203" s="108">
        <v>52.6353337223346</v>
      </c>
      <c r="F3203" s="108" t="s">
        <v>135</v>
      </c>
      <c r="G3203" s="108">
        <v>52.635333722319999</v>
      </c>
      <c r="H3203" s="108">
        <v>1</v>
      </c>
    </row>
    <row r="3204" spans="1:8" ht="14">
      <c r="A3204" s="108">
        <v>2018</v>
      </c>
      <c r="B3204" s="108">
        <v>32</v>
      </c>
      <c r="C3204" s="108" t="s">
        <v>30</v>
      </c>
      <c r="D3204" s="108">
        <v>38184.974904891104</v>
      </c>
      <c r="E3204" s="108">
        <v>3520.2594922780299</v>
      </c>
      <c r="F3204" s="108" t="s">
        <v>136</v>
      </c>
      <c r="G3204" s="108">
        <v>7040.5189845553105</v>
      </c>
      <c r="H3204" s="108">
        <v>1</v>
      </c>
    </row>
    <row r="3205" spans="1:8" ht="14">
      <c r="A3205" s="108">
        <v>2018</v>
      </c>
      <c r="B3205" s="108">
        <v>32</v>
      </c>
      <c r="C3205" s="108" t="s">
        <v>30</v>
      </c>
      <c r="D3205" s="108">
        <v>159.817338622525</v>
      </c>
      <c r="E3205" s="108">
        <v>21.368240336303199</v>
      </c>
      <c r="F3205" s="108" t="s">
        <v>137</v>
      </c>
      <c r="G3205" s="108">
        <v>42.736480672606</v>
      </c>
      <c r="H3205" s="108">
        <v>1</v>
      </c>
    </row>
    <row r="3206" spans="1:8" ht="14">
      <c r="A3206" s="108">
        <v>2018</v>
      </c>
      <c r="B3206" s="108">
        <v>32</v>
      </c>
      <c r="C3206" s="108" t="s">
        <v>30</v>
      </c>
      <c r="D3206" s="108">
        <v>1931.62075648631</v>
      </c>
      <c r="E3206" s="108">
        <v>181.08126738567</v>
      </c>
      <c r="F3206" s="108" t="s">
        <v>135</v>
      </c>
      <c r="G3206" s="108">
        <v>362.16253477132</v>
      </c>
      <c r="H3206" s="108">
        <v>1</v>
      </c>
    </row>
    <row r="3207" spans="1:8" ht="14">
      <c r="A3207" s="108">
        <v>2018</v>
      </c>
      <c r="B3207" s="108">
        <v>32</v>
      </c>
      <c r="C3207" s="108" t="s">
        <v>138</v>
      </c>
      <c r="D3207" s="108">
        <v>23488.102708069498</v>
      </c>
      <c r="E3207" s="108">
        <v>1783.4890418196201</v>
      </c>
      <c r="F3207" s="108" t="s">
        <v>136</v>
      </c>
      <c r="G3207" s="108">
        <v>3566.9780836376599</v>
      </c>
      <c r="H3207" s="108">
        <v>1</v>
      </c>
    </row>
    <row r="3208" spans="1:8" ht="14">
      <c r="A3208" s="108">
        <v>2018</v>
      </c>
      <c r="B3208" s="108">
        <v>32</v>
      </c>
      <c r="C3208" s="108" t="s">
        <v>138</v>
      </c>
      <c r="D3208" s="108">
        <v>89.115546900868395</v>
      </c>
      <c r="E3208" s="108">
        <v>8.5275224932865008</v>
      </c>
      <c r="F3208" s="108" t="s">
        <v>137</v>
      </c>
      <c r="G3208" s="108">
        <v>17.055044986578899</v>
      </c>
      <c r="H3208" s="108">
        <v>1</v>
      </c>
    </row>
    <row r="3209" spans="1:8" ht="14">
      <c r="A3209" s="108">
        <v>2018</v>
      </c>
      <c r="B3209" s="108">
        <v>32</v>
      </c>
      <c r="C3209" s="108" t="s">
        <v>138</v>
      </c>
      <c r="D3209" s="108">
        <v>831.16274502963199</v>
      </c>
      <c r="E3209" s="108">
        <v>87.189435687086601</v>
      </c>
      <c r="F3209" s="108" t="s">
        <v>135</v>
      </c>
      <c r="G3209" s="108">
        <v>174.37887137414501</v>
      </c>
      <c r="H3209" s="108">
        <v>1</v>
      </c>
    </row>
    <row r="3210" spans="1:8" ht="14">
      <c r="A3210" s="108">
        <v>2018</v>
      </c>
      <c r="B3210" s="108">
        <v>32</v>
      </c>
      <c r="C3210" s="108" t="s">
        <v>139</v>
      </c>
      <c r="D3210" s="108">
        <v>70.701791721657003</v>
      </c>
      <c r="E3210" s="108">
        <v>12.8407178430166</v>
      </c>
      <c r="F3210" s="108" t="s">
        <v>137</v>
      </c>
      <c r="G3210" s="108">
        <v>25.681435686026902</v>
      </c>
      <c r="H3210" s="108">
        <v>1</v>
      </c>
    </row>
    <row r="3211" spans="1:8" ht="14">
      <c r="A3211" s="108">
        <v>2018</v>
      </c>
      <c r="B3211" s="108">
        <v>32</v>
      </c>
      <c r="C3211" s="108" t="s">
        <v>139</v>
      </c>
      <c r="D3211" s="108">
        <v>1100.45801145668</v>
      </c>
      <c r="E3211" s="108">
        <v>93.8918316985838</v>
      </c>
      <c r="F3211" s="108" t="s">
        <v>135</v>
      </c>
      <c r="G3211" s="108">
        <v>187.783663397174</v>
      </c>
      <c r="H3211" s="108">
        <v>1</v>
      </c>
    </row>
    <row r="3212" spans="1:8" ht="14">
      <c r="A3212" s="108">
        <v>2018</v>
      </c>
      <c r="B3212" s="108">
        <v>32</v>
      </c>
      <c r="C3212" s="108" t="s">
        <v>139</v>
      </c>
      <c r="D3212" s="108">
        <v>14696.8721968216</v>
      </c>
      <c r="E3212" s="108">
        <v>1736.7704504584001</v>
      </c>
      <c r="F3212" s="108" t="s">
        <v>136</v>
      </c>
      <c r="G3212" s="108">
        <v>3473.5409009176601</v>
      </c>
      <c r="H3212" s="108">
        <v>1</v>
      </c>
    </row>
    <row r="3213" spans="1:8" ht="14">
      <c r="A3213" s="108">
        <v>2018</v>
      </c>
      <c r="B3213" s="108">
        <v>33</v>
      </c>
      <c r="C3213" s="108" t="s">
        <v>30</v>
      </c>
      <c r="D3213" s="108">
        <v>11.5595125091901</v>
      </c>
      <c r="E3213" s="108">
        <v>6.2622874470355701</v>
      </c>
      <c r="F3213" s="108" t="s">
        <v>135</v>
      </c>
      <c r="G3213" s="108">
        <v>9.3934311705559992</v>
      </c>
      <c r="H3213" s="108">
        <v>1</v>
      </c>
    </row>
    <row r="3214" spans="1:8" ht="14">
      <c r="A3214" s="108">
        <v>2018</v>
      </c>
      <c r="B3214" s="108">
        <v>33</v>
      </c>
      <c r="C3214" s="108" t="s">
        <v>30</v>
      </c>
      <c r="D3214" s="108">
        <v>1791.1084874908099</v>
      </c>
      <c r="E3214" s="108">
        <v>125.947333922618</v>
      </c>
      <c r="F3214" s="108" t="s">
        <v>136</v>
      </c>
      <c r="G3214" s="108">
        <v>188.92100088392999</v>
      </c>
      <c r="H3214" s="108">
        <v>1</v>
      </c>
    </row>
    <row r="3215" spans="1:8" ht="14">
      <c r="A3215" s="108">
        <v>2018</v>
      </c>
      <c r="B3215" s="108">
        <v>33</v>
      </c>
      <c r="C3215" s="108" t="s">
        <v>30</v>
      </c>
      <c r="D3215" s="108">
        <v>0</v>
      </c>
      <c r="E3215" s="108">
        <v>1.83786303463295E-2</v>
      </c>
      <c r="F3215" s="108" t="s">
        <v>137</v>
      </c>
      <c r="G3215" s="108">
        <v>2.7567945519999901E-2</v>
      </c>
      <c r="H3215" s="108">
        <v>1</v>
      </c>
    </row>
    <row r="3216" spans="1:8" ht="14">
      <c r="A3216" s="108">
        <v>2018</v>
      </c>
      <c r="B3216" s="108">
        <v>33</v>
      </c>
      <c r="C3216" s="108" t="s">
        <v>138</v>
      </c>
      <c r="D3216" s="108">
        <v>6.0519028050331602</v>
      </c>
      <c r="E3216" s="108">
        <v>3.2157544118618899</v>
      </c>
      <c r="F3216" s="108" t="s">
        <v>135</v>
      </c>
      <c r="G3216" s="108">
        <v>4.8236316177980001</v>
      </c>
      <c r="H3216" s="108">
        <v>1</v>
      </c>
    </row>
    <row r="3217" spans="1:8" ht="14">
      <c r="A3217" s="108">
        <v>2018</v>
      </c>
      <c r="B3217" s="108">
        <v>33</v>
      </c>
      <c r="C3217" s="108" t="s">
        <v>138</v>
      </c>
      <c r="D3217" s="108">
        <v>1340.7780971949601</v>
      </c>
      <c r="E3217" s="108">
        <v>67.163854230801206</v>
      </c>
      <c r="F3217" s="108" t="s">
        <v>136</v>
      </c>
      <c r="G3217" s="108">
        <v>100.745781346218</v>
      </c>
      <c r="H3217" s="108">
        <v>1</v>
      </c>
    </row>
    <row r="3218" spans="1:8" ht="14">
      <c r="A3218" s="108">
        <v>2018</v>
      </c>
      <c r="B3218" s="108">
        <v>33</v>
      </c>
      <c r="C3218" s="108" t="s">
        <v>138</v>
      </c>
      <c r="D3218" s="108">
        <v>0</v>
      </c>
      <c r="E3218" s="108">
        <v>1.7391357336861899E-2</v>
      </c>
      <c r="F3218" s="108" t="s">
        <v>137</v>
      </c>
      <c r="G3218" s="108">
        <v>2.6087036005999899E-2</v>
      </c>
      <c r="H3218" s="108">
        <v>1</v>
      </c>
    </row>
    <row r="3219" spans="1:8" ht="14">
      <c r="A3219" s="108">
        <v>2018</v>
      </c>
      <c r="B3219" s="108">
        <v>33</v>
      </c>
      <c r="C3219" s="108" t="s">
        <v>139</v>
      </c>
      <c r="D3219" s="108">
        <v>5.5076097041569696</v>
      </c>
      <c r="E3219" s="108">
        <v>3.0465330351736699</v>
      </c>
      <c r="F3219" s="108" t="s">
        <v>135</v>
      </c>
      <c r="G3219" s="108">
        <v>4.569799552758</v>
      </c>
      <c r="H3219" s="108">
        <v>1</v>
      </c>
    </row>
    <row r="3220" spans="1:8" ht="14">
      <c r="A3220" s="108">
        <v>2018</v>
      </c>
      <c r="B3220" s="108">
        <v>33</v>
      </c>
      <c r="C3220" s="108" t="s">
        <v>139</v>
      </c>
      <c r="D3220" s="108">
        <v>0</v>
      </c>
      <c r="E3220" s="108">
        <v>9.8727300946763901E-4</v>
      </c>
      <c r="F3220" s="108" t="s">
        <v>137</v>
      </c>
      <c r="G3220" s="108">
        <v>1.480909514E-3</v>
      </c>
      <c r="H3220" s="108">
        <v>1</v>
      </c>
    </row>
    <row r="3221" spans="1:8" ht="14">
      <c r="A3221" s="108">
        <v>2018</v>
      </c>
      <c r="B3221" s="108">
        <v>33</v>
      </c>
      <c r="C3221" s="108" t="s">
        <v>139</v>
      </c>
      <c r="D3221" s="108">
        <v>450.33039029584302</v>
      </c>
      <c r="E3221" s="108">
        <v>58.783479691816801</v>
      </c>
      <c r="F3221" s="108" t="s">
        <v>136</v>
      </c>
      <c r="G3221" s="108">
        <v>88.175219537711001</v>
      </c>
      <c r="H3221" s="108">
        <v>1</v>
      </c>
    </row>
    <row r="3222" spans="1:8" ht="14">
      <c r="A3222" s="108">
        <v>2018</v>
      </c>
      <c r="B3222" s="108">
        <v>34</v>
      </c>
      <c r="C3222" s="108" t="s">
        <v>30</v>
      </c>
      <c r="D3222" s="108">
        <v>0</v>
      </c>
      <c r="E3222" s="108">
        <v>0.53590947612296802</v>
      </c>
      <c r="F3222" s="108" t="s">
        <v>137</v>
      </c>
      <c r="G3222" s="108">
        <v>1.2057963212789999</v>
      </c>
      <c r="H3222" s="108">
        <v>1</v>
      </c>
    </row>
    <row r="3223" spans="1:8" ht="14">
      <c r="A3223" s="108">
        <v>2018</v>
      </c>
      <c r="B3223" s="108">
        <v>34</v>
      </c>
      <c r="C3223" s="108" t="s">
        <v>30</v>
      </c>
      <c r="D3223" s="108">
        <v>5805.6945679269702</v>
      </c>
      <c r="E3223" s="108">
        <v>430.66733831807602</v>
      </c>
      <c r="F3223" s="108" t="s">
        <v>136</v>
      </c>
      <c r="G3223" s="108">
        <v>969.00151121558895</v>
      </c>
      <c r="H3223" s="108">
        <v>1</v>
      </c>
    </row>
    <row r="3224" spans="1:8" ht="14">
      <c r="A3224" s="108">
        <v>2018</v>
      </c>
      <c r="B3224" s="108">
        <v>34</v>
      </c>
      <c r="C3224" s="108" t="s">
        <v>30</v>
      </c>
      <c r="D3224" s="108">
        <v>329.81443207302902</v>
      </c>
      <c r="E3224" s="108">
        <v>22.134752205800599</v>
      </c>
      <c r="F3224" s="108" t="s">
        <v>135</v>
      </c>
      <c r="G3224" s="108">
        <v>49.803192463054003</v>
      </c>
      <c r="H3224" s="108">
        <v>1</v>
      </c>
    </row>
    <row r="3225" spans="1:8" ht="14">
      <c r="A3225" s="108">
        <v>2018</v>
      </c>
      <c r="B3225" s="108">
        <v>34</v>
      </c>
      <c r="C3225" s="108" t="s">
        <v>138</v>
      </c>
      <c r="D3225" s="108">
        <v>150.75889419535599</v>
      </c>
      <c r="E3225" s="108">
        <v>9.1132054148985109</v>
      </c>
      <c r="F3225" s="108" t="s">
        <v>135</v>
      </c>
      <c r="G3225" s="108">
        <v>20.504712183521999</v>
      </c>
      <c r="H3225" s="108">
        <v>1</v>
      </c>
    </row>
    <row r="3226" spans="1:8" ht="14">
      <c r="A3226" s="108">
        <v>2018</v>
      </c>
      <c r="B3226" s="108">
        <v>34</v>
      </c>
      <c r="C3226" s="108" t="s">
        <v>138</v>
      </c>
      <c r="D3226" s="108">
        <v>4717.61610580464</v>
      </c>
      <c r="E3226" s="108">
        <v>217.839800140287</v>
      </c>
      <c r="F3226" s="108" t="s">
        <v>136</v>
      </c>
      <c r="G3226" s="108">
        <v>490.13955031544799</v>
      </c>
      <c r="H3226" s="108">
        <v>1</v>
      </c>
    </row>
    <row r="3227" spans="1:8" ht="14">
      <c r="A3227" s="108">
        <v>2018</v>
      </c>
      <c r="B3227" s="108">
        <v>34</v>
      </c>
      <c r="C3227" s="108" t="s">
        <v>138</v>
      </c>
      <c r="D3227" s="108">
        <v>0</v>
      </c>
      <c r="E3227" s="108">
        <v>0.165994444814412</v>
      </c>
      <c r="F3227" s="108" t="s">
        <v>137</v>
      </c>
      <c r="G3227" s="108">
        <v>0.37348750083599902</v>
      </c>
      <c r="H3227" s="108">
        <v>1</v>
      </c>
    </row>
    <row r="3228" spans="1:8" ht="14">
      <c r="A3228" s="108">
        <v>2018</v>
      </c>
      <c r="B3228" s="108">
        <v>34</v>
      </c>
      <c r="C3228" s="108" t="s">
        <v>139</v>
      </c>
      <c r="D3228" s="108">
        <v>179.05553787767201</v>
      </c>
      <c r="E3228" s="108">
        <v>13.0215467909021</v>
      </c>
      <c r="F3228" s="108" t="s">
        <v>135</v>
      </c>
      <c r="G3228" s="108">
        <v>29.298480279532001</v>
      </c>
      <c r="H3228" s="108">
        <v>1</v>
      </c>
    </row>
    <row r="3229" spans="1:8" ht="14">
      <c r="A3229" s="108">
        <v>2018</v>
      </c>
      <c r="B3229" s="108">
        <v>34</v>
      </c>
      <c r="C3229" s="108" t="s">
        <v>139</v>
      </c>
      <c r="D3229" s="108">
        <v>0</v>
      </c>
      <c r="E3229" s="108">
        <v>0.36991503130855502</v>
      </c>
      <c r="F3229" s="108" t="s">
        <v>137</v>
      </c>
      <c r="G3229" s="108">
        <v>0.83230882044300003</v>
      </c>
      <c r="H3229" s="108">
        <v>1</v>
      </c>
    </row>
    <row r="3230" spans="1:8" ht="14">
      <c r="A3230" s="108">
        <v>2018</v>
      </c>
      <c r="B3230" s="108">
        <v>34</v>
      </c>
      <c r="C3230" s="108" t="s">
        <v>139</v>
      </c>
      <c r="D3230" s="108">
        <v>1088.0784621223199</v>
      </c>
      <c r="E3230" s="108">
        <v>212.82753817778899</v>
      </c>
      <c r="F3230" s="108" t="s">
        <v>136</v>
      </c>
      <c r="G3230" s="108">
        <v>478.86196090013999</v>
      </c>
      <c r="H3230" s="108">
        <v>1</v>
      </c>
    </row>
    <row r="3231" spans="1:8" ht="14">
      <c r="A3231" s="108">
        <v>2018</v>
      </c>
      <c r="B3231" s="108">
        <v>51</v>
      </c>
      <c r="C3231" s="108" t="s">
        <v>30</v>
      </c>
      <c r="D3231" s="108">
        <v>8359.2385495593298</v>
      </c>
      <c r="E3231" s="108">
        <v>732.05827531074704</v>
      </c>
      <c r="F3231" s="108" t="s">
        <v>135</v>
      </c>
      <c r="G3231" s="108"/>
      <c r="H3231" s="108">
        <v>1</v>
      </c>
    </row>
    <row r="3232" spans="1:8" ht="14">
      <c r="A3232" s="108">
        <v>2018</v>
      </c>
      <c r="B3232" s="108">
        <v>51</v>
      </c>
      <c r="C3232" s="108" t="s">
        <v>30</v>
      </c>
      <c r="D3232" s="108">
        <v>36200.828450440596</v>
      </c>
      <c r="E3232" s="108">
        <v>3494.1127246892502</v>
      </c>
      <c r="F3232" s="108" t="s">
        <v>136</v>
      </c>
      <c r="G3232" s="108"/>
      <c r="H3232" s="108">
        <v>1</v>
      </c>
    </row>
    <row r="3233" spans="1:8" ht="14">
      <c r="A3233" s="108">
        <v>2018</v>
      </c>
      <c r="B3233" s="108">
        <v>51</v>
      </c>
      <c r="C3233" s="108" t="s">
        <v>138</v>
      </c>
      <c r="D3233" s="108">
        <v>4149.1973333606902</v>
      </c>
      <c r="E3233" s="108">
        <v>369.24765495641401</v>
      </c>
      <c r="F3233" s="108" t="s">
        <v>135</v>
      </c>
      <c r="G3233" s="108"/>
      <c r="H3233" s="108">
        <v>1</v>
      </c>
    </row>
    <row r="3234" spans="1:8" ht="14">
      <c r="A3234" s="108">
        <v>2018</v>
      </c>
      <c r="B3234" s="108">
        <v>51</v>
      </c>
      <c r="C3234" s="108" t="s">
        <v>138</v>
      </c>
      <c r="D3234" s="108">
        <v>21074.9356666393</v>
      </c>
      <c r="E3234" s="108">
        <v>1714.0873450435799</v>
      </c>
      <c r="F3234" s="108" t="s">
        <v>136</v>
      </c>
      <c r="G3234" s="108"/>
      <c r="H3234" s="108">
        <v>1</v>
      </c>
    </row>
    <row r="3235" spans="1:8" ht="14">
      <c r="A3235" s="108">
        <v>2018</v>
      </c>
      <c r="B3235" s="108">
        <v>51</v>
      </c>
      <c r="C3235" s="108" t="s">
        <v>139</v>
      </c>
      <c r="D3235" s="108">
        <v>4210.0412161986296</v>
      </c>
      <c r="E3235" s="108">
        <v>362.81062035433303</v>
      </c>
      <c r="F3235" s="108" t="s">
        <v>135</v>
      </c>
      <c r="G3235" s="108"/>
      <c r="H3235" s="108">
        <v>1</v>
      </c>
    </row>
    <row r="3236" spans="1:8" ht="14">
      <c r="A3236" s="108">
        <v>2018</v>
      </c>
      <c r="B3236" s="108">
        <v>51</v>
      </c>
      <c r="C3236" s="108" t="s">
        <v>139</v>
      </c>
      <c r="D3236" s="108">
        <v>15125.892783801301</v>
      </c>
      <c r="E3236" s="108">
        <v>1780.02537964566</v>
      </c>
      <c r="F3236" s="108" t="s">
        <v>136</v>
      </c>
      <c r="G3236" s="108"/>
      <c r="H3236" s="108">
        <v>1</v>
      </c>
    </row>
    <row r="3237" spans="1:8" ht="14">
      <c r="A3237" s="108">
        <v>2018</v>
      </c>
      <c r="B3237" s="108">
        <v>52</v>
      </c>
      <c r="C3237" s="108" t="s">
        <v>30</v>
      </c>
      <c r="D3237" s="108">
        <v>0</v>
      </c>
      <c r="E3237" s="108">
        <v>1390.1644772693401</v>
      </c>
      <c r="F3237" s="108" t="s">
        <v>135</v>
      </c>
      <c r="G3237" s="108"/>
      <c r="H3237" s="108">
        <v>1</v>
      </c>
    </row>
    <row r="3238" spans="1:8" ht="14">
      <c r="A3238" s="108">
        <v>2018</v>
      </c>
      <c r="B3238" s="108">
        <v>52</v>
      </c>
      <c r="C3238" s="108" t="s">
        <v>30</v>
      </c>
      <c r="D3238" s="108">
        <v>0</v>
      </c>
      <c r="E3238" s="108">
        <v>4357.8375227306497</v>
      </c>
      <c r="F3238" s="108" t="s">
        <v>136</v>
      </c>
      <c r="G3238" s="108"/>
      <c r="H3238" s="108">
        <v>1</v>
      </c>
    </row>
    <row r="3239" spans="1:8" ht="14">
      <c r="A3239" s="108">
        <v>2018</v>
      </c>
      <c r="B3239" s="108">
        <v>52</v>
      </c>
      <c r="C3239" s="108" t="s">
        <v>138</v>
      </c>
      <c r="D3239" s="108">
        <v>0</v>
      </c>
      <c r="E3239" s="108">
        <v>2120.44023567461</v>
      </c>
      <c r="F3239" s="108" t="s">
        <v>136</v>
      </c>
      <c r="G3239" s="108"/>
      <c r="H3239" s="108">
        <v>1</v>
      </c>
    </row>
    <row r="3240" spans="1:8" ht="14">
      <c r="A3240" s="108">
        <v>2018</v>
      </c>
      <c r="B3240" s="108">
        <v>52</v>
      </c>
      <c r="C3240" s="108" t="s">
        <v>138</v>
      </c>
      <c r="D3240" s="108">
        <v>0</v>
      </c>
      <c r="E3240" s="108">
        <v>695.09376432538204</v>
      </c>
      <c r="F3240" s="108" t="s">
        <v>135</v>
      </c>
      <c r="G3240" s="108"/>
      <c r="H3240" s="108">
        <v>1</v>
      </c>
    </row>
    <row r="3241" spans="1:8" ht="14">
      <c r="A3241" s="108">
        <v>2018</v>
      </c>
      <c r="B3241" s="108">
        <v>52</v>
      </c>
      <c r="C3241" s="108" t="s">
        <v>139</v>
      </c>
      <c r="D3241" s="108">
        <v>0</v>
      </c>
      <c r="E3241" s="108">
        <v>2237.3972870560301</v>
      </c>
      <c r="F3241" s="108" t="s">
        <v>136</v>
      </c>
      <c r="G3241" s="108"/>
      <c r="H3241" s="108">
        <v>1</v>
      </c>
    </row>
    <row r="3242" spans="1:8" ht="14">
      <c r="A3242" s="108">
        <v>2018</v>
      </c>
      <c r="B3242" s="108">
        <v>52</v>
      </c>
      <c r="C3242" s="108" t="s">
        <v>139</v>
      </c>
      <c r="D3242" s="108">
        <v>0</v>
      </c>
      <c r="E3242" s="108">
        <v>695.07071294396303</v>
      </c>
      <c r="F3242" s="108" t="s">
        <v>135</v>
      </c>
      <c r="G3242" s="108"/>
      <c r="H3242" s="108">
        <v>1</v>
      </c>
    </row>
    <row r="3243" spans="1:8" ht="14">
      <c r="A3243" s="108">
        <v>2018</v>
      </c>
      <c r="B3243" s="108">
        <v>53</v>
      </c>
      <c r="C3243" s="108" t="s">
        <v>30</v>
      </c>
      <c r="D3243" s="108">
        <v>0</v>
      </c>
      <c r="E3243" s="108">
        <v>24.335999999999899</v>
      </c>
      <c r="F3243" s="108" t="s">
        <v>135</v>
      </c>
      <c r="G3243" s="108"/>
      <c r="H3243" s="108">
        <v>1</v>
      </c>
    </row>
    <row r="3244" spans="1:8" ht="14">
      <c r="A3244" s="108">
        <v>2018</v>
      </c>
      <c r="B3244" s="108">
        <v>53</v>
      </c>
      <c r="C3244" s="108" t="s">
        <v>30</v>
      </c>
      <c r="D3244" s="108">
        <v>0</v>
      </c>
      <c r="E3244" s="108">
        <v>104.42899999999899</v>
      </c>
      <c r="F3244" s="108" t="s">
        <v>136</v>
      </c>
      <c r="G3244" s="108"/>
      <c r="H3244" s="108">
        <v>1</v>
      </c>
    </row>
    <row r="3245" spans="1:8" ht="14">
      <c r="A3245" s="108">
        <v>2018</v>
      </c>
      <c r="B3245" s="108">
        <v>53</v>
      </c>
      <c r="C3245" s="108" t="s">
        <v>138</v>
      </c>
      <c r="D3245" s="108">
        <v>0</v>
      </c>
      <c r="E3245" s="108">
        <v>53.108999999999902</v>
      </c>
      <c r="F3245" s="108" t="s">
        <v>136</v>
      </c>
      <c r="G3245" s="108"/>
      <c r="H3245" s="108">
        <v>1</v>
      </c>
    </row>
    <row r="3246" spans="1:8" ht="14">
      <c r="A3246" s="108">
        <v>2018</v>
      </c>
      <c r="B3246" s="108">
        <v>53</v>
      </c>
      <c r="C3246" s="108" t="s">
        <v>138</v>
      </c>
      <c r="D3246" s="108">
        <v>0</v>
      </c>
      <c r="E3246" s="108">
        <v>12.1</v>
      </c>
      <c r="F3246" s="108" t="s">
        <v>135</v>
      </c>
      <c r="G3246" s="108"/>
      <c r="H3246" s="108">
        <v>1</v>
      </c>
    </row>
    <row r="3247" spans="1:8" ht="14">
      <c r="A3247" s="108">
        <v>2018</v>
      </c>
      <c r="B3247" s="108">
        <v>53</v>
      </c>
      <c r="C3247" s="108" t="s">
        <v>139</v>
      </c>
      <c r="D3247" s="108">
        <v>0</v>
      </c>
      <c r="E3247" s="108">
        <v>12.236000000000001</v>
      </c>
      <c r="F3247" s="108" t="s">
        <v>135</v>
      </c>
      <c r="G3247" s="108"/>
      <c r="H3247" s="108">
        <v>1</v>
      </c>
    </row>
    <row r="3248" spans="1:8" ht="14">
      <c r="A3248" s="108">
        <v>2018</v>
      </c>
      <c r="B3248" s="108">
        <v>53</v>
      </c>
      <c r="C3248" s="108" t="s">
        <v>139</v>
      </c>
      <c r="D3248" s="108">
        <v>0</v>
      </c>
      <c r="E3248" s="108">
        <v>51.32</v>
      </c>
      <c r="F3248" s="108" t="s">
        <v>136</v>
      </c>
      <c r="G3248" s="108"/>
      <c r="H3248" s="108">
        <v>1</v>
      </c>
    </row>
    <row r="3249" spans="1:8" ht="14">
      <c r="A3249" s="108">
        <v>2018</v>
      </c>
      <c r="B3249" s="108">
        <v>54</v>
      </c>
      <c r="C3249" s="108" t="s">
        <v>30</v>
      </c>
      <c r="D3249" s="108">
        <v>193.68524299795999</v>
      </c>
      <c r="E3249" s="108">
        <v>121.459613718439</v>
      </c>
      <c r="F3249" s="108" t="s">
        <v>135</v>
      </c>
      <c r="G3249" s="108"/>
      <c r="H3249" s="108">
        <v>1</v>
      </c>
    </row>
    <row r="3250" spans="1:8" ht="14">
      <c r="A3250" s="108">
        <v>2018</v>
      </c>
      <c r="B3250" s="108">
        <v>54</v>
      </c>
      <c r="C3250" s="108" t="s">
        <v>30</v>
      </c>
      <c r="D3250" s="108">
        <v>6473.6057570020303</v>
      </c>
      <c r="E3250" s="108">
        <v>3915.9493862815598</v>
      </c>
      <c r="F3250" s="108" t="s">
        <v>136</v>
      </c>
      <c r="G3250" s="108"/>
      <c r="H3250" s="108">
        <v>1</v>
      </c>
    </row>
    <row r="3251" spans="1:8" ht="14">
      <c r="A3251" s="108">
        <v>2018</v>
      </c>
      <c r="B3251" s="108">
        <v>54</v>
      </c>
      <c r="C3251" s="108" t="s">
        <v>138</v>
      </c>
      <c r="D3251" s="108">
        <v>88.4162592631737</v>
      </c>
      <c r="E3251" s="108">
        <v>53.512285759244897</v>
      </c>
      <c r="F3251" s="108" t="s">
        <v>135</v>
      </c>
      <c r="G3251" s="108"/>
      <c r="H3251" s="108">
        <v>1</v>
      </c>
    </row>
    <row r="3252" spans="1:8" ht="14">
      <c r="A3252" s="108">
        <v>2018</v>
      </c>
      <c r="B3252" s="108">
        <v>54</v>
      </c>
      <c r="C3252" s="108" t="s">
        <v>138</v>
      </c>
      <c r="D3252" s="108">
        <v>3831.1117407368201</v>
      </c>
      <c r="E3252" s="108">
        <v>2506.6717142407501</v>
      </c>
      <c r="F3252" s="108" t="s">
        <v>136</v>
      </c>
      <c r="G3252" s="108"/>
      <c r="H3252" s="108">
        <v>1</v>
      </c>
    </row>
    <row r="3253" spans="1:8" ht="14">
      <c r="A3253" s="108">
        <v>2018</v>
      </c>
      <c r="B3253" s="108">
        <v>54</v>
      </c>
      <c r="C3253" s="108" t="s">
        <v>139</v>
      </c>
      <c r="D3253" s="108">
        <v>2642.4940162652101</v>
      </c>
      <c r="E3253" s="108">
        <v>1409.2776720408001</v>
      </c>
      <c r="F3253" s="108" t="s">
        <v>136</v>
      </c>
      <c r="G3253" s="108"/>
      <c r="H3253" s="108">
        <v>1</v>
      </c>
    </row>
    <row r="3254" spans="1:8" ht="14">
      <c r="A3254" s="108">
        <v>2018</v>
      </c>
      <c r="B3254" s="108">
        <v>54</v>
      </c>
      <c r="C3254" s="108" t="s">
        <v>139</v>
      </c>
      <c r="D3254" s="108">
        <v>105.268983734786</v>
      </c>
      <c r="E3254" s="108">
        <v>67.947327959194496</v>
      </c>
      <c r="F3254" s="108" t="s">
        <v>135</v>
      </c>
      <c r="G3254" s="108"/>
      <c r="H3254" s="108">
        <v>1</v>
      </c>
    </row>
    <row r="3255" spans="1:8" ht="14">
      <c r="A3255" s="108">
        <v>2018</v>
      </c>
      <c r="B3255" s="108">
        <v>59</v>
      </c>
      <c r="C3255" s="108" t="s">
        <v>30</v>
      </c>
      <c r="D3255" s="108">
        <v>0</v>
      </c>
      <c r="E3255" s="108">
        <v>0.72398717948717894</v>
      </c>
      <c r="F3255" s="108" t="s">
        <v>135</v>
      </c>
      <c r="G3255" s="108"/>
      <c r="H3255" s="108">
        <v>1</v>
      </c>
    </row>
    <row r="3256" spans="1:8" ht="14">
      <c r="A3256" s="108">
        <v>2018</v>
      </c>
      <c r="B3256" s="108">
        <v>59</v>
      </c>
      <c r="C3256" s="108" t="s">
        <v>30</v>
      </c>
      <c r="D3256" s="108">
        <v>0</v>
      </c>
      <c r="E3256" s="108">
        <v>1.01282051282051E-3</v>
      </c>
      <c r="F3256" s="108" t="s">
        <v>136</v>
      </c>
      <c r="G3256" s="108"/>
      <c r="H3256" s="108">
        <v>1</v>
      </c>
    </row>
    <row r="3257" spans="1:8" ht="14">
      <c r="A3257" s="108">
        <v>2018</v>
      </c>
      <c r="B3257" s="108">
        <v>59</v>
      </c>
      <c r="C3257" s="108" t="s">
        <v>138</v>
      </c>
      <c r="D3257" s="108">
        <v>0</v>
      </c>
      <c r="E3257" s="108">
        <v>0.251</v>
      </c>
      <c r="F3257" s="108" t="s">
        <v>135</v>
      </c>
      <c r="G3257" s="108"/>
      <c r="H3257" s="108">
        <v>1</v>
      </c>
    </row>
    <row r="3258" spans="1:8" ht="14">
      <c r="A3258" s="108">
        <v>2018</v>
      </c>
      <c r="B3258" s="108">
        <v>59</v>
      </c>
      <c r="C3258" s="108" t="s">
        <v>139</v>
      </c>
      <c r="D3258" s="108">
        <v>0</v>
      </c>
      <c r="E3258" s="108">
        <v>1.01282051282051E-3</v>
      </c>
      <c r="F3258" s="108" t="s">
        <v>136</v>
      </c>
      <c r="G3258" s="108"/>
      <c r="H3258" s="108">
        <v>1</v>
      </c>
    </row>
    <row r="3259" spans="1:8" ht="14">
      <c r="A3259" s="108">
        <v>2018</v>
      </c>
      <c r="B3259" s="108">
        <v>59</v>
      </c>
      <c r="C3259" s="108" t="s">
        <v>139</v>
      </c>
      <c r="D3259" s="108">
        <v>0</v>
      </c>
      <c r="E3259" s="108">
        <v>0.472987179487179</v>
      </c>
      <c r="F3259" s="108" t="s">
        <v>135</v>
      </c>
      <c r="G3259" s="108"/>
      <c r="H3259" s="108">
        <v>1</v>
      </c>
    </row>
    <row r="3260" spans="1:8" ht="14">
      <c r="A3260" s="108">
        <v>2018</v>
      </c>
      <c r="B3260" s="108">
        <v>61</v>
      </c>
      <c r="C3260" s="108" t="s">
        <v>30</v>
      </c>
      <c r="D3260" s="108">
        <v>16700.9128744724</v>
      </c>
      <c r="E3260" s="108">
        <v>1103.7173728349801</v>
      </c>
      <c r="F3260" s="108" t="s">
        <v>135</v>
      </c>
      <c r="G3260" s="108"/>
      <c r="H3260" s="108">
        <v>1</v>
      </c>
    </row>
    <row r="3261" spans="1:8" ht="14">
      <c r="A3261" s="108">
        <v>2018</v>
      </c>
      <c r="B3261" s="108">
        <v>61</v>
      </c>
      <c r="C3261" s="108" t="s">
        <v>30</v>
      </c>
      <c r="D3261" s="108">
        <v>29297.675125527599</v>
      </c>
      <c r="E3261" s="108">
        <v>2072.2926271650099</v>
      </c>
      <c r="F3261" s="108" t="s">
        <v>136</v>
      </c>
      <c r="G3261" s="108"/>
      <c r="H3261" s="108">
        <v>1</v>
      </c>
    </row>
    <row r="3262" spans="1:8" ht="14">
      <c r="A3262" s="108">
        <v>2018</v>
      </c>
      <c r="B3262" s="108">
        <v>61</v>
      </c>
      <c r="C3262" s="108" t="s">
        <v>138</v>
      </c>
      <c r="D3262" s="108">
        <v>17514.243884664898</v>
      </c>
      <c r="E3262" s="108">
        <v>1047.6190520981199</v>
      </c>
      <c r="F3262" s="108" t="s">
        <v>136</v>
      </c>
      <c r="G3262" s="108"/>
      <c r="H3262" s="108">
        <v>1</v>
      </c>
    </row>
    <row r="3263" spans="1:8" ht="14">
      <c r="A3263" s="108">
        <v>2018</v>
      </c>
      <c r="B3263" s="108">
        <v>61</v>
      </c>
      <c r="C3263" s="108" t="s">
        <v>138</v>
      </c>
      <c r="D3263" s="108">
        <v>8150.4281153350203</v>
      </c>
      <c r="E3263" s="108">
        <v>548.45794790187006</v>
      </c>
      <c r="F3263" s="108" t="s">
        <v>135</v>
      </c>
      <c r="G3263" s="108"/>
      <c r="H3263" s="108">
        <v>1</v>
      </c>
    </row>
    <row r="3264" spans="1:8" ht="14">
      <c r="A3264" s="108">
        <v>2018</v>
      </c>
      <c r="B3264" s="108">
        <v>61</v>
      </c>
      <c r="C3264" s="108" t="s">
        <v>139</v>
      </c>
      <c r="D3264" s="108">
        <v>8550.4847591373891</v>
      </c>
      <c r="E3264" s="108">
        <v>555.25942493311402</v>
      </c>
      <c r="F3264" s="108" t="s">
        <v>135</v>
      </c>
      <c r="G3264" s="108"/>
      <c r="H3264" s="108">
        <v>1</v>
      </c>
    </row>
    <row r="3265" spans="1:8" ht="14">
      <c r="A3265" s="108">
        <v>2018</v>
      </c>
      <c r="B3265" s="108">
        <v>61</v>
      </c>
      <c r="C3265" s="108" t="s">
        <v>139</v>
      </c>
      <c r="D3265" s="108">
        <v>11783.431240862599</v>
      </c>
      <c r="E3265" s="108">
        <v>1024.6735750668799</v>
      </c>
      <c r="F3265" s="108" t="s">
        <v>136</v>
      </c>
      <c r="G3265" s="108"/>
      <c r="H3265" s="108">
        <v>1</v>
      </c>
    </row>
    <row r="3266" spans="1:8" ht="14">
      <c r="A3266" s="108">
        <v>2018</v>
      </c>
      <c r="B3266" s="108">
        <v>62</v>
      </c>
      <c r="C3266" s="108" t="s">
        <v>30</v>
      </c>
      <c r="D3266" s="108">
        <v>6.8409142966002898</v>
      </c>
      <c r="E3266" s="108">
        <v>2.98299009835628</v>
      </c>
      <c r="F3266" s="108" t="s">
        <v>135</v>
      </c>
      <c r="G3266" s="108"/>
      <c r="H3266" s="108">
        <v>1</v>
      </c>
    </row>
    <row r="3267" spans="1:8" ht="14">
      <c r="A3267" s="108">
        <v>2018</v>
      </c>
      <c r="B3267" s="108">
        <v>62</v>
      </c>
      <c r="C3267" s="108" t="s">
        <v>30</v>
      </c>
      <c r="D3267" s="108">
        <v>102.924085703399</v>
      </c>
      <c r="E3267" s="108">
        <v>29.3830099016437</v>
      </c>
      <c r="F3267" s="108" t="s">
        <v>136</v>
      </c>
      <c r="G3267" s="108"/>
      <c r="H3267" s="108">
        <v>1</v>
      </c>
    </row>
    <row r="3268" spans="1:8" ht="14">
      <c r="A3268" s="108">
        <v>2018</v>
      </c>
      <c r="B3268" s="108">
        <v>62</v>
      </c>
      <c r="C3268" s="108" t="s">
        <v>138</v>
      </c>
      <c r="D3268" s="108">
        <v>64.513770347855399</v>
      </c>
      <c r="E3268" s="108">
        <v>14.8783748431199</v>
      </c>
      <c r="F3268" s="108" t="s">
        <v>136</v>
      </c>
      <c r="G3268" s="108"/>
      <c r="H3268" s="108">
        <v>1</v>
      </c>
    </row>
    <row r="3269" spans="1:8" ht="14">
      <c r="A3269" s="108">
        <v>2018</v>
      </c>
      <c r="B3269" s="108">
        <v>62</v>
      </c>
      <c r="C3269" s="108" t="s">
        <v>138</v>
      </c>
      <c r="D3269" s="108">
        <v>3.68722965214454</v>
      </c>
      <c r="E3269" s="108">
        <v>1.51862515688002</v>
      </c>
      <c r="F3269" s="108" t="s">
        <v>135</v>
      </c>
      <c r="G3269" s="108"/>
      <c r="H3269" s="108">
        <v>1</v>
      </c>
    </row>
    <row r="3270" spans="1:8" ht="14">
      <c r="A3270" s="108">
        <v>2018</v>
      </c>
      <c r="B3270" s="108">
        <v>62</v>
      </c>
      <c r="C3270" s="108" t="s">
        <v>139</v>
      </c>
      <c r="D3270" s="108">
        <v>38.410315355544199</v>
      </c>
      <c r="E3270" s="108">
        <v>14.5046350585237</v>
      </c>
      <c r="F3270" s="108" t="s">
        <v>136</v>
      </c>
      <c r="G3270" s="108"/>
      <c r="H3270" s="108">
        <v>1</v>
      </c>
    </row>
    <row r="3271" spans="1:8" ht="14">
      <c r="A3271" s="108">
        <v>2018</v>
      </c>
      <c r="B3271" s="108">
        <v>62</v>
      </c>
      <c r="C3271" s="108" t="s">
        <v>139</v>
      </c>
      <c r="D3271" s="108">
        <v>3.1536846444557498</v>
      </c>
      <c r="E3271" s="108">
        <v>1.4643649414762501</v>
      </c>
      <c r="F3271" s="108" t="s">
        <v>135</v>
      </c>
      <c r="G3271" s="108"/>
      <c r="H3271" s="108">
        <v>1</v>
      </c>
    </row>
    <row r="3272" spans="1:8" ht="14">
      <c r="A3272" s="108">
        <v>2018</v>
      </c>
      <c r="B3272" s="108">
        <v>63</v>
      </c>
      <c r="C3272" s="108" t="s">
        <v>30</v>
      </c>
      <c r="D3272" s="108">
        <v>40.749949716876102</v>
      </c>
      <c r="E3272" s="108">
        <v>7.8702323735892401</v>
      </c>
      <c r="F3272" s="108" t="s">
        <v>135</v>
      </c>
      <c r="G3272" s="108"/>
      <c r="H3272" s="108">
        <v>1</v>
      </c>
    </row>
    <row r="3273" spans="1:8" ht="14">
      <c r="A3273" s="108">
        <v>2018</v>
      </c>
      <c r="B3273" s="108">
        <v>63</v>
      </c>
      <c r="C3273" s="108" t="s">
        <v>30</v>
      </c>
      <c r="D3273" s="108">
        <v>10203.6740502831</v>
      </c>
      <c r="E3273" s="108">
        <v>552.92776762640995</v>
      </c>
      <c r="F3273" s="108" t="s">
        <v>136</v>
      </c>
      <c r="G3273" s="108"/>
      <c r="H3273" s="108">
        <v>1</v>
      </c>
    </row>
    <row r="3274" spans="1:8" ht="14">
      <c r="A3274" s="108">
        <v>2018</v>
      </c>
      <c r="B3274" s="108">
        <v>63</v>
      </c>
      <c r="C3274" s="108" t="s">
        <v>138</v>
      </c>
      <c r="D3274" s="108">
        <v>22.1111563527434</v>
      </c>
      <c r="E3274" s="108">
        <v>3.8401786143372001</v>
      </c>
      <c r="F3274" s="108" t="s">
        <v>135</v>
      </c>
      <c r="G3274" s="108"/>
      <c r="H3274" s="108">
        <v>1</v>
      </c>
    </row>
    <row r="3275" spans="1:8" ht="14">
      <c r="A3275" s="108">
        <v>2018</v>
      </c>
      <c r="B3275" s="108">
        <v>63</v>
      </c>
      <c r="C3275" s="108" t="s">
        <v>138</v>
      </c>
      <c r="D3275" s="108">
        <v>7218.5308436472496</v>
      </c>
      <c r="E3275" s="108">
        <v>283.51082138566198</v>
      </c>
      <c r="F3275" s="108" t="s">
        <v>136</v>
      </c>
      <c r="G3275" s="108"/>
      <c r="H3275" s="108">
        <v>1</v>
      </c>
    </row>
    <row r="3276" spans="1:8" ht="14">
      <c r="A3276" s="108">
        <v>2018</v>
      </c>
      <c r="B3276" s="108">
        <v>63</v>
      </c>
      <c r="C3276" s="108" t="s">
        <v>139</v>
      </c>
      <c r="D3276" s="108">
        <v>18.638793364132699</v>
      </c>
      <c r="E3276" s="108">
        <v>4.0300537592520396</v>
      </c>
      <c r="F3276" s="108" t="s">
        <v>135</v>
      </c>
      <c r="G3276" s="108"/>
      <c r="H3276" s="108">
        <v>1</v>
      </c>
    </row>
    <row r="3277" spans="1:8" ht="14">
      <c r="A3277" s="108">
        <v>2018</v>
      </c>
      <c r="B3277" s="108">
        <v>63</v>
      </c>
      <c r="C3277" s="108" t="s">
        <v>139</v>
      </c>
      <c r="D3277" s="108">
        <v>2985.1432066358602</v>
      </c>
      <c r="E3277" s="108">
        <v>269.41694624074802</v>
      </c>
      <c r="F3277" s="108" t="s">
        <v>136</v>
      </c>
      <c r="G3277" s="108"/>
      <c r="H3277" s="108">
        <v>1</v>
      </c>
    </row>
    <row r="3278" spans="1:8" ht="14">
      <c r="A3278" s="108">
        <v>2018</v>
      </c>
      <c r="B3278" s="108">
        <v>91</v>
      </c>
      <c r="C3278" s="108" t="s">
        <v>30</v>
      </c>
      <c r="D3278" s="108">
        <v>29.130784834061402</v>
      </c>
      <c r="E3278" s="108">
        <v>0</v>
      </c>
      <c r="F3278" s="108" t="s">
        <v>137</v>
      </c>
      <c r="G3278" s="108"/>
      <c r="H3278" s="108">
        <v>1</v>
      </c>
    </row>
    <row r="3279" spans="1:8" ht="14">
      <c r="A3279" s="108">
        <v>2018</v>
      </c>
      <c r="B3279" s="108">
        <v>91</v>
      </c>
      <c r="C3279" s="108" t="s">
        <v>30</v>
      </c>
      <c r="D3279" s="108">
        <v>69.828422013196999</v>
      </c>
      <c r="E3279" s="108">
        <v>0</v>
      </c>
      <c r="F3279" s="108" t="s">
        <v>135</v>
      </c>
      <c r="G3279" s="108"/>
      <c r="H3279" s="108">
        <v>1</v>
      </c>
    </row>
    <row r="3280" spans="1:8" ht="14">
      <c r="A3280" s="108">
        <v>2018</v>
      </c>
      <c r="B3280" s="108">
        <v>91</v>
      </c>
      <c r="C3280" s="108" t="s">
        <v>30</v>
      </c>
      <c r="D3280" s="108">
        <v>5154.7687931527398</v>
      </c>
      <c r="E3280" s="108">
        <v>0</v>
      </c>
      <c r="F3280" s="108" t="s">
        <v>136</v>
      </c>
      <c r="G3280" s="108"/>
      <c r="H3280" s="108">
        <v>1</v>
      </c>
    </row>
    <row r="3281" spans="1:8" ht="14">
      <c r="A3281" s="108">
        <v>2018</v>
      </c>
      <c r="B3281" s="108">
        <v>91</v>
      </c>
      <c r="C3281" s="108" t="s">
        <v>138</v>
      </c>
      <c r="D3281" s="108">
        <v>29.104784834061402</v>
      </c>
      <c r="E3281" s="108">
        <v>0</v>
      </c>
      <c r="F3281" s="108" t="s">
        <v>137</v>
      </c>
      <c r="G3281" s="108"/>
      <c r="H3281" s="108">
        <v>1</v>
      </c>
    </row>
    <row r="3282" spans="1:8" ht="14">
      <c r="A3282" s="108">
        <v>2018</v>
      </c>
      <c r="B3282" s="108">
        <v>91</v>
      </c>
      <c r="C3282" s="108" t="s">
        <v>138</v>
      </c>
      <c r="D3282" s="108">
        <v>68.928422013196993</v>
      </c>
      <c r="E3282" s="108">
        <v>0</v>
      </c>
      <c r="F3282" s="108" t="s">
        <v>135</v>
      </c>
      <c r="G3282" s="108"/>
      <c r="H3282" s="108">
        <v>1</v>
      </c>
    </row>
    <row r="3283" spans="1:8" ht="14">
      <c r="A3283" s="108">
        <v>2018</v>
      </c>
      <c r="B3283" s="108">
        <v>91</v>
      </c>
      <c r="C3283" s="108" t="s">
        <v>138</v>
      </c>
      <c r="D3283" s="108">
        <v>5111.26979315274</v>
      </c>
      <c r="E3283" s="108">
        <v>0</v>
      </c>
      <c r="F3283" s="108" t="s">
        <v>136</v>
      </c>
      <c r="G3283" s="108"/>
      <c r="H3283" s="108">
        <v>1</v>
      </c>
    </row>
    <row r="3284" spans="1:8" ht="14">
      <c r="A3284" s="108">
        <v>2018</v>
      </c>
      <c r="B3284" s="108">
        <v>91</v>
      </c>
      <c r="C3284" s="108" t="s">
        <v>139</v>
      </c>
      <c r="D3284" s="108">
        <v>0.9</v>
      </c>
      <c r="E3284" s="108">
        <v>0</v>
      </c>
      <c r="F3284" s="108" t="s">
        <v>135</v>
      </c>
      <c r="G3284" s="108"/>
      <c r="H3284" s="108">
        <v>1</v>
      </c>
    </row>
    <row r="3285" spans="1:8" ht="14">
      <c r="A3285" s="108">
        <v>2018</v>
      </c>
      <c r="B3285" s="108">
        <v>91</v>
      </c>
      <c r="C3285" s="108" t="s">
        <v>139</v>
      </c>
      <c r="D3285" s="108">
        <v>43.499000000000002</v>
      </c>
      <c r="E3285" s="108">
        <v>0</v>
      </c>
      <c r="F3285" s="108" t="s">
        <v>136</v>
      </c>
      <c r="G3285" s="108"/>
      <c r="H3285" s="108">
        <v>1</v>
      </c>
    </row>
    <row r="3286" spans="1:8" ht="14">
      <c r="A3286" s="108">
        <v>2018</v>
      </c>
      <c r="B3286" s="108">
        <v>91</v>
      </c>
      <c r="C3286" s="108" t="s">
        <v>139</v>
      </c>
      <c r="D3286" s="108">
        <v>2.5999999999999999E-2</v>
      </c>
      <c r="E3286" s="108">
        <v>0</v>
      </c>
      <c r="F3286" s="108" t="s">
        <v>137</v>
      </c>
      <c r="G3286" s="108"/>
      <c r="H3286" s="108">
        <v>1</v>
      </c>
    </row>
    <row r="3287" spans="1:8" ht="14">
      <c r="A3287" s="108">
        <v>2018</v>
      </c>
      <c r="B3287" s="108">
        <v>92</v>
      </c>
      <c r="C3287" s="108" t="s">
        <v>30</v>
      </c>
      <c r="D3287" s="108">
        <v>7.343</v>
      </c>
      <c r="E3287" s="108">
        <v>0</v>
      </c>
      <c r="F3287" s="108" t="s">
        <v>137</v>
      </c>
      <c r="G3287" s="108"/>
      <c r="H3287" s="108">
        <v>1</v>
      </c>
    </row>
    <row r="3288" spans="1:8" ht="14">
      <c r="A3288" s="108">
        <v>2018</v>
      </c>
      <c r="B3288" s="108">
        <v>92</v>
      </c>
      <c r="C3288" s="108" t="s">
        <v>30</v>
      </c>
      <c r="D3288" s="108">
        <v>6794.0314372513403</v>
      </c>
      <c r="E3288" s="108">
        <v>0</v>
      </c>
      <c r="F3288" s="108" t="s">
        <v>136</v>
      </c>
      <c r="G3288" s="108"/>
      <c r="H3288" s="108">
        <v>1</v>
      </c>
    </row>
    <row r="3289" spans="1:8" ht="14">
      <c r="A3289" s="108">
        <v>2018</v>
      </c>
      <c r="B3289" s="108">
        <v>92</v>
      </c>
      <c r="C3289" s="108" t="s">
        <v>30</v>
      </c>
      <c r="D3289" s="108">
        <v>199.37656274865299</v>
      </c>
      <c r="E3289" s="108">
        <v>0</v>
      </c>
      <c r="F3289" s="108" t="s">
        <v>135</v>
      </c>
      <c r="G3289" s="108"/>
      <c r="H3289" s="108">
        <v>1</v>
      </c>
    </row>
    <row r="3290" spans="1:8" ht="14">
      <c r="A3290" s="108">
        <v>2018</v>
      </c>
      <c r="B3290" s="108">
        <v>92</v>
      </c>
      <c r="C3290" s="108" t="s">
        <v>138</v>
      </c>
      <c r="D3290" s="108">
        <v>5.9320000000000004</v>
      </c>
      <c r="E3290" s="108">
        <v>0</v>
      </c>
      <c r="F3290" s="108" t="s">
        <v>137</v>
      </c>
      <c r="G3290" s="108"/>
      <c r="H3290" s="108">
        <v>1</v>
      </c>
    </row>
    <row r="3291" spans="1:8" ht="14">
      <c r="A3291" s="108">
        <v>2018</v>
      </c>
      <c r="B3291" s="108">
        <v>92</v>
      </c>
      <c r="C3291" s="108" t="s">
        <v>138</v>
      </c>
      <c r="D3291" s="108">
        <v>97.217150197548094</v>
      </c>
      <c r="E3291" s="108">
        <v>0</v>
      </c>
      <c r="F3291" s="108" t="s">
        <v>135</v>
      </c>
      <c r="G3291" s="108"/>
      <c r="H3291" s="108">
        <v>1</v>
      </c>
    </row>
    <row r="3292" spans="1:8" ht="14">
      <c r="A3292" s="108">
        <v>2018</v>
      </c>
      <c r="B3292" s="108">
        <v>92</v>
      </c>
      <c r="C3292" s="108" t="s">
        <v>138</v>
      </c>
      <c r="D3292" s="108">
        <v>5605.3868498024503</v>
      </c>
      <c r="E3292" s="108">
        <v>0</v>
      </c>
      <c r="F3292" s="108" t="s">
        <v>136</v>
      </c>
      <c r="G3292" s="108"/>
      <c r="H3292" s="108">
        <v>1</v>
      </c>
    </row>
    <row r="3293" spans="1:8" ht="14">
      <c r="A3293" s="108">
        <v>2018</v>
      </c>
      <c r="B3293" s="108">
        <v>92</v>
      </c>
      <c r="C3293" s="108" t="s">
        <v>139</v>
      </c>
      <c r="D3293" s="108">
        <v>1188.64458744889</v>
      </c>
      <c r="E3293" s="108">
        <v>0</v>
      </c>
      <c r="F3293" s="108" t="s">
        <v>136</v>
      </c>
      <c r="G3293" s="108"/>
      <c r="H3293" s="108">
        <v>1</v>
      </c>
    </row>
    <row r="3294" spans="1:8" ht="14">
      <c r="A3294" s="108">
        <v>2018</v>
      </c>
      <c r="B3294" s="108">
        <v>92</v>
      </c>
      <c r="C3294" s="108" t="s">
        <v>139</v>
      </c>
      <c r="D3294" s="108">
        <v>1.411</v>
      </c>
      <c r="E3294" s="108">
        <v>0</v>
      </c>
      <c r="F3294" s="108" t="s">
        <v>137</v>
      </c>
      <c r="G3294" s="108"/>
      <c r="H3294" s="108">
        <v>1</v>
      </c>
    </row>
    <row r="3295" spans="1:8" ht="14">
      <c r="A3295" s="108">
        <v>2018</v>
      </c>
      <c r="B3295" s="108">
        <v>92</v>
      </c>
      <c r="C3295" s="108" t="s">
        <v>139</v>
      </c>
      <c r="D3295" s="108">
        <v>102.159412551104</v>
      </c>
      <c r="E3295" s="108">
        <v>0</v>
      </c>
      <c r="F3295" s="108" t="s">
        <v>135</v>
      </c>
      <c r="G3295" s="108"/>
      <c r="H3295" s="108">
        <v>1</v>
      </c>
    </row>
    <row r="3296" spans="1:8" ht="14">
      <c r="A3296" s="108">
        <v>2018</v>
      </c>
      <c r="B3296" s="108">
        <v>99</v>
      </c>
      <c r="C3296" s="108" t="s">
        <v>30</v>
      </c>
      <c r="D3296" s="108">
        <v>50.831054301206301</v>
      </c>
      <c r="E3296" s="108">
        <v>0</v>
      </c>
      <c r="F3296" s="108" t="s">
        <v>137</v>
      </c>
      <c r="G3296" s="108"/>
      <c r="H3296" s="108">
        <v>1</v>
      </c>
    </row>
    <row r="3297" spans="1:8" ht="14">
      <c r="A3297" s="108">
        <v>2018</v>
      </c>
      <c r="B3297" s="108">
        <v>99</v>
      </c>
      <c r="C3297" s="108" t="s">
        <v>30</v>
      </c>
      <c r="D3297" s="108">
        <v>1961.2110519929799</v>
      </c>
      <c r="E3297" s="108">
        <v>0</v>
      </c>
      <c r="F3297" s="108" t="s">
        <v>135</v>
      </c>
      <c r="G3297" s="108"/>
      <c r="H3297" s="108">
        <v>1</v>
      </c>
    </row>
    <row r="3298" spans="1:8" ht="14">
      <c r="A3298" s="108">
        <v>2018</v>
      </c>
      <c r="B3298" s="108">
        <v>99</v>
      </c>
      <c r="C3298" s="108" t="s">
        <v>30</v>
      </c>
      <c r="D3298" s="108">
        <v>3598.14989370581</v>
      </c>
      <c r="E3298" s="108">
        <v>0</v>
      </c>
      <c r="F3298" s="108" t="s">
        <v>136</v>
      </c>
      <c r="G3298" s="108"/>
      <c r="H3298" s="108">
        <v>1</v>
      </c>
    </row>
    <row r="3299" spans="1:8" ht="14">
      <c r="A3299" s="108">
        <v>2018</v>
      </c>
      <c r="B3299" s="108">
        <v>99</v>
      </c>
      <c r="C3299" s="108" t="s">
        <v>138</v>
      </c>
      <c r="D3299" s="108">
        <v>2477.97550989314</v>
      </c>
      <c r="E3299" s="108">
        <v>0</v>
      </c>
      <c r="F3299" s="108" t="s">
        <v>136</v>
      </c>
      <c r="G3299" s="108"/>
      <c r="H3299" s="108">
        <v>1</v>
      </c>
    </row>
    <row r="3300" spans="1:8" ht="14">
      <c r="A3300" s="108">
        <v>2018</v>
      </c>
      <c r="B3300" s="108">
        <v>99</v>
      </c>
      <c r="C3300" s="108" t="s">
        <v>138</v>
      </c>
      <c r="D3300" s="108">
        <v>744.36043580565195</v>
      </c>
      <c r="E3300" s="108">
        <v>0</v>
      </c>
      <c r="F3300" s="108" t="s">
        <v>135</v>
      </c>
      <c r="G3300" s="108"/>
      <c r="H3300" s="108">
        <v>1</v>
      </c>
    </row>
    <row r="3301" spans="1:8" ht="14">
      <c r="A3301" s="108">
        <v>2018</v>
      </c>
      <c r="B3301" s="108">
        <v>99</v>
      </c>
      <c r="C3301" s="108" t="s">
        <v>138</v>
      </c>
      <c r="D3301" s="108">
        <v>50.831054301206301</v>
      </c>
      <c r="E3301" s="108">
        <v>0</v>
      </c>
      <c r="F3301" s="108" t="s">
        <v>137</v>
      </c>
      <c r="G3301" s="108"/>
      <c r="H3301" s="108">
        <v>1</v>
      </c>
    </row>
    <row r="3302" spans="1:8" ht="14">
      <c r="A3302" s="108">
        <v>2018</v>
      </c>
      <c r="B3302" s="108">
        <v>99</v>
      </c>
      <c r="C3302" s="108" t="s">
        <v>139</v>
      </c>
      <c r="D3302" s="108">
        <v>1216.8506161873199</v>
      </c>
      <c r="E3302" s="108">
        <v>0</v>
      </c>
      <c r="F3302" s="108" t="s">
        <v>135</v>
      </c>
      <c r="G3302" s="108"/>
      <c r="H3302" s="108">
        <v>1</v>
      </c>
    </row>
    <row r="3303" spans="1:8" ht="14">
      <c r="A3303" s="108">
        <v>2018</v>
      </c>
      <c r="B3303" s="108">
        <v>99</v>
      </c>
      <c r="C3303" s="108" t="s">
        <v>139</v>
      </c>
      <c r="D3303" s="108">
        <v>1120.1743838126699</v>
      </c>
      <c r="E3303" s="108">
        <v>0</v>
      </c>
      <c r="F3303" s="108" t="s">
        <v>136</v>
      </c>
      <c r="G3303" s="108"/>
      <c r="H3303" s="108">
        <v>1</v>
      </c>
    </row>
    <row r="3304" spans="1:8" ht="14">
      <c r="A3304" s="108">
        <v>2019</v>
      </c>
      <c r="B3304" s="108">
        <v>11</v>
      </c>
      <c r="C3304" s="108" t="s">
        <v>30</v>
      </c>
      <c r="D3304" s="108">
        <v>920.66197953163601</v>
      </c>
      <c r="E3304" s="108">
        <v>0</v>
      </c>
      <c r="F3304" s="108" t="s">
        <v>135</v>
      </c>
      <c r="G3304" s="108"/>
      <c r="H3304" s="108">
        <v>1</v>
      </c>
    </row>
    <row r="3305" spans="1:8" ht="14">
      <c r="A3305" s="108">
        <v>2019</v>
      </c>
      <c r="B3305" s="108">
        <v>11</v>
      </c>
      <c r="C3305" s="108" t="s">
        <v>30</v>
      </c>
      <c r="D3305" s="108">
        <v>18086.839020468298</v>
      </c>
      <c r="E3305" s="108">
        <v>0</v>
      </c>
      <c r="F3305" s="108" t="s">
        <v>136</v>
      </c>
      <c r="G3305" s="108"/>
      <c r="H3305" s="108">
        <v>1</v>
      </c>
    </row>
    <row r="3306" spans="1:8" ht="14">
      <c r="A3306" s="108">
        <v>2019</v>
      </c>
      <c r="B3306" s="108">
        <v>11</v>
      </c>
      <c r="C3306" s="108" t="s">
        <v>138</v>
      </c>
      <c r="D3306" s="108">
        <v>14797.6224387237</v>
      </c>
      <c r="E3306" s="108">
        <v>0</v>
      </c>
      <c r="F3306" s="108" t="s">
        <v>136</v>
      </c>
      <c r="G3306" s="108"/>
      <c r="H3306" s="108">
        <v>1</v>
      </c>
    </row>
    <row r="3307" spans="1:8" ht="14">
      <c r="A3307" s="108">
        <v>2019</v>
      </c>
      <c r="B3307" s="108">
        <v>11</v>
      </c>
      <c r="C3307" s="108" t="s">
        <v>138</v>
      </c>
      <c r="D3307" s="108">
        <v>487.21656127622799</v>
      </c>
      <c r="E3307" s="108">
        <v>0</v>
      </c>
      <c r="F3307" s="108" t="s">
        <v>135</v>
      </c>
      <c r="G3307" s="108"/>
      <c r="H3307" s="108">
        <v>1</v>
      </c>
    </row>
    <row r="3308" spans="1:8" ht="14">
      <c r="A3308" s="108">
        <v>2019</v>
      </c>
      <c r="B3308" s="108">
        <v>11</v>
      </c>
      <c r="C3308" s="108" t="s">
        <v>139</v>
      </c>
      <c r="D3308" s="108">
        <v>3289.2165817445898</v>
      </c>
      <c r="E3308" s="108">
        <v>0</v>
      </c>
      <c r="F3308" s="108" t="s">
        <v>136</v>
      </c>
      <c r="G3308" s="108"/>
      <c r="H3308" s="108">
        <v>1</v>
      </c>
    </row>
    <row r="3309" spans="1:8" ht="14">
      <c r="A3309" s="108">
        <v>2019</v>
      </c>
      <c r="B3309" s="108">
        <v>11</v>
      </c>
      <c r="C3309" s="108" t="s">
        <v>139</v>
      </c>
      <c r="D3309" s="108">
        <v>433.44541825540699</v>
      </c>
      <c r="E3309" s="108">
        <v>0</v>
      </c>
      <c r="F3309" s="108" t="s">
        <v>135</v>
      </c>
      <c r="G3309" s="108"/>
      <c r="H3309" s="108">
        <v>1</v>
      </c>
    </row>
    <row r="3310" spans="1:8" ht="14">
      <c r="A3310" s="108">
        <v>2019</v>
      </c>
      <c r="B3310" s="108">
        <v>12</v>
      </c>
      <c r="C3310" s="108" t="s">
        <v>30</v>
      </c>
      <c r="D3310" s="108">
        <v>16875.070092196798</v>
      </c>
      <c r="E3310" s="108">
        <v>0</v>
      </c>
      <c r="F3310" s="108" t="s">
        <v>135</v>
      </c>
      <c r="G3310" s="108"/>
      <c r="H3310" s="108">
        <v>1</v>
      </c>
    </row>
    <row r="3311" spans="1:8" ht="14">
      <c r="A3311" s="108">
        <v>2019</v>
      </c>
      <c r="B3311" s="108">
        <v>12</v>
      </c>
      <c r="C3311" s="108" t="s">
        <v>30</v>
      </c>
      <c r="D3311" s="108">
        <v>68076.621907803099</v>
      </c>
      <c r="E3311" s="108">
        <v>0</v>
      </c>
      <c r="F3311" s="108" t="s">
        <v>136</v>
      </c>
      <c r="G3311" s="108"/>
      <c r="H3311" s="108">
        <v>1</v>
      </c>
    </row>
    <row r="3312" spans="1:8" ht="14">
      <c r="A3312" s="108">
        <v>2019</v>
      </c>
      <c r="B3312" s="108">
        <v>12</v>
      </c>
      <c r="C3312" s="108" t="s">
        <v>138</v>
      </c>
      <c r="D3312" s="108">
        <v>41008.610518498303</v>
      </c>
      <c r="E3312" s="108">
        <v>0</v>
      </c>
      <c r="F3312" s="108" t="s">
        <v>136</v>
      </c>
      <c r="G3312" s="108"/>
      <c r="H3312" s="108">
        <v>1</v>
      </c>
    </row>
    <row r="3313" spans="1:8" ht="14">
      <c r="A3313" s="108">
        <v>2019</v>
      </c>
      <c r="B3313" s="108">
        <v>12</v>
      </c>
      <c r="C3313" s="108" t="s">
        <v>138</v>
      </c>
      <c r="D3313" s="108">
        <v>8705.2334815016893</v>
      </c>
      <c r="E3313" s="108">
        <v>0</v>
      </c>
      <c r="F3313" s="108" t="s">
        <v>135</v>
      </c>
      <c r="G3313" s="108"/>
      <c r="H3313" s="108">
        <v>1</v>
      </c>
    </row>
    <row r="3314" spans="1:8" ht="14">
      <c r="A3314" s="108">
        <v>2019</v>
      </c>
      <c r="B3314" s="108">
        <v>12</v>
      </c>
      <c r="C3314" s="108" t="s">
        <v>139</v>
      </c>
      <c r="D3314" s="108">
        <v>8169.8366106951498</v>
      </c>
      <c r="E3314" s="108">
        <v>0</v>
      </c>
      <c r="F3314" s="108" t="s">
        <v>135</v>
      </c>
      <c r="G3314" s="108"/>
      <c r="H3314" s="108">
        <v>1</v>
      </c>
    </row>
    <row r="3315" spans="1:8" ht="14">
      <c r="A3315" s="108">
        <v>2019</v>
      </c>
      <c r="B3315" s="108">
        <v>12</v>
      </c>
      <c r="C3315" s="108" t="s">
        <v>139</v>
      </c>
      <c r="D3315" s="108">
        <v>27068.0113893048</v>
      </c>
      <c r="E3315" s="108">
        <v>0</v>
      </c>
      <c r="F3315" s="108" t="s">
        <v>136</v>
      </c>
      <c r="G3315" s="108"/>
      <c r="H3315" s="108">
        <v>1</v>
      </c>
    </row>
    <row r="3316" spans="1:8" ht="14">
      <c r="A3316" s="108">
        <v>2019</v>
      </c>
      <c r="B3316" s="108">
        <v>13</v>
      </c>
      <c r="C3316" s="108" t="s">
        <v>30</v>
      </c>
      <c r="D3316" s="108">
        <v>62018.522228968097</v>
      </c>
      <c r="E3316" s="108">
        <v>0</v>
      </c>
      <c r="F3316" s="108" t="s">
        <v>136</v>
      </c>
      <c r="G3316" s="108"/>
      <c r="H3316" s="108">
        <v>1</v>
      </c>
    </row>
    <row r="3317" spans="1:8" ht="14">
      <c r="A3317" s="108">
        <v>2019</v>
      </c>
      <c r="B3317" s="108">
        <v>13</v>
      </c>
      <c r="C3317" s="108" t="s">
        <v>30</v>
      </c>
      <c r="D3317" s="108">
        <v>13729.3531363782</v>
      </c>
      <c r="E3317" s="108">
        <v>0</v>
      </c>
      <c r="F3317" s="108" t="s">
        <v>135</v>
      </c>
      <c r="G3317" s="108"/>
      <c r="H3317" s="108">
        <v>1</v>
      </c>
    </row>
    <row r="3318" spans="1:8" ht="14">
      <c r="A3318" s="108">
        <v>2019</v>
      </c>
      <c r="B3318" s="108">
        <v>13</v>
      </c>
      <c r="C3318" s="108" t="s">
        <v>30</v>
      </c>
      <c r="D3318" s="108">
        <v>19.429634653609501</v>
      </c>
      <c r="E3318" s="108">
        <v>0</v>
      </c>
      <c r="F3318" s="108" t="s">
        <v>137</v>
      </c>
      <c r="G3318" s="108"/>
      <c r="H3318" s="108">
        <v>1</v>
      </c>
    </row>
    <row r="3319" spans="1:8" ht="14">
      <c r="A3319" s="108">
        <v>2019</v>
      </c>
      <c r="B3319" s="108">
        <v>13</v>
      </c>
      <c r="C3319" s="108" t="s">
        <v>138</v>
      </c>
      <c r="D3319" s="108">
        <v>19.429634653609501</v>
      </c>
      <c r="E3319" s="108">
        <v>0</v>
      </c>
      <c r="F3319" s="108" t="s">
        <v>137</v>
      </c>
      <c r="G3319" s="108"/>
      <c r="H3319" s="108">
        <v>1</v>
      </c>
    </row>
    <row r="3320" spans="1:8" ht="14">
      <c r="A3320" s="108">
        <v>2019</v>
      </c>
      <c r="B3320" s="108">
        <v>13</v>
      </c>
      <c r="C3320" s="108" t="s">
        <v>138</v>
      </c>
      <c r="D3320" s="108">
        <v>7119.4943171858004</v>
      </c>
      <c r="E3320" s="108">
        <v>0</v>
      </c>
      <c r="F3320" s="108" t="s">
        <v>135</v>
      </c>
      <c r="G3320" s="108"/>
      <c r="H3320" s="108">
        <v>1</v>
      </c>
    </row>
    <row r="3321" spans="1:8" ht="14">
      <c r="A3321" s="108">
        <v>2019</v>
      </c>
      <c r="B3321" s="108">
        <v>13</v>
      </c>
      <c r="C3321" s="108" t="s">
        <v>138</v>
      </c>
      <c r="D3321" s="108">
        <v>39032.419048160598</v>
      </c>
      <c r="E3321" s="108">
        <v>0</v>
      </c>
      <c r="F3321" s="108" t="s">
        <v>136</v>
      </c>
      <c r="G3321" s="108"/>
      <c r="H3321" s="108">
        <v>1</v>
      </c>
    </row>
    <row r="3322" spans="1:8" ht="14">
      <c r="A3322" s="108">
        <v>2019</v>
      </c>
      <c r="B3322" s="108">
        <v>13</v>
      </c>
      <c r="C3322" s="108" t="s">
        <v>139</v>
      </c>
      <c r="D3322" s="108">
        <v>22986.103180807499</v>
      </c>
      <c r="E3322" s="108">
        <v>0</v>
      </c>
      <c r="F3322" s="108" t="s">
        <v>136</v>
      </c>
      <c r="G3322" s="108"/>
      <c r="H3322" s="108">
        <v>1</v>
      </c>
    </row>
    <row r="3323" spans="1:8" ht="14">
      <c r="A3323" s="108">
        <v>2019</v>
      </c>
      <c r="B3323" s="108">
        <v>13</v>
      </c>
      <c r="C3323" s="108" t="s">
        <v>139</v>
      </c>
      <c r="D3323" s="108">
        <v>6609.85881919245</v>
      </c>
      <c r="E3323" s="108">
        <v>0</v>
      </c>
      <c r="F3323" s="108" t="s">
        <v>135</v>
      </c>
      <c r="G3323" s="108"/>
      <c r="H3323" s="108">
        <v>1</v>
      </c>
    </row>
    <row r="3324" spans="1:8" ht="14">
      <c r="A3324" s="108">
        <v>2019</v>
      </c>
      <c r="B3324" s="108">
        <v>19</v>
      </c>
      <c r="C3324" s="108" t="s">
        <v>30</v>
      </c>
      <c r="D3324" s="108">
        <v>1983.6755337059601</v>
      </c>
      <c r="E3324" s="108">
        <v>0</v>
      </c>
      <c r="F3324" s="108" t="s">
        <v>135</v>
      </c>
      <c r="G3324" s="108"/>
      <c r="H3324" s="108">
        <v>1</v>
      </c>
    </row>
    <row r="3325" spans="1:8" ht="14">
      <c r="A3325" s="108">
        <v>2019</v>
      </c>
      <c r="B3325" s="108">
        <v>19</v>
      </c>
      <c r="C3325" s="108" t="s">
        <v>30</v>
      </c>
      <c r="D3325" s="108">
        <v>1.877</v>
      </c>
      <c r="E3325" s="108">
        <v>0</v>
      </c>
      <c r="F3325" s="108" t="s">
        <v>137</v>
      </c>
      <c r="G3325" s="108"/>
      <c r="H3325" s="108">
        <v>1</v>
      </c>
    </row>
    <row r="3326" spans="1:8" ht="14">
      <c r="A3326" s="108">
        <v>2019</v>
      </c>
      <c r="B3326" s="108">
        <v>19</v>
      </c>
      <c r="C3326" s="108" t="s">
        <v>30</v>
      </c>
      <c r="D3326" s="108">
        <v>9757.9044662940305</v>
      </c>
      <c r="E3326" s="108">
        <v>0</v>
      </c>
      <c r="F3326" s="108" t="s">
        <v>136</v>
      </c>
      <c r="G3326" s="108"/>
      <c r="H3326" s="108">
        <v>1</v>
      </c>
    </row>
    <row r="3327" spans="1:8" ht="14">
      <c r="A3327" s="108">
        <v>2019</v>
      </c>
      <c r="B3327" s="108">
        <v>19</v>
      </c>
      <c r="C3327" s="108" t="s">
        <v>138</v>
      </c>
      <c r="D3327" s="108">
        <v>6627.4225716374604</v>
      </c>
      <c r="E3327" s="108">
        <v>0</v>
      </c>
      <c r="F3327" s="108" t="s">
        <v>136</v>
      </c>
      <c r="G3327" s="108"/>
      <c r="H3327" s="108">
        <v>1</v>
      </c>
    </row>
    <row r="3328" spans="1:8" ht="14">
      <c r="A3328" s="108">
        <v>2019</v>
      </c>
      <c r="B3328" s="108">
        <v>19</v>
      </c>
      <c r="C3328" s="108" t="s">
        <v>138</v>
      </c>
      <c r="D3328" s="108">
        <v>656.96442836253095</v>
      </c>
      <c r="E3328" s="108">
        <v>0</v>
      </c>
      <c r="F3328" s="108" t="s">
        <v>135</v>
      </c>
      <c r="G3328" s="108"/>
      <c r="H3328" s="108">
        <v>1</v>
      </c>
    </row>
    <row r="3329" spans="1:8" ht="14">
      <c r="A3329" s="108">
        <v>2019</v>
      </c>
      <c r="B3329" s="108">
        <v>19</v>
      </c>
      <c r="C3329" s="108" t="s">
        <v>139</v>
      </c>
      <c r="D3329" s="108">
        <v>3130.4818946565601</v>
      </c>
      <c r="E3329" s="108">
        <v>0</v>
      </c>
      <c r="F3329" s="108" t="s">
        <v>136</v>
      </c>
      <c r="G3329" s="108"/>
      <c r="H3329" s="108">
        <v>1</v>
      </c>
    </row>
    <row r="3330" spans="1:8" ht="14">
      <c r="A3330" s="108">
        <v>2019</v>
      </c>
      <c r="B3330" s="108">
        <v>19</v>
      </c>
      <c r="C3330" s="108" t="s">
        <v>139</v>
      </c>
      <c r="D3330" s="108">
        <v>1326.7111053434301</v>
      </c>
      <c r="E3330" s="108">
        <v>0</v>
      </c>
      <c r="F3330" s="108" t="s">
        <v>135</v>
      </c>
      <c r="G3330" s="108"/>
      <c r="H3330" s="108">
        <v>1</v>
      </c>
    </row>
    <row r="3331" spans="1:8" ht="14">
      <c r="A3331" s="108">
        <v>2019</v>
      </c>
      <c r="B3331" s="108">
        <v>19</v>
      </c>
      <c r="C3331" s="108" t="s">
        <v>139</v>
      </c>
      <c r="D3331" s="108">
        <v>1.877</v>
      </c>
      <c r="E3331" s="108">
        <v>0</v>
      </c>
      <c r="F3331" s="108" t="s">
        <v>137</v>
      </c>
      <c r="G3331" s="108"/>
      <c r="H3331" s="108">
        <v>1</v>
      </c>
    </row>
    <row r="3332" spans="1:8" ht="14">
      <c r="A3332" s="108">
        <v>2019</v>
      </c>
      <c r="B3332" s="108">
        <v>21</v>
      </c>
      <c r="C3332" s="108" t="s">
        <v>30</v>
      </c>
      <c r="D3332" s="108">
        <v>14461.9435830763</v>
      </c>
      <c r="E3332" s="108">
        <v>0</v>
      </c>
      <c r="F3332" s="108" t="s">
        <v>136</v>
      </c>
      <c r="G3332" s="108"/>
      <c r="H3332" s="108">
        <v>1</v>
      </c>
    </row>
    <row r="3333" spans="1:8" ht="14">
      <c r="A3333" s="108">
        <v>2019</v>
      </c>
      <c r="B3333" s="108">
        <v>21</v>
      </c>
      <c r="C3333" s="108" t="s">
        <v>30</v>
      </c>
      <c r="D3333" s="108">
        <v>748.19841692365605</v>
      </c>
      <c r="E3333" s="108">
        <v>0</v>
      </c>
      <c r="F3333" s="108" t="s">
        <v>135</v>
      </c>
      <c r="G3333" s="108"/>
      <c r="H3333" s="108">
        <v>1</v>
      </c>
    </row>
    <row r="3334" spans="1:8" ht="14">
      <c r="A3334" s="108">
        <v>2019</v>
      </c>
      <c r="B3334" s="108">
        <v>21</v>
      </c>
      <c r="C3334" s="108" t="s">
        <v>138</v>
      </c>
      <c r="D3334" s="108">
        <v>429.74864787504799</v>
      </c>
      <c r="E3334" s="108">
        <v>0</v>
      </c>
      <c r="F3334" s="108" t="s">
        <v>135</v>
      </c>
      <c r="G3334" s="108"/>
      <c r="H3334" s="108">
        <v>1</v>
      </c>
    </row>
    <row r="3335" spans="1:8" ht="14">
      <c r="A3335" s="108">
        <v>2019</v>
      </c>
      <c r="B3335" s="108">
        <v>21</v>
      </c>
      <c r="C3335" s="108" t="s">
        <v>138</v>
      </c>
      <c r="D3335" s="108">
        <v>9991.5333521249395</v>
      </c>
      <c r="E3335" s="108">
        <v>0</v>
      </c>
      <c r="F3335" s="108" t="s">
        <v>136</v>
      </c>
      <c r="G3335" s="108"/>
      <c r="H3335" s="108">
        <v>1</v>
      </c>
    </row>
    <row r="3336" spans="1:8" ht="14">
      <c r="A3336" s="108">
        <v>2019</v>
      </c>
      <c r="B3336" s="108">
        <v>21</v>
      </c>
      <c r="C3336" s="108" t="s">
        <v>139</v>
      </c>
      <c r="D3336" s="108">
        <v>318.449769048608</v>
      </c>
      <c r="E3336" s="108">
        <v>0</v>
      </c>
      <c r="F3336" s="108" t="s">
        <v>135</v>
      </c>
      <c r="G3336" s="108"/>
      <c r="H3336" s="108">
        <v>1</v>
      </c>
    </row>
    <row r="3337" spans="1:8" ht="14">
      <c r="A3337" s="108">
        <v>2019</v>
      </c>
      <c r="B3337" s="108">
        <v>21</v>
      </c>
      <c r="C3337" s="108" t="s">
        <v>139</v>
      </c>
      <c r="D3337" s="108">
        <v>4470.4102309513901</v>
      </c>
      <c r="E3337" s="108">
        <v>0</v>
      </c>
      <c r="F3337" s="108" t="s">
        <v>136</v>
      </c>
      <c r="G3337" s="108"/>
      <c r="H3337" s="108">
        <v>1</v>
      </c>
    </row>
    <row r="3338" spans="1:8" ht="14">
      <c r="A3338" s="108">
        <v>2019</v>
      </c>
      <c r="B3338" s="108">
        <v>22</v>
      </c>
      <c r="C3338" s="108" t="s">
        <v>30</v>
      </c>
      <c r="D3338" s="108">
        <v>983.58216993776796</v>
      </c>
      <c r="E3338" s="108">
        <v>0</v>
      </c>
      <c r="F3338" s="108" t="s">
        <v>135</v>
      </c>
      <c r="G3338" s="108"/>
      <c r="H3338" s="108">
        <v>1</v>
      </c>
    </row>
    <row r="3339" spans="1:8" ht="14">
      <c r="A3339" s="108">
        <v>2019</v>
      </c>
      <c r="B3339" s="108">
        <v>22</v>
      </c>
      <c r="C3339" s="108" t="s">
        <v>30</v>
      </c>
      <c r="D3339" s="108">
        <v>7752.9838300622296</v>
      </c>
      <c r="E3339" s="108">
        <v>0</v>
      </c>
      <c r="F3339" s="108" t="s">
        <v>136</v>
      </c>
      <c r="G3339" s="108"/>
      <c r="H3339" s="108">
        <v>1</v>
      </c>
    </row>
    <row r="3340" spans="1:8" ht="14">
      <c r="A3340" s="108">
        <v>2019</v>
      </c>
      <c r="B3340" s="108">
        <v>22</v>
      </c>
      <c r="C3340" s="108" t="s">
        <v>138</v>
      </c>
      <c r="D3340" s="108">
        <v>503.268304839775</v>
      </c>
      <c r="E3340" s="108">
        <v>0</v>
      </c>
      <c r="F3340" s="108" t="s">
        <v>135</v>
      </c>
      <c r="G3340" s="108"/>
      <c r="H3340" s="108">
        <v>1</v>
      </c>
    </row>
    <row r="3341" spans="1:8" ht="14">
      <c r="A3341" s="108">
        <v>2019</v>
      </c>
      <c r="B3341" s="108">
        <v>22</v>
      </c>
      <c r="C3341" s="108" t="s">
        <v>138</v>
      </c>
      <c r="D3341" s="108">
        <v>6604.5966951602204</v>
      </c>
      <c r="E3341" s="108">
        <v>0</v>
      </c>
      <c r="F3341" s="108" t="s">
        <v>136</v>
      </c>
      <c r="G3341" s="108"/>
      <c r="H3341" s="108">
        <v>1</v>
      </c>
    </row>
    <row r="3342" spans="1:8" ht="14">
      <c r="A3342" s="108">
        <v>2019</v>
      </c>
      <c r="B3342" s="108">
        <v>22</v>
      </c>
      <c r="C3342" s="108" t="s">
        <v>139</v>
      </c>
      <c r="D3342" s="108">
        <v>480.31386509799199</v>
      </c>
      <c r="E3342" s="108">
        <v>0</v>
      </c>
      <c r="F3342" s="108" t="s">
        <v>135</v>
      </c>
      <c r="G3342" s="108"/>
      <c r="H3342" s="108">
        <v>1</v>
      </c>
    </row>
    <row r="3343" spans="1:8" ht="14">
      <c r="A3343" s="108">
        <v>2019</v>
      </c>
      <c r="B3343" s="108">
        <v>22</v>
      </c>
      <c r="C3343" s="108" t="s">
        <v>139</v>
      </c>
      <c r="D3343" s="108">
        <v>1148.3871349020001</v>
      </c>
      <c r="E3343" s="108">
        <v>0</v>
      </c>
      <c r="F3343" s="108" t="s">
        <v>136</v>
      </c>
      <c r="G3343" s="108"/>
      <c r="H3343" s="108">
        <v>1</v>
      </c>
    </row>
    <row r="3344" spans="1:8" ht="14">
      <c r="A3344" s="108">
        <v>2019</v>
      </c>
      <c r="B3344" s="108">
        <v>23</v>
      </c>
      <c r="C3344" s="108" t="s">
        <v>30</v>
      </c>
      <c r="D3344" s="108">
        <v>36.581000000000003</v>
      </c>
      <c r="E3344" s="108">
        <v>0</v>
      </c>
      <c r="F3344" s="108" t="s">
        <v>137</v>
      </c>
      <c r="G3344" s="108"/>
      <c r="H3344" s="108">
        <v>1</v>
      </c>
    </row>
    <row r="3345" spans="1:8" ht="14">
      <c r="A3345" s="108">
        <v>2019</v>
      </c>
      <c r="B3345" s="108">
        <v>23</v>
      </c>
      <c r="C3345" s="108" t="s">
        <v>30</v>
      </c>
      <c r="D3345" s="108">
        <v>8904.3674122091506</v>
      </c>
      <c r="E3345" s="108">
        <v>0</v>
      </c>
      <c r="F3345" s="108" t="s">
        <v>136</v>
      </c>
      <c r="G3345" s="108"/>
      <c r="H3345" s="108">
        <v>1</v>
      </c>
    </row>
    <row r="3346" spans="1:8" ht="14">
      <c r="A3346" s="108">
        <v>2019</v>
      </c>
      <c r="B3346" s="108">
        <v>23</v>
      </c>
      <c r="C3346" s="108" t="s">
        <v>30</v>
      </c>
      <c r="D3346" s="108">
        <v>1541.27758779084</v>
      </c>
      <c r="E3346" s="108">
        <v>0</v>
      </c>
      <c r="F3346" s="108" t="s">
        <v>135</v>
      </c>
      <c r="G3346" s="108"/>
      <c r="H3346" s="108">
        <v>1</v>
      </c>
    </row>
    <row r="3347" spans="1:8" ht="14">
      <c r="A3347" s="108">
        <v>2019</v>
      </c>
      <c r="B3347" s="108">
        <v>23</v>
      </c>
      <c r="C3347" s="108" t="s">
        <v>138</v>
      </c>
      <c r="D3347" s="108">
        <v>6242.7271440804498</v>
      </c>
      <c r="E3347" s="108">
        <v>0</v>
      </c>
      <c r="F3347" s="108" t="s">
        <v>136</v>
      </c>
      <c r="G3347" s="108"/>
      <c r="H3347" s="108">
        <v>1</v>
      </c>
    </row>
    <row r="3348" spans="1:8" ht="14">
      <c r="A3348" s="108">
        <v>2019</v>
      </c>
      <c r="B3348" s="108">
        <v>23</v>
      </c>
      <c r="C3348" s="108" t="s">
        <v>138</v>
      </c>
      <c r="D3348" s="108">
        <v>824.99085591954201</v>
      </c>
      <c r="E3348" s="108">
        <v>0</v>
      </c>
      <c r="F3348" s="108" t="s">
        <v>135</v>
      </c>
      <c r="G3348" s="108"/>
      <c r="H3348" s="108">
        <v>1</v>
      </c>
    </row>
    <row r="3349" spans="1:8" ht="14">
      <c r="A3349" s="108">
        <v>2019</v>
      </c>
      <c r="B3349" s="108">
        <v>23</v>
      </c>
      <c r="C3349" s="108" t="s">
        <v>139</v>
      </c>
      <c r="D3349" s="108">
        <v>2661.64026812869</v>
      </c>
      <c r="E3349" s="108">
        <v>0</v>
      </c>
      <c r="F3349" s="108" t="s">
        <v>136</v>
      </c>
      <c r="G3349" s="108"/>
      <c r="H3349" s="108">
        <v>1</v>
      </c>
    </row>
    <row r="3350" spans="1:8" ht="14">
      <c r="A3350" s="108">
        <v>2019</v>
      </c>
      <c r="B3350" s="108">
        <v>23</v>
      </c>
      <c r="C3350" s="108" t="s">
        <v>139</v>
      </c>
      <c r="D3350" s="108">
        <v>36.581000000000003</v>
      </c>
      <c r="E3350" s="108">
        <v>0</v>
      </c>
      <c r="F3350" s="108" t="s">
        <v>137</v>
      </c>
      <c r="G3350" s="108"/>
      <c r="H3350" s="108">
        <v>1</v>
      </c>
    </row>
    <row r="3351" spans="1:8" ht="14">
      <c r="A3351" s="108">
        <v>2019</v>
      </c>
      <c r="B3351" s="108">
        <v>23</v>
      </c>
      <c r="C3351" s="108" t="s">
        <v>139</v>
      </c>
      <c r="D3351" s="108">
        <v>716.28673187130198</v>
      </c>
      <c r="E3351" s="108">
        <v>0</v>
      </c>
      <c r="F3351" s="108" t="s">
        <v>135</v>
      </c>
      <c r="G3351" s="108"/>
      <c r="H3351" s="108">
        <v>1</v>
      </c>
    </row>
    <row r="3352" spans="1:8" ht="14">
      <c r="A3352" s="108">
        <v>2019</v>
      </c>
      <c r="B3352" s="108">
        <v>29</v>
      </c>
      <c r="C3352" s="108" t="s">
        <v>30</v>
      </c>
      <c r="D3352" s="108">
        <v>34354.304540374302</v>
      </c>
      <c r="E3352" s="108">
        <v>0</v>
      </c>
      <c r="F3352" s="108" t="s">
        <v>136</v>
      </c>
      <c r="G3352" s="108"/>
      <c r="H3352" s="108">
        <v>1</v>
      </c>
    </row>
    <row r="3353" spans="1:8" ht="14">
      <c r="A3353" s="108">
        <v>2019</v>
      </c>
      <c r="B3353" s="108">
        <v>29</v>
      </c>
      <c r="C3353" s="108" t="s">
        <v>30</v>
      </c>
      <c r="D3353" s="108">
        <v>23566.733859000298</v>
      </c>
      <c r="E3353" s="108">
        <v>0</v>
      </c>
      <c r="F3353" s="108" t="s">
        <v>135</v>
      </c>
      <c r="G3353" s="108"/>
      <c r="H3353" s="108">
        <v>1</v>
      </c>
    </row>
    <row r="3354" spans="1:8" ht="14">
      <c r="A3354" s="108">
        <v>2019</v>
      </c>
      <c r="B3354" s="108">
        <v>29</v>
      </c>
      <c r="C3354" s="108" t="s">
        <v>30</v>
      </c>
      <c r="D3354" s="108">
        <v>3.82260062529227</v>
      </c>
      <c r="E3354" s="108">
        <v>0</v>
      </c>
      <c r="F3354" s="108" t="s">
        <v>137</v>
      </c>
      <c r="G3354" s="108"/>
      <c r="H3354" s="108">
        <v>1</v>
      </c>
    </row>
    <row r="3355" spans="1:8" ht="14">
      <c r="A3355" s="108">
        <v>2019</v>
      </c>
      <c r="B3355" s="108">
        <v>29</v>
      </c>
      <c r="C3355" s="108" t="s">
        <v>138</v>
      </c>
      <c r="D3355" s="108">
        <v>3.82260062529227</v>
      </c>
      <c r="E3355" s="108">
        <v>0</v>
      </c>
      <c r="F3355" s="108" t="s">
        <v>137</v>
      </c>
      <c r="G3355" s="108"/>
      <c r="H3355" s="108">
        <v>1</v>
      </c>
    </row>
    <row r="3356" spans="1:8" ht="14">
      <c r="A3356" s="108">
        <v>2019</v>
      </c>
      <c r="B3356" s="108">
        <v>29</v>
      </c>
      <c r="C3356" s="108" t="s">
        <v>138</v>
      </c>
      <c r="D3356" s="108">
        <v>27690.020134909999</v>
      </c>
      <c r="E3356" s="108">
        <v>0</v>
      </c>
      <c r="F3356" s="108" t="s">
        <v>136</v>
      </c>
      <c r="G3356" s="108"/>
      <c r="H3356" s="108">
        <v>1</v>
      </c>
    </row>
    <row r="3357" spans="1:8" ht="14">
      <c r="A3357" s="108">
        <v>2019</v>
      </c>
      <c r="B3357" s="108">
        <v>29</v>
      </c>
      <c r="C3357" s="108" t="s">
        <v>138</v>
      </c>
      <c r="D3357" s="108">
        <v>17904.9392644646</v>
      </c>
      <c r="E3357" s="108">
        <v>0</v>
      </c>
      <c r="F3357" s="108" t="s">
        <v>135</v>
      </c>
      <c r="G3357" s="108"/>
      <c r="H3357" s="108">
        <v>1</v>
      </c>
    </row>
    <row r="3358" spans="1:8" ht="14">
      <c r="A3358" s="108">
        <v>2019</v>
      </c>
      <c r="B3358" s="108">
        <v>29</v>
      </c>
      <c r="C3358" s="108" t="s">
        <v>139</v>
      </c>
      <c r="D3358" s="108">
        <v>5661.7945945357396</v>
      </c>
      <c r="E3358" s="108">
        <v>0</v>
      </c>
      <c r="F3358" s="108" t="s">
        <v>135</v>
      </c>
      <c r="G3358" s="108"/>
      <c r="H3358" s="108">
        <v>1</v>
      </c>
    </row>
    <row r="3359" spans="1:8" ht="14">
      <c r="A3359" s="108">
        <v>2019</v>
      </c>
      <c r="B3359" s="108">
        <v>29</v>
      </c>
      <c r="C3359" s="108" t="s">
        <v>139</v>
      </c>
      <c r="D3359" s="108">
        <v>6664.2844054642501</v>
      </c>
      <c r="E3359" s="108">
        <v>0</v>
      </c>
      <c r="F3359" s="108" t="s">
        <v>136</v>
      </c>
      <c r="G3359" s="108"/>
      <c r="H3359" s="108">
        <v>1</v>
      </c>
    </row>
    <row r="3360" spans="1:8" ht="14">
      <c r="A3360" s="108">
        <v>2019</v>
      </c>
      <c r="B3360" s="108">
        <v>31</v>
      </c>
      <c r="C3360" s="108" t="s">
        <v>30</v>
      </c>
      <c r="D3360" s="108">
        <v>781.14767411107402</v>
      </c>
      <c r="E3360" s="108">
        <v>83.497966455531895</v>
      </c>
      <c r="F3360" s="108" t="s">
        <v>135</v>
      </c>
      <c r="G3360" s="108">
        <v>83.497966455490001</v>
      </c>
      <c r="H3360" s="108">
        <v>1</v>
      </c>
    </row>
    <row r="3361" spans="1:8" ht="14">
      <c r="A3361" s="108">
        <v>2019</v>
      </c>
      <c r="B3361" s="108">
        <v>31</v>
      </c>
      <c r="C3361" s="108" t="s">
        <v>30</v>
      </c>
      <c r="D3361" s="108">
        <v>18801.937782247202</v>
      </c>
      <c r="E3361" s="108">
        <v>1517.0736577253999</v>
      </c>
      <c r="F3361" s="108" t="s">
        <v>136</v>
      </c>
      <c r="G3361" s="108">
        <v>1517.0736577262701</v>
      </c>
      <c r="H3361" s="108">
        <v>1</v>
      </c>
    </row>
    <row r="3362" spans="1:8" ht="14">
      <c r="A3362" s="108">
        <v>2019</v>
      </c>
      <c r="B3362" s="108">
        <v>31</v>
      </c>
      <c r="C3362" s="108" t="s">
        <v>30</v>
      </c>
      <c r="D3362" s="108">
        <v>11.325543641648499</v>
      </c>
      <c r="E3362" s="108">
        <v>5.1333758190684504</v>
      </c>
      <c r="F3362" s="108" t="s">
        <v>137</v>
      </c>
      <c r="G3362" s="108">
        <v>5.1333758190729997</v>
      </c>
      <c r="H3362" s="108">
        <v>1</v>
      </c>
    </row>
    <row r="3363" spans="1:8" ht="14">
      <c r="A3363" s="108">
        <v>2019</v>
      </c>
      <c r="B3363" s="108">
        <v>31</v>
      </c>
      <c r="C3363" s="108" t="s">
        <v>138</v>
      </c>
      <c r="D3363" s="108">
        <v>11563.7163775852</v>
      </c>
      <c r="E3363" s="108">
        <v>777.07795940544599</v>
      </c>
      <c r="F3363" s="108" t="s">
        <v>136</v>
      </c>
      <c r="G3363" s="108">
        <v>777.07795940621099</v>
      </c>
      <c r="H3363" s="108">
        <v>1</v>
      </c>
    </row>
    <row r="3364" spans="1:8" ht="14">
      <c r="A3364" s="108">
        <v>2019</v>
      </c>
      <c r="B3364" s="108">
        <v>31</v>
      </c>
      <c r="C3364" s="108" t="s">
        <v>138</v>
      </c>
      <c r="D3364" s="108">
        <v>0.66005622969517497</v>
      </c>
      <c r="E3364" s="108">
        <v>2.3776383116972801</v>
      </c>
      <c r="F3364" s="108" t="s">
        <v>137</v>
      </c>
      <c r="G3364" s="108">
        <v>2.37763831170099</v>
      </c>
      <c r="H3364" s="108">
        <v>1</v>
      </c>
    </row>
    <row r="3365" spans="1:8" ht="14">
      <c r="A3365" s="108">
        <v>2019</v>
      </c>
      <c r="B3365" s="108">
        <v>31</v>
      </c>
      <c r="C3365" s="108" t="s">
        <v>138</v>
      </c>
      <c r="D3365" s="108">
        <v>317.78156618501299</v>
      </c>
      <c r="E3365" s="108">
        <v>35.998402282857398</v>
      </c>
      <c r="F3365" s="108" t="s">
        <v>135</v>
      </c>
      <c r="G3365" s="108">
        <v>35.998402282831997</v>
      </c>
      <c r="H3365" s="108">
        <v>1</v>
      </c>
    </row>
    <row r="3366" spans="1:8" ht="14">
      <c r="A3366" s="108">
        <v>2019</v>
      </c>
      <c r="B3366" s="108">
        <v>31</v>
      </c>
      <c r="C3366" s="108" t="s">
        <v>139</v>
      </c>
      <c r="D3366" s="108">
        <v>463.36610792606001</v>
      </c>
      <c r="E3366" s="108">
        <v>47.499564172674397</v>
      </c>
      <c r="F3366" s="108" t="s">
        <v>135</v>
      </c>
      <c r="G3366" s="108">
        <v>47.499564172657998</v>
      </c>
      <c r="H3366" s="108">
        <v>1</v>
      </c>
    </row>
    <row r="3367" spans="1:8" ht="14">
      <c r="A3367" s="108">
        <v>2019</v>
      </c>
      <c r="B3367" s="108">
        <v>31</v>
      </c>
      <c r="C3367" s="108" t="s">
        <v>139</v>
      </c>
      <c r="D3367" s="108">
        <v>10.6654874119534</v>
      </c>
      <c r="E3367" s="108">
        <v>2.7557375073711698</v>
      </c>
      <c r="F3367" s="108" t="s">
        <v>137</v>
      </c>
      <c r="G3367" s="108">
        <v>2.7557375073719999</v>
      </c>
      <c r="H3367" s="108">
        <v>1</v>
      </c>
    </row>
    <row r="3368" spans="1:8" ht="14">
      <c r="A3368" s="108">
        <v>2019</v>
      </c>
      <c r="B3368" s="108">
        <v>31</v>
      </c>
      <c r="C3368" s="108" t="s">
        <v>139</v>
      </c>
      <c r="D3368" s="108">
        <v>7238.2214046619802</v>
      </c>
      <c r="E3368" s="108">
        <v>739.99569831995404</v>
      </c>
      <c r="F3368" s="108" t="s">
        <v>136</v>
      </c>
      <c r="G3368" s="108">
        <v>739.99569832006296</v>
      </c>
      <c r="H3368" s="108">
        <v>1</v>
      </c>
    </row>
    <row r="3369" spans="1:8" ht="14">
      <c r="A3369" s="108">
        <v>2019</v>
      </c>
      <c r="B3369" s="108">
        <v>32</v>
      </c>
      <c r="C3369" s="108" t="s">
        <v>30</v>
      </c>
      <c r="D3369" s="108">
        <v>37634.304459763902</v>
      </c>
      <c r="E3369" s="108">
        <v>3685.5948577345498</v>
      </c>
      <c r="F3369" s="108" t="s">
        <v>136</v>
      </c>
      <c r="G3369" s="108">
        <v>7371.1897154689595</v>
      </c>
      <c r="H3369" s="108">
        <v>1</v>
      </c>
    </row>
    <row r="3370" spans="1:8" ht="14">
      <c r="A3370" s="108">
        <v>2019</v>
      </c>
      <c r="B3370" s="108">
        <v>32</v>
      </c>
      <c r="C3370" s="108" t="s">
        <v>30</v>
      </c>
      <c r="D3370" s="108">
        <v>80.504671517599107</v>
      </c>
      <c r="E3370" s="108">
        <v>20.884546323292401</v>
      </c>
      <c r="F3370" s="108" t="s">
        <v>137</v>
      </c>
      <c r="G3370" s="108">
        <v>41.769092646592</v>
      </c>
      <c r="H3370" s="108">
        <v>1</v>
      </c>
    </row>
    <row r="3371" spans="1:8" ht="14">
      <c r="A3371" s="108">
        <v>2019</v>
      </c>
      <c r="B3371" s="108">
        <v>32</v>
      </c>
      <c r="C3371" s="108" t="s">
        <v>30</v>
      </c>
      <c r="D3371" s="108">
        <v>2036.08686871848</v>
      </c>
      <c r="E3371" s="108">
        <v>185.15159594215001</v>
      </c>
      <c r="F3371" s="108" t="s">
        <v>135</v>
      </c>
      <c r="G3371" s="108">
        <v>370.30319188430002</v>
      </c>
      <c r="H3371" s="108">
        <v>1</v>
      </c>
    </row>
    <row r="3372" spans="1:8" ht="14">
      <c r="A3372" s="108">
        <v>2019</v>
      </c>
      <c r="B3372" s="108">
        <v>32</v>
      </c>
      <c r="C3372" s="108" t="s">
        <v>138</v>
      </c>
      <c r="D3372" s="108">
        <v>23706.886173683</v>
      </c>
      <c r="E3372" s="108">
        <v>1831.2541305532</v>
      </c>
      <c r="F3372" s="108" t="s">
        <v>136</v>
      </c>
      <c r="G3372" s="108">
        <v>3662.5082611069602</v>
      </c>
      <c r="H3372" s="108">
        <v>1</v>
      </c>
    </row>
    <row r="3373" spans="1:8" ht="14">
      <c r="A3373" s="108">
        <v>2019</v>
      </c>
      <c r="B3373" s="108">
        <v>32</v>
      </c>
      <c r="C3373" s="108" t="s">
        <v>138</v>
      </c>
      <c r="D3373" s="108">
        <v>840.37761704901902</v>
      </c>
      <c r="E3373" s="108">
        <v>82.466778713938794</v>
      </c>
      <c r="F3373" s="108" t="s">
        <v>135</v>
      </c>
      <c r="G3373" s="108">
        <v>164.93355742783501</v>
      </c>
      <c r="H3373" s="108">
        <v>1</v>
      </c>
    </row>
    <row r="3374" spans="1:8" ht="14">
      <c r="A3374" s="108">
        <v>2019</v>
      </c>
      <c r="B3374" s="108">
        <v>32</v>
      </c>
      <c r="C3374" s="108" t="s">
        <v>138</v>
      </c>
      <c r="D3374" s="108">
        <v>47.196209267984301</v>
      </c>
      <c r="E3374" s="108">
        <v>11.996090732853499</v>
      </c>
      <c r="F3374" s="108" t="s">
        <v>137</v>
      </c>
      <c r="G3374" s="108">
        <v>23.992181465704999</v>
      </c>
      <c r="H3374" s="108">
        <v>1</v>
      </c>
    </row>
    <row r="3375" spans="1:8" ht="14">
      <c r="A3375" s="108">
        <v>2019</v>
      </c>
      <c r="B3375" s="108">
        <v>32</v>
      </c>
      <c r="C3375" s="108" t="s">
        <v>139</v>
      </c>
      <c r="D3375" s="108">
        <v>1195.7092516694599</v>
      </c>
      <c r="E3375" s="108">
        <v>102.684817228211</v>
      </c>
      <c r="F3375" s="108" t="s">
        <v>135</v>
      </c>
      <c r="G3375" s="108">
        <v>205.36963445646501</v>
      </c>
      <c r="H3375" s="108">
        <v>1</v>
      </c>
    </row>
    <row r="3376" spans="1:8" ht="14">
      <c r="A3376" s="108">
        <v>2019</v>
      </c>
      <c r="B3376" s="108">
        <v>32</v>
      </c>
      <c r="C3376" s="108" t="s">
        <v>139</v>
      </c>
      <c r="D3376" s="108">
        <v>13927.4182860809</v>
      </c>
      <c r="E3376" s="108">
        <v>1854.3407271813501</v>
      </c>
      <c r="F3376" s="108" t="s">
        <v>136</v>
      </c>
      <c r="G3376" s="108">
        <v>3708.6814543619898</v>
      </c>
      <c r="H3376" s="108">
        <v>1</v>
      </c>
    </row>
    <row r="3377" spans="1:8" ht="14">
      <c r="A3377" s="108">
        <v>2019</v>
      </c>
      <c r="B3377" s="108">
        <v>32</v>
      </c>
      <c r="C3377" s="108" t="s">
        <v>139</v>
      </c>
      <c r="D3377" s="108">
        <v>33.308462249614699</v>
      </c>
      <c r="E3377" s="108">
        <v>8.8884555904388893</v>
      </c>
      <c r="F3377" s="108" t="s">
        <v>137</v>
      </c>
      <c r="G3377" s="108">
        <v>17.776911180887002</v>
      </c>
      <c r="H3377" s="108">
        <v>1</v>
      </c>
    </row>
    <row r="3378" spans="1:8" ht="14">
      <c r="A3378" s="108">
        <v>2019</v>
      </c>
      <c r="B3378" s="108">
        <v>33</v>
      </c>
      <c r="C3378" s="108" t="s">
        <v>30</v>
      </c>
      <c r="D3378" s="108">
        <v>1.224</v>
      </c>
      <c r="E3378" s="108">
        <v>0.168706613342607</v>
      </c>
      <c r="F3378" s="108" t="s">
        <v>137</v>
      </c>
      <c r="G3378" s="108">
        <v>0.25305992001400002</v>
      </c>
      <c r="H3378" s="108">
        <v>1</v>
      </c>
    </row>
    <row r="3379" spans="1:8" ht="14">
      <c r="A3379" s="108">
        <v>2019</v>
      </c>
      <c r="B3379" s="108">
        <v>33</v>
      </c>
      <c r="C3379" s="108" t="s">
        <v>30</v>
      </c>
      <c r="D3379" s="108">
        <v>10.524348339058101</v>
      </c>
      <c r="E3379" s="108">
        <v>3.6015265013587801</v>
      </c>
      <c r="F3379" s="108" t="s">
        <v>135</v>
      </c>
      <c r="G3379" s="108">
        <v>5.4022897520399997</v>
      </c>
      <c r="H3379" s="108">
        <v>1</v>
      </c>
    </row>
    <row r="3380" spans="1:8" ht="14">
      <c r="A3380" s="108">
        <v>2019</v>
      </c>
      <c r="B3380" s="108">
        <v>33</v>
      </c>
      <c r="C3380" s="108" t="s">
        <v>30</v>
      </c>
      <c r="D3380" s="108">
        <v>1523.26365166094</v>
      </c>
      <c r="E3380" s="108">
        <v>112.827766885298</v>
      </c>
      <c r="F3380" s="108" t="s">
        <v>136</v>
      </c>
      <c r="G3380" s="108">
        <v>169.241650327983</v>
      </c>
      <c r="H3380" s="108">
        <v>1</v>
      </c>
    </row>
    <row r="3381" spans="1:8" ht="14">
      <c r="A3381" s="108">
        <v>2019</v>
      </c>
      <c r="B3381" s="108">
        <v>33</v>
      </c>
      <c r="C3381" s="108" t="s">
        <v>138</v>
      </c>
      <c r="D3381" s="108">
        <v>1.204</v>
      </c>
      <c r="E3381" s="108">
        <v>0.160706613342607</v>
      </c>
      <c r="F3381" s="108" t="s">
        <v>137</v>
      </c>
      <c r="G3381" s="108">
        <v>0.24105992001400001</v>
      </c>
      <c r="H3381" s="108">
        <v>1</v>
      </c>
    </row>
    <row r="3382" spans="1:8" ht="14">
      <c r="A3382" s="108">
        <v>2019</v>
      </c>
      <c r="B3382" s="108">
        <v>33</v>
      </c>
      <c r="C3382" s="108" t="s">
        <v>138</v>
      </c>
      <c r="D3382" s="108">
        <v>6.09390006365755</v>
      </c>
      <c r="E3382" s="108">
        <v>2.3203545125346099</v>
      </c>
      <c r="F3382" s="108" t="s">
        <v>135</v>
      </c>
      <c r="G3382" s="108">
        <v>3.4805317688039898</v>
      </c>
      <c r="H3382" s="108">
        <v>1</v>
      </c>
    </row>
    <row r="3383" spans="1:8" ht="14">
      <c r="A3383" s="108">
        <v>2019</v>
      </c>
      <c r="B3383" s="108">
        <v>33</v>
      </c>
      <c r="C3383" s="108" t="s">
        <v>138</v>
      </c>
      <c r="D3383" s="108">
        <v>1126.07209993634</v>
      </c>
      <c r="E3383" s="108">
        <v>58.740938874122698</v>
      </c>
      <c r="F3383" s="108" t="s">
        <v>136</v>
      </c>
      <c r="G3383" s="108">
        <v>88.111408311212998</v>
      </c>
      <c r="H3383" s="108">
        <v>1</v>
      </c>
    </row>
    <row r="3384" spans="1:8" ht="14">
      <c r="A3384" s="108">
        <v>2019</v>
      </c>
      <c r="B3384" s="108">
        <v>33</v>
      </c>
      <c r="C3384" s="108" t="s">
        <v>139</v>
      </c>
      <c r="D3384" s="108">
        <v>0.02</v>
      </c>
      <c r="E3384" s="108">
        <v>8.0000000000000002E-3</v>
      </c>
      <c r="F3384" s="108" t="s">
        <v>137</v>
      </c>
      <c r="G3384" s="108">
        <v>1.2E-2</v>
      </c>
      <c r="H3384" s="108">
        <v>1</v>
      </c>
    </row>
    <row r="3385" spans="1:8" ht="14">
      <c r="A3385" s="108">
        <v>2019</v>
      </c>
      <c r="B3385" s="108">
        <v>33</v>
      </c>
      <c r="C3385" s="108" t="s">
        <v>139</v>
      </c>
      <c r="D3385" s="108">
        <v>4.43044827540061</v>
      </c>
      <c r="E3385" s="108">
        <v>1.2811719888241599</v>
      </c>
      <c r="F3385" s="108" t="s">
        <v>135</v>
      </c>
      <c r="G3385" s="108">
        <v>1.9217579832359899</v>
      </c>
      <c r="H3385" s="108">
        <v>1</v>
      </c>
    </row>
    <row r="3386" spans="1:8" ht="14">
      <c r="A3386" s="108">
        <v>2019</v>
      </c>
      <c r="B3386" s="108">
        <v>33</v>
      </c>
      <c r="C3386" s="108" t="s">
        <v>139</v>
      </c>
      <c r="D3386" s="108">
        <v>397.19155172459898</v>
      </c>
      <c r="E3386" s="108">
        <v>54.086828011175797</v>
      </c>
      <c r="F3386" s="108" t="s">
        <v>136</v>
      </c>
      <c r="G3386" s="108">
        <v>81.130242016769898</v>
      </c>
      <c r="H3386" s="108">
        <v>1</v>
      </c>
    </row>
    <row r="3387" spans="1:8" ht="14">
      <c r="A3387" s="108">
        <v>2019</v>
      </c>
      <c r="B3387" s="108">
        <v>34</v>
      </c>
      <c r="C3387" s="108" t="s">
        <v>30</v>
      </c>
      <c r="D3387" s="108">
        <v>5518.3317364455797</v>
      </c>
      <c r="E3387" s="108">
        <v>371.55200080602299</v>
      </c>
      <c r="F3387" s="108" t="s">
        <v>136</v>
      </c>
      <c r="G3387" s="108">
        <v>835.99200181396498</v>
      </c>
      <c r="H3387" s="108">
        <v>1</v>
      </c>
    </row>
    <row r="3388" spans="1:8" ht="14">
      <c r="A3388" s="108">
        <v>2019</v>
      </c>
      <c r="B3388" s="108">
        <v>34</v>
      </c>
      <c r="C3388" s="108" t="s">
        <v>30</v>
      </c>
      <c r="D3388" s="108">
        <v>366.37926355441499</v>
      </c>
      <c r="E3388" s="108">
        <v>28.830464902088799</v>
      </c>
      <c r="F3388" s="108" t="s">
        <v>135</v>
      </c>
      <c r="G3388" s="108">
        <v>64.868546029713997</v>
      </c>
      <c r="H3388" s="108">
        <v>1</v>
      </c>
    </row>
    <row r="3389" spans="1:8" ht="14">
      <c r="A3389" s="108">
        <v>2019</v>
      </c>
      <c r="B3389" s="108">
        <v>34</v>
      </c>
      <c r="C3389" s="108" t="s">
        <v>30</v>
      </c>
      <c r="D3389" s="108">
        <v>0.224</v>
      </c>
      <c r="E3389" s="108">
        <v>1.5015342918872401</v>
      </c>
      <c r="F3389" s="108" t="s">
        <v>137</v>
      </c>
      <c r="G3389" s="108">
        <v>3.3784521567419898</v>
      </c>
      <c r="H3389" s="108">
        <v>1</v>
      </c>
    </row>
    <row r="3390" spans="1:8" ht="14">
      <c r="A3390" s="108">
        <v>2019</v>
      </c>
      <c r="B3390" s="108">
        <v>34</v>
      </c>
      <c r="C3390" s="108" t="s">
        <v>138</v>
      </c>
      <c r="D3390" s="108">
        <v>4564.7291900975997</v>
      </c>
      <c r="E3390" s="108">
        <v>191.754249320778</v>
      </c>
      <c r="F3390" s="108" t="s">
        <v>136</v>
      </c>
      <c r="G3390" s="108">
        <v>431.44706097183598</v>
      </c>
      <c r="H3390" s="108">
        <v>1</v>
      </c>
    </row>
    <row r="3391" spans="1:8" ht="14">
      <c r="A3391" s="108">
        <v>2019</v>
      </c>
      <c r="B3391" s="108">
        <v>34</v>
      </c>
      <c r="C3391" s="108" t="s">
        <v>138</v>
      </c>
      <c r="D3391" s="108">
        <v>188.927809902398</v>
      </c>
      <c r="E3391" s="108">
        <v>14.0010097440496</v>
      </c>
      <c r="F3391" s="108" t="s">
        <v>135</v>
      </c>
      <c r="G3391" s="108">
        <v>31.502271924115998</v>
      </c>
      <c r="H3391" s="108">
        <v>1</v>
      </c>
    </row>
    <row r="3392" spans="1:8" ht="14">
      <c r="A3392" s="108">
        <v>2019</v>
      </c>
      <c r="B3392" s="108">
        <v>34</v>
      </c>
      <c r="C3392" s="108" t="s">
        <v>138</v>
      </c>
      <c r="D3392" s="108">
        <v>0.13200000000000001</v>
      </c>
      <c r="E3392" s="108">
        <v>1.25574093517134</v>
      </c>
      <c r="F3392" s="108" t="s">
        <v>137</v>
      </c>
      <c r="G3392" s="108">
        <v>2.8254171041339999</v>
      </c>
      <c r="H3392" s="108">
        <v>1</v>
      </c>
    </row>
    <row r="3393" spans="1:8" ht="14">
      <c r="A3393" s="108">
        <v>2019</v>
      </c>
      <c r="B3393" s="108">
        <v>34</v>
      </c>
      <c r="C3393" s="108" t="s">
        <v>139</v>
      </c>
      <c r="D3393" s="108">
        <v>9.1999999999999998E-2</v>
      </c>
      <c r="E3393" s="108">
        <v>0.245793356715897</v>
      </c>
      <c r="F3393" s="108" t="s">
        <v>137</v>
      </c>
      <c r="G3393" s="108">
        <v>0.55303505260799901</v>
      </c>
      <c r="H3393" s="108">
        <v>1</v>
      </c>
    </row>
    <row r="3394" spans="1:8" ht="14">
      <c r="A3394" s="108">
        <v>2019</v>
      </c>
      <c r="B3394" s="108">
        <v>34</v>
      </c>
      <c r="C3394" s="108" t="s">
        <v>139</v>
      </c>
      <c r="D3394" s="108">
        <v>953.60254634798298</v>
      </c>
      <c r="E3394" s="108">
        <v>179.79775148524399</v>
      </c>
      <c r="F3394" s="108" t="s">
        <v>136</v>
      </c>
      <c r="G3394" s="108">
        <v>404.54494084212899</v>
      </c>
      <c r="H3394" s="108">
        <v>1</v>
      </c>
    </row>
    <row r="3395" spans="1:8" ht="14">
      <c r="A3395" s="108">
        <v>2019</v>
      </c>
      <c r="B3395" s="108">
        <v>34</v>
      </c>
      <c r="C3395" s="108" t="s">
        <v>139</v>
      </c>
      <c r="D3395" s="108">
        <v>177.45145365201699</v>
      </c>
      <c r="E3395" s="108">
        <v>14.829455158039099</v>
      </c>
      <c r="F3395" s="108" t="s">
        <v>135</v>
      </c>
      <c r="G3395" s="108">
        <v>33.366274105598002</v>
      </c>
      <c r="H3395" s="108">
        <v>1</v>
      </c>
    </row>
    <row r="3396" spans="1:8" ht="14">
      <c r="A3396" s="108">
        <v>2019</v>
      </c>
      <c r="B3396" s="108">
        <v>51</v>
      </c>
      <c r="C3396" s="108" t="s">
        <v>30</v>
      </c>
      <c r="D3396" s="108">
        <v>8414.8038229308804</v>
      </c>
      <c r="E3396" s="108">
        <v>724.02789322290096</v>
      </c>
      <c r="F3396" s="108" t="s">
        <v>135</v>
      </c>
      <c r="G3396" s="108"/>
      <c r="H3396" s="108">
        <v>1</v>
      </c>
    </row>
    <row r="3397" spans="1:8" ht="14">
      <c r="A3397" s="108">
        <v>2019</v>
      </c>
      <c r="B3397" s="108">
        <v>51</v>
      </c>
      <c r="C3397" s="108" t="s">
        <v>30</v>
      </c>
      <c r="D3397" s="108">
        <v>34912.167177069103</v>
      </c>
      <c r="E3397" s="108">
        <v>3447.2831067770899</v>
      </c>
      <c r="F3397" s="108" t="s">
        <v>136</v>
      </c>
      <c r="G3397" s="108"/>
      <c r="H3397" s="108">
        <v>1</v>
      </c>
    </row>
    <row r="3398" spans="1:8" ht="14">
      <c r="A3398" s="108">
        <v>2019</v>
      </c>
      <c r="B3398" s="108">
        <v>51</v>
      </c>
      <c r="C3398" s="108" t="s">
        <v>138</v>
      </c>
      <c r="D3398" s="108">
        <v>20546.784170052699</v>
      </c>
      <c r="E3398" s="108">
        <v>1721.16291415715</v>
      </c>
      <c r="F3398" s="108" t="s">
        <v>136</v>
      </c>
      <c r="G3398" s="108"/>
      <c r="H3398" s="108">
        <v>1</v>
      </c>
    </row>
    <row r="3399" spans="1:8" ht="14">
      <c r="A3399" s="108">
        <v>2019</v>
      </c>
      <c r="B3399" s="108">
        <v>51</v>
      </c>
      <c r="C3399" s="108" t="s">
        <v>138</v>
      </c>
      <c r="D3399" s="108">
        <v>4171.0398299472699</v>
      </c>
      <c r="E3399" s="108">
        <v>360.12308584284801</v>
      </c>
      <c r="F3399" s="108" t="s">
        <v>135</v>
      </c>
      <c r="G3399" s="108"/>
      <c r="H3399" s="108">
        <v>1</v>
      </c>
    </row>
    <row r="3400" spans="1:8" ht="14">
      <c r="A3400" s="108">
        <v>2019</v>
      </c>
      <c r="B3400" s="108">
        <v>51</v>
      </c>
      <c r="C3400" s="108" t="s">
        <v>139</v>
      </c>
      <c r="D3400" s="108">
        <v>14365.3830070163</v>
      </c>
      <c r="E3400" s="108">
        <v>1726.1201926199401</v>
      </c>
      <c r="F3400" s="108" t="s">
        <v>136</v>
      </c>
      <c r="G3400" s="108"/>
      <c r="H3400" s="108">
        <v>1</v>
      </c>
    </row>
    <row r="3401" spans="1:8" ht="14">
      <c r="A3401" s="108">
        <v>2019</v>
      </c>
      <c r="B3401" s="108">
        <v>51</v>
      </c>
      <c r="C3401" s="108" t="s">
        <v>139</v>
      </c>
      <c r="D3401" s="108">
        <v>4243.7639929836096</v>
      </c>
      <c r="E3401" s="108">
        <v>363.90480738005198</v>
      </c>
      <c r="F3401" s="108" t="s">
        <v>135</v>
      </c>
      <c r="G3401" s="108"/>
      <c r="H3401" s="108">
        <v>1</v>
      </c>
    </row>
    <row r="3402" spans="1:8" ht="14">
      <c r="A3402" s="108">
        <v>2019</v>
      </c>
      <c r="B3402" s="108">
        <v>52</v>
      </c>
      <c r="C3402" s="108" t="s">
        <v>30</v>
      </c>
      <c r="D3402" s="108">
        <v>0</v>
      </c>
      <c r="E3402" s="108">
        <v>1364.5079140218099</v>
      </c>
      <c r="F3402" s="108" t="s">
        <v>135</v>
      </c>
      <c r="G3402" s="108"/>
      <c r="H3402" s="108">
        <v>1</v>
      </c>
    </row>
    <row r="3403" spans="1:8" ht="14">
      <c r="A3403" s="108">
        <v>2019</v>
      </c>
      <c r="B3403" s="108">
        <v>52</v>
      </c>
      <c r="C3403" s="108" t="s">
        <v>30</v>
      </c>
      <c r="D3403" s="108">
        <v>0</v>
      </c>
      <c r="E3403" s="108">
        <v>4036.1710859781801</v>
      </c>
      <c r="F3403" s="108" t="s">
        <v>136</v>
      </c>
      <c r="G3403" s="108"/>
      <c r="H3403" s="108">
        <v>1</v>
      </c>
    </row>
    <row r="3404" spans="1:8" ht="14">
      <c r="A3404" s="108">
        <v>2019</v>
      </c>
      <c r="B3404" s="108">
        <v>52</v>
      </c>
      <c r="C3404" s="108" t="s">
        <v>138</v>
      </c>
      <c r="D3404" s="108">
        <v>0</v>
      </c>
      <c r="E3404" s="108">
        <v>678.495093815568</v>
      </c>
      <c r="F3404" s="108" t="s">
        <v>135</v>
      </c>
      <c r="G3404" s="108"/>
      <c r="H3404" s="108">
        <v>1</v>
      </c>
    </row>
    <row r="3405" spans="1:8" ht="14">
      <c r="A3405" s="108">
        <v>2019</v>
      </c>
      <c r="B3405" s="108">
        <v>52</v>
      </c>
      <c r="C3405" s="108" t="s">
        <v>138</v>
      </c>
      <c r="D3405" s="108">
        <v>0</v>
      </c>
      <c r="E3405" s="108">
        <v>1959.53290618443</v>
      </c>
      <c r="F3405" s="108" t="s">
        <v>136</v>
      </c>
      <c r="G3405" s="108"/>
      <c r="H3405" s="108">
        <v>1</v>
      </c>
    </row>
    <row r="3406" spans="1:8" ht="14">
      <c r="A3406" s="108">
        <v>2019</v>
      </c>
      <c r="B3406" s="108">
        <v>52</v>
      </c>
      <c r="C3406" s="108" t="s">
        <v>139</v>
      </c>
      <c r="D3406" s="108">
        <v>0</v>
      </c>
      <c r="E3406" s="108">
        <v>2076.6381797937502</v>
      </c>
      <c r="F3406" s="108" t="s">
        <v>136</v>
      </c>
      <c r="G3406" s="108"/>
      <c r="H3406" s="108">
        <v>1</v>
      </c>
    </row>
    <row r="3407" spans="1:8" ht="14">
      <c r="A3407" s="108">
        <v>2019</v>
      </c>
      <c r="B3407" s="108">
        <v>52</v>
      </c>
      <c r="C3407" s="108" t="s">
        <v>139</v>
      </c>
      <c r="D3407" s="108">
        <v>0</v>
      </c>
      <c r="E3407" s="108">
        <v>686.01282020624296</v>
      </c>
      <c r="F3407" s="108" t="s">
        <v>135</v>
      </c>
      <c r="G3407" s="108"/>
      <c r="H3407" s="108">
        <v>1</v>
      </c>
    </row>
    <row r="3408" spans="1:8" ht="14">
      <c r="A3408" s="108">
        <v>2019</v>
      </c>
      <c r="B3408" s="108">
        <v>53</v>
      </c>
      <c r="C3408" s="108" t="s">
        <v>30</v>
      </c>
      <c r="D3408" s="108">
        <v>0</v>
      </c>
      <c r="E3408" s="108">
        <v>25.076999999999899</v>
      </c>
      <c r="F3408" s="108" t="s">
        <v>135</v>
      </c>
      <c r="G3408" s="108"/>
      <c r="H3408" s="108">
        <v>1</v>
      </c>
    </row>
    <row r="3409" spans="1:8" ht="14">
      <c r="A3409" s="108">
        <v>2019</v>
      </c>
      <c r="B3409" s="108">
        <v>53</v>
      </c>
      <c r="C3409" s="108" t="s">
        <v>30</v>
      </c>
      <c r="D3409" s="108">
        <v>0</v>
      </c>
      <c r="E3409" s="108">
        <v>105.62</v>
      </c>
      <c r="F3409" s="108" t="s">
        <v>136</v>
      </c>
      <c r="G3409" s="108"/>
      <c r="H3409" s="108">
        <v>1</v>
      </c>
    </row>
    <row r="3410" spans="1:8" ht="14">
      <c r="A3410" s="108">
        <v>2019</v>
      </c>
      <c r="B3410" s="108">
        <v>53</v>
      </c>
      <c r="C3410" s="108" t="s">
        <v>138</v>
      </c>
      <c r="D3410" s="108">
        <v>0</v>
      </c>
      <c r="E3410" s="108">
        <v>12.615</v>
      </c>
      <c r="F3410" s="108" t="s">
        <v>135</v>
      </c>
      <c r="G3410" s="108"/>
      <c r="H3410" s="108">
        <v>1</v>
      </c>
    </row>
    <row r="3411" spans="1:8" ht="14">
      <c r="A3411" s="108">
        <v>2019</v>
      </c>
      <c r="B3411" s="108">
        <v>53</v>
      </c>
      <c r="C3411" s="108" t="s">
        <v>138</v>
      </c>
      <c r="D3411" s="108">
        <v>0</v>
      </c>
      <c r="E3411" s="108">
        <v>54.947000000000003</v>
      </c>
      <c r="F3411" s="108" t="s">
        <v>136</v>
      </c>
      <c r="G3411" s="108"/>
      <c r="H3411" s="108">
        <v>1</v>
      </c>
    </row>
    <row r="3412" spans="1:8" ht="14">
      <c r="A3412" s="108">
        <v>2019</v>
      </c>
      <c r="B3412" s="108">
        <v>53</v>
      </c>
      <c r="C3412" s="108" t="s">
        <v>139</v>
      </c>
      <c r="D3412" s="108">
        <v>0</v>
      </c>
      <c r="E3412" s="108">
        <v>50.672999999999902</v>
      </c>
      <c r="F3412" s="108" t="s">
        <v>136</v>
      </c>
      <c r="G3412" s="108"/>
      <c r="H3412" s="108">
        <v>1</v>
      </c>
    </row>
    <row r="3413" spans="1:8" ht="14">
      <c r="A3413" s="108">
        <v>2019</v>
      </c>
      <c r="B3413" s="108">
        <v>53</v>
      </c>
      <c r="C3413" s="108" t="s">
        <v>139</v>
      </c>
      <c r="D3413" s="108">
        <v>0</v>
      </c>
      <c r="E3413" s="108">
        <v>12.462</v>
      </c>
      <c r="F3413" s="108" t="s">
        <v>135</v>
      </c>
      <c r="G3413" s="108"/>
      <c r="H3413" s="108">
        <v>1</v>
      </c>
    </row>
    <row r="3414" spans="1:8" ht="14">
      <c r="A3414" s="108">
        <v>2019</v>
      </c>
      <c r="B3414" s="108">
        <v>54</v>
      </c>
      <c r="C3414" s="108" t="s">
        <v>30</v>
      </c>
      <c r="D3414" s="108">
        <v>6027.5278340614504</v>
      </c>
      <c r="E3414" s="108">
        <v>3581.1794805006102</v>
      </c>
      <c r="F3414" s="108" t="s">
        <v>136</v>
      </c>
      <c r="G3414" s="108"/>
      <c r="H3414" s="108">
        <v>1</v>
      </c>
    </row>
    <row r="3415" spans="1:8" ht="14">
      <c r="A3415" s="108">
        <v>2019</v>
      </c>
      <c r="B3415" s="108">
        <v>54</v>
      </c>
      <c r="C3415" s="108" t="s">
        <v>30</v>
      </c>
      <c r="D3415" s="108">
        <v>133.74816593854601</v>
      </c>
      <c r="E3415" s="108">
        <v>96.400519499385197</v>
      </c>
      <c r="F3415" s="108" t="s">
        <v>135</v>
      </c>
      <c r="G3415" s="108"/>
      <c r="H3415" s="108">
        <v>1</v>
      </c>
    </row>
    <row r="3416" spans="1:8" ht="14">
      <c r="A3416" s="108">
        <v>2019</v>
      </c>
      <c r="B3416" s="108">
        <v>54</v>
      </c>
      <c r="C3416" s="108" t="s">
        <v>138</v>
      </c>
      <c r="D3416" s="108">
        <v>3706.0842984351202</v>
      </c>
      <c r="E3416" s="108">
        <v>2404.2555489568399</v>
      </c>
      <c r="F3416" s="108" t="s">
        <v>136</v>
      </c>
      <c r="G3416" s="108"/>
      <c r="H3416" s="108">
        <v>1</v>
      </c>
    </row>
    <row r="3417" spans="1:8" ht="14">
      <c r="A3417" s="108">
        <v>2019</v>
      </c>
      <c r="B3417" s="108">
        <v>54</v>
      </c>
      <c r="C3417" s="108" t="s">
        <v>138</v>
      </c>
      <c r="D3417" s="108">
        <v>82.649701564877105</v>
      </c>
      <c r="E3417" s="108">
        <v>54.298451043158501</v>
      </c>
      <c r="F3417" s="108" t="s">
        <v>135</v>
      </c>
      <c r="G3417" s="108"/>
      <c r="H3417" s="108">
        <v>1</v>
      </c>
    </row>
    <row r="3418" spans="1:8" ht="14">
      <c r="A3418" s="108">
        <v>2019</v>
      </c>
      <c r="B3418" s="108">
        <v>54</v>
      </c>
      <c r="C3418" s="108" t="s">
        <v>139</v>
      </c>
      <c r="D3418" s="108">
        <v>2321.4435356263298</v>
      </c>
      <c r="E3418" s="108">
        <v>1176.9239315437701</v>
      </c>
      <c r="F3418" s="108" t="s">
        <v>136</v>
      </c>
      <c r="G3418" s="108"/>
      <c r="H3418" s="108">
        <v>1</v>
      </c>
    </row>
    <row r="3419" spans="1:8" ht="14">
      <c r="A3419" s="108">
        <v>2019</v>
      </c>
      <c r="B3419" s="108">
        <v>54</v>
      </c>
      <c r="C3419" s="108" t="s">
        <v>139</v>
      </c>
      <c r="D3419" s="108">
        <v>51.098464373669302</v>
      </c>
      <c r="E3419" s="108">
        <v>42.102068456226597</v>
      </c>
      <c r="F3419" s="108" t="s">
        <v>135</v>
      </c>
      <c r="G3419" s="108"/>
      <c r="H3419" s="108">
        <v>1</v>
      </c>
    </row>
    <row r="3420" spans="1:8" ht="14">
      <c r="A3420" s="108">
        <v>2019</v>
      </c>
      <c r="B3420" s="108">
        <v>59</v>
      </c>
      <c r="C3420" s="108" t="s">
        <v>30</v>
      </c>
      <c r="D3420" s="108">
        <v>0.65400000000000003</v>
      </c>
      <c r="E3420" s="108">
        <v>3.8083016334750502E-2</v>
      </c>
      <c r="F3420" s="108" t="s">
        <v>136</v>
      </c>
      <c r="G3420" s="108"/>
      <c r="H3420" s="108">
        <v>1</v>
      </c>
    </row>
    <row r="3421" spans="1:8" ht="14">
      <c r="A3421" s="108">
        <v>2019</v>
      </c>
      <c r="B3421" s="108">
        <v>59</v>
      </c>
      <c r="C3421" s="108" t="s">
        <v>30</v>
      </c>
      <c r="D3421" s="108">
        <v>0</v>
      </c>
      <c r="E3421" s="108">
        <v>0.75991698366524896</v>
      </c>
      <c r="F3421" s="108" t="s">
        <v>135</v>
      </c>
      <c r="G3421" s="108"/>
      <c r="H3421" s="108">
        <v>1</v>
      </c>
    </row>
    <row r="3422" spans="1:8" ht="14">
      <c r="A3422" s="108">
        <v>2019</v>
      </c>
      <c r="B3422" s="108">
        <v>59</v>
      </c>
      <c r="C3422" s="108" t="s">
        <v>138</v>
      </c>
      <c r="D3422" s="108">
        <v>0</v>
      </c>
      <c r="E3422" s="108">
        <v>0.21494634146341399</v>
      </c>
      <c r="F3422" s="108" t="s">
        <v>135</v>
      </c>
      <c r="G3422" s="108"/>
      <c r="H3422" s="108">
        <v>1</v>
      </c>
    </row>
    <row r="3423" spans="1:8" ht="14">
      <c r="A3423" s="108">
        <v>2019</v>
      </c>
      <c r="B3423" s="108">
        <v>59</v>
      </c>
      <c r="C3423" s="108" t="s">
        <v>138</v>
      </c>
      <c r="D3423" s="108">
        <v>0.65400000000000003</v>
      </c>
      <c r="E3423" s="108">
        <v>3.4053658536585298E-2</v>
      </c>
      <c r="F3423" s="108" t="s">
        <v>136</v>
      </c>
      <c r="G3423" s="108"/>
      <c r="H3423" s="108">
        <v>1</v>
      </c>
    </row>
    <row r="3424" spans="1:8" ht="14">
      <c r="A3424" s="108">
        <v>2019</v>
      </c>
      <c r="B3424" s="108">
        <v>59</v>
      </c>
      <c r="C3424" s="108" t="s">
        <v>139</v>
      </c>
      <c r="D3424" s="108">
        <v>0</v>
      </c>
      <c r="E3424" s="108">
        <v>4.0293577981651302E-3</v>
      </c>
      <c r="F3424" s="108" t="s">
        <v>136</v>
      </c>
      <c r="G3424" s="108"/>
      <c r="H3424" s="108">
        <v>1</v>
      </c>
    </row>
    <row r="3425" spans="1:8" ht="14">
      <c r="A3425" s="108">
        <v>2019</v>
      </c>
      <c r="B3425" s="108">
        <v>59</v>
      </c>
      <c r="C3425" s="108" t="s">
        <v>139</v>
      </c>
      <c r="D3425" s="108">
        <v>0</v>
      </c>
      <c r="E3425" s="108">
        <v>0.544970642201835</v>
      </c>
      <c r="F3425" s="108" t="s">
        <v>135</v>
      </c>
      <c r="G3425" s="108"/>
      <c r="H3425" s="108">
        <v>1</v>
      </c>
    </row>
    <row r="3426" spans="1:8" ht="14">
      <c r="A3426" s="108">
        <v>2019</v>
      </c>
      <c r="B3426" s="108">
        <v>61</v>
      </c>
      <c r="C3426" s="108" t="s">
        <v>30</v>
      </c>
      <c r="D3426" s="108">
        <v>27850.449033152301</v>
      </c>
      <c r="E3426" s="108">
        <v>2035.8857093586</v>
      </c>
      <c r="F3426" s="108" t="s">
        <v>136</v>
      </c>
      <c r="G3426" s="108"/>
      <c r="H3426" s="108">
        <v>1</v>
      </c>
    </row>
    <row r="3427" spans="1:8" ht="14">
      <c r="A3427" s="108">
        <v>2019</v>
      </c>
      <c r="B3427" s="108">
        <v>61</v>
      </c>
      <c r="C3427" s="108" t="s">
        <v>30</v>
      </c>
      <c r="D3427" s="108">
        <v>17056.3679668476</v>
      </c>
      <c r="E3427" s="108">
        <v>1127.0892906413901</v>
      </c>
      <c r="F3427" s="108" t="s">
        <v>135</v>
      </c>
      <c r="G3427" s="108"/>
      <c r="H3427" s="108">
        <v>1</v>
      </c>
    </row>
    <row r="3428" spans="1:8" ht="14">
      <c r="A3428" s="108">
        <v>2019</v>
      </c>
      <c r="B3428" s="108">
        <v>61</v>
      </c>
      <c r="C3428" s="108" t="s">
        <v>138</v>
      </c>
      <c r="D3428" s="108">
        <v>8356.2448462967095</v>
      </c>
      <c r="E3428" s="108">
        <v>564.36774764470294</v>
      </c>
      <c r="F3428" s="108" t="s">
        <v>135</v>
      </c>
      <c r="G3428" s="108"/>
      <c r="H3428" s="108">
        <v>1</v>
      </c>
    </row>
    <row r="3429" spans="1:8" ht="14">
      <c r="A3429" s="108">
        <v>2019</v>
      </c>
      <c r="B3429" s="108">
        <v>61</v>
      </c>
      <c r="C3429" s="108" t="s">
        <v>138</v>
      </c>
      <c r="D3429" s="108">
        <v>17002.520153703201</v>
      </c>
      <c r="E3429" s="108">
        <v>1034.48425235529</v>
      </c>
      <c r="F3429" s="108" t="s">
        <v>136</v>
      </c>
      <c r="G3429" s="108"/>
      <c r="H3429" s="108">
        <v>1</v>
      </c>
    </row>
    <row r="3430" spans="1:8" ht="14">
      <c r="A3430" s="108">
        <v>2019</v>
      </c>
      <c r="B3430" s="108">
        <v>61</v>
      </c>
      <c r="C3430" s="108" t="s">
        <v>139</v>
      </c>
      <c r="D3430" s="108">
        <v>8700.1231205509193</v>
      </c>
      <c r="E3430" s="108">
        <v>562.72154299668796</v>
      </c>
      <c r="F3430" s="108" t="s">
        <v>135</v>
      </c>
      <c r="G3430" s="108"/>
      <c r="H3430" s="108">
        <v>1</v>
      </c>
    </row>
    <row r="3431" spans="1:8" ht="14">
      <c r="A3431" s="108">
        <v>2019</v>
      </c>
      <c r="B3431" s="108">
        <v>61</v>
      </c>
      <c r="C3431" s="108" t="s">
        <v>139</v>
      </c>
      <c r="D3431" s="108">
        <v>10847.928879449</v>
      </c>
      <c r="E3431" s="108">
        <v>1001.40145700331</v>
      </c>
      <c r="F3431" s="108" t="s">
        <v>136</v>
      </c>
      <c r="G3431" s="108"/>
      <c r="H3431" s="108">
        <v>1</v>
      </c>
    </row>
    <row r="3432" spans="1:8" ht="14">
      <c r="A3432" s="108">
        <v>2019</v>
      </c>
      <c r="B3432" s="108">
        <v>62</v>
      </c>
      <c r="C3432" s="108" t="s">
        <v>30</v>
      </c>
      <c r="D3432" s="108">
        <v>205.41177464353501</v>
      </c>
      <c r="E3432" s="108">
        <v>35.828480460455502</v>
      </c>
      <c r="F3432" s="108" t="s">
        <v>136</v>
      </c>
      <c r="G3432" s="108"/>
      <c r="H3432" s="108">
        <v>1</v>
      </c>
    </row>
    <row r="3433" spans="1:8" ht="14">
      <c r="A3433" s="108">
        <v>2019</v>
      </c>
      <c r="B3433" s="108">
        <v>62</v>
      </c>
      <c r="C3433" s="108" t="s">
        <v>30</v>
      </c>
      <c r="D3433" s="108">
        <v>31.168225356464699</v>
      </c>
      <c r="E3433" s="108">
        <v>21.115519539544401</v>
      </c>
      <c r="F3433" s="108" t="s">
        <v>135</v>
      </c>
      <c r="G3433" s="108"/>
      <c r="H3433" s="108">
        <v>1</v>
      </c>
    </row>
    <row r="3434" spans="1:8" ht="14">
      <c r="A3434" s="108">
        <v>2019</v>
      </c>
      <c r="B3434" s="108">
        <v>62</v>
      </c>
      <c r="C3434" s="108" t="s">
        <v>138</v>
      </c>
      <c r="D3434" s="108">
        <v>100.47600750186299</v>
      </c>
      <c r="E3434" s="108">
        <v>14.791546511627899</v>
      </c>
      <c r="F3434" s="108" t="s">
        <v>136</v>
      </c>
      <c r="G3434" s="108"/>
      <c r="H3434" s="108">
        <v>1</v>
      </c>
    </row>
    <row r="3435" spans="1:8" ht="14">
      <c r="A3435" s="108">
        <v>2019</v>
      </c>
      <c r="B3435" s="108">
        <v>62</v>
      </c>
      <c r="C3435" s="108" t="s">
        <v>138</v>
      </c>
      <c r="D3435" s="108">
        <v>5.9239924981365997</v>
      </c>
      <c r="E3435" s="108">
        <v>2.87645348837209</v>
      </c>
      <c r="F3435" s="108" t="s">
        <v>135</v>
      </c>
      <c r="G3435" s="108"/>
      <c r="H3435" s="108">
        <v>1</v>
      </c>
    </row>
    <row r="3436" spans="1:8" ht="14">
      <c r="A3436" s="108">
        <v>2019</v>
      </c>
      <c r="B3436" s="108">
        <v>62</v>
      </c>
      <c r="C3436" s="108" t="s">
        <v>139</v>
      </c>
      <c r="D3436" s="108">
        <v>25.2442328583281</v>
      </c>
      <c r="E3436" s="108">
        <v>18.239066051172301</v>
      </c>
      <c r="F3436" s="108" t="s">
        <v>135</v>
      </c>
      <c r="G3436" s="108"/>
      <c r="H3436" s="108">
        <v>1</v>
      </c>
    </row>
    <row r="3437" spans="1:8" ht="14">
      <c r="A3437" s="108">
        <v>2019</v>
      </c>
      <c r="B3437" s="108">
        <v>62</v>
      </c>
      <c r="C3437" s="108" t="s">
        <v>139</v>
      </c>
      <c r="D3437" s="108">
        <v>104.93576714167099</v>
      </c>
      <c r="E3437" s="108">
        <v>21.036933948827599</v>
      </c>
      <c r="F3437" s="108" t="s">
        <v>136</v>
      </c>
      <c r="G3437" s="108"/>
      <c r="H3437" s="108">
        <v>1</v>
      </c>
    </row>
    <row r="3438" spans="1:8" ht="14">
      <c r="A3438" s="108">
        <v>2019</v>
      </c>
      <c r="B3438" s="108">
        <v>63</v>
      </c>
      <c r="C3438" s="108" t="s">
        <v>30</v>
      </c>
      <c r="D3438" s="108">
        <v>30.848999999999901</v>
      </c>
      <c r="E3438" s="108">
        <v>6.1639999999999899</v>
      </c>
      <c r="F3438" s="108" t="s">
        <v>135</v>
      </c>
      <c r="G3438" s="108"/>
      <c r="H3438" s="108">
        <v>1</v>
      </c>
    </row>
    <row r="3439" spans="1:8" ht="14">
      <c r="A3439" s="108">
        <v>2019</v>
      </c>
      <c r="B3439" s="108">
        <v>63</v>
      </c>
      <c r="C3439" s="108" t="s">
        <v>30</v>
      </c>
      <c r="D3439" s="108">
        <v>9614.9709999999995</v>
      </c>
      <c r="E3439" s="108">
        <v>522.18700000000001</v>
      </c>
      <c r="F3439" s="108" t="s">
        <v>136</v>
      </c>
      <c r="G3439" s="108"/>
      <c r="H3439" s="108">
        <v>1</v>
      </c>
    </row>
    <row r="3440" spans="1:8" ht="14">
      <c r="A3440" s="108">
        <v>2019</v>
      </c>
      <c r="B3440" s="108">
        <v>63</v>
      </c>
      <c r="C3440" s="108" t="s">
        <v>138</v>
      </c>
      <c r="D3440" s="108">
        <v>6794.6569999999901</v>
      </c>
      <c r="E3440" s="108">
        <v>267.30799999999999</v>
      </c>
      <c r="F3440" s="108" t="s">
        <v>136</v>
      </c>
      <c r="G3440" s="108"/>
      <c r="H3440" s="108">
        <v>1</v>
      </c>
    </row>
    <row r="3441" spans="1:8" ht="14">
      <c r="A3441" s="108">
        <v>2019</v>
      </c>
      <c r="B3441" s="108">
        <v>63</v>
      </c>
      <c r="C3441" s="108" t="s">
        <v>138</v>
      </c>
      <c r="D3441" s="108">
        <v>16.890999999999998</v>
      </c>
      <c r="E3441" s="108">
        <v>2.9609999999999901</v>
      </c>
      <c r="F3441" s="108" t="s">
        <v>135</v>
      </c>
      <c r="G3441" s="108"/>
      <c r="H3441" s="108">
        <v>1</v>
      </c>
    </row>
    <row r="3442" spans="1:8" ht="14">
      <c r="A3442" s="108">
        <v>2019</v>
      </c>
      <c r="B3442" s="108">
        <v>63</v>
      </c>
      <c r="C3442" s="108" t="s">
        <v>139</v>
      </c>
      <c r="D3442" s="108">
        <v>13.957999999999901</v>
      </c>
      <c r="E3442" s="108">
        <v>3.2029999999999998</v>
      </c>
      <c r="F3442" s="108" t="s">
        <v>135</v>
      </c>
      <c r="G3442" s="108"/>
      <c r="H3442" s="108">
        <v>1</v>
      </c>
    </row>
    <row r="3443" spans="1:8" ht="14">
      <c r="A3443" s="108">
        <v>2019</v>
      </c>
      <c r="B3443" s="108">
        <v>63</v>
      </c>
      <c r="C3443" s="108" t="s">
        <v>139</v>
      </c>
      <c r="D3443" s="108">
        <v>2820.3139999999999</v>
      </c>
      <c r="E3443" s="108">
        <v>254.87899999999999</v>
      </c>
      <c r="F3443" s="108" t="s">
        <v>136</v>
      </c>
      <c r="G3443" s="108"/>
      <c r="H3443" s="108">
        <v>1</v>
      </c>
    </row>
    <row r="3444" spans="1:8" ht="14">
      <c r="A3444" s="108">
        <v>2019</v>
      </c>
      <c r="B3444" s="108">
        <v>69</v>
      </c>
      <c r="C3444" s="108" t="s">
        <v>30</v>
      </c>
      <c r="D3444" s="108">
        <v>1.6E-2</v>
      </c>
      <c r="E3444" s="108">
        <v>1E-3</v>
      </c>
      <c r="F3444" s="108" t="s">
        <v>137</v>
      </c>
      <c r="G3444" s="108"/>
      <c r="H3444" s="108">
        <v>1</v>
      </c>
    </row>
    <row r="3445" spans="1:8" ht="14">
      <c r="A3445" s="108">
        <v>2019</v>
      </c>
      <c r="B3445" s="108">
        <v>69</v>
      </c>
      <c r="C3445" s="108" t="s">
        <v>30</v>
      </c>
      <c r="D3445" s="108">
        <v>4.4715487804878</v>
      </c>
      <c r="E3445" s="108">
        <v>1.32497142857142</v>
      </c>
      <c r="F3445" s="108" t="s">
        <v>135</v>
      </c>
      <c r="G3445" s="108"/>
      <c r="H3445" s="108">
        <v>1</v>
      </c>
    </row>
    <row r="3446" spans="1:8" ht="14">
      <c r="A3446" s="108">
        <v>2019</v>
      </c>
      <c r="B3446" s="108">
        <v>69</v>
      </c>
      <c r="C3446" s="108" t="s">
        <v>30</v>
      </c>
      <c r="D3446" s="108">
        <v>2.5694512195121901</v>
      </c>
      <c r="E3446" s="108">
        <v>0.73302857142857103</v>
      </c>
      <c r="F3446" s="108" t="s">
        <v>136</v>
      </c>
      <c r="G3446" s="108"/>
      <c r="H3446" s="108">
        <v>1</v>
      </c>
    </row>
    <row r="3447" spans="1:8" ht="14">
      <c r="A3447" s="108">
        <v>2019</v>
      </c>
      <c r="B3447" s="108">
        <v>69</v>
      </c>
      <c r="C3447" s="108" t="s">
        <v>138</v>
      </c>
      <c r="D3447" s="108">
        <v>8.2000000000000003E-2</v>
      </c>
      <c r="E3447" s="108">
        <v>3.5999999999999997E-2</v>
      </c>
      <c r="F3447" s="108" t="s">
        <v>136</v>
      </c>
      <c r="G3447" s="108"/>
      <c r="H3447" s="108">
        <v>1</v>
      </c>
    </row>
    <row r="3448" spans="1:8" ht="14">
      <c r="A3448" s="108">
        <v>2019</v>
      </c>
      <c r="B3448" s="108">
        <v>69</v>
      </c>
      <c r="C3448" s="108" t="s">
        <v>138</v>
      </c>
      <c r="D3448" s="108">
        <v>3.3450000000000002</v>
      </c>
      <c r="E3448" s="108">
        <v>1.07</v>
      </c>
      <c r="F3448" s="108" t="s">
        <v>135</v>
      </c>
      <c r="G3448" s="108"/>
      <c r="H3448" s="108">
        <v>1</v>
      </c>
    </row>
    <row r="3449" spans="1:8" ht="14">
      <c r="A3449" s="108">
        <v>2019</v>
      </c>
      <c r="B3449" s="108">
        <v>69</v>
      </c>
      <c r="C3449" s="108" t="s">
        <v>139</v>
      </c>
      <c r="D3449" s="108">
        <v>2.4874512195121898</v>
      </c>
      <c r="E3449" s="108">
        <v>0.697028571428571</v>
      </c>
      <c r="F3449" s="108" t="s">
        <v>136</v>
      </c>
      <c r="G3449" s="108"/>
      <c r="H3449" s="108">
        <v>1</v>
      </c>
    </row>
    <row r="3450" spans="1:8" ht="14">
      <c r="A3450" s="108">
        <v>2019</v>
      </c>
      <c r="B3450" s="108">
        <v>69</v>
      </c>
      <c r="C3450" s="108" t="s">
        <v>139</v>
      </c>
      <c r="D3450" s="108">
        <v>1.6E-2</v>
      </c>
      <c r="E3450" s="108">
        <v>1E-3</v>
      </c>
      <c r="F3450" s="108" t="s">
        <v>137</v>
      </c>
      <c r="G3450" s="108"/>
      <c r="H3450" s="108">
        <v>1</v>
      </c>
    </row>
    <row r="3451" spans="1:8" ht="14">
      <c r="A3451" s="108">
        <v>2019</v>
      </c>
      <c r="B3451" s="108">
        <v>69</v>
      </c>
      <c r="C3451" s="108" t="s">
        <v>139</v>
      </c>
      <c r="D3451" s="108">
        <v>1.1265487804878</v>
      </c>
      <c r="E3451" s="108">
        <v>0.25497142857142802</v>
      </c>
      <c r="F3451" s="108" t="s">
        <v>135</v>
      </c>
      <c r="G3451" s="108"/>
      <c r="H3451" s="108">
        <v>1</v>
      </c>
    </row>
    <row r="3452" spans="1:8" ht="14">
      <c r="A3452" s="108">
        <v>2019</v>
      </c>
      <c r="B3452" s="108">
        <v>91</v>
      </c>
      <c r="C3452" s="108" t="s">
        <v>30</v>
      </c>
      <c r="D3452" s="108">
        <v>68.410682848803603</v>
      </c>
      <c r="E3452" s="108">
        <v>0</v>
      </c>
      <c r="F3452" s="108" t="s">
        <v>135</v>
      </c>
      <c r="G3452" s="108"/>
      <c r="H3452" s="108">
        <v>1</v>
      </c>
    </row>
    <row r="3453" spans="1:8" ht="14">
      <c r="A3453" s="108">
        <v>2019</v>
      </c>
      <c r="B3453" s="108">
        <v>91</v>
      </c>
      <c r="C3453" s="108" t="s">
        <v>30</v>
      </c>
      <c r="D3453" s="108">
        <v>4796.1503171511904</v>
      </c>
      <c r="E3453" s="108">
        <v>0</v>
      </c>
      <c r="F3453" s="108" t="s">
        <v>136</v>
      </c>
      <c r="G3453" s="108"/>
      <c r="H3453" s="108">
        <v>1</v>
      </c>
    </row>
    <row r="3454" spans="1:8" ht="14">
      <c r="A3454" s="108">
        <v>2019</v>
      </c>
      <c r="B3454" s="108">
        <v>91</v>
      </c>
      <c r="C3454" s="108" t="s">
        <v>30</v>
      </c>
      <c r="D3454" s="108">
        <v>1.4770000000000001</v>
      </c>
      <c r="E3454" s="108">
        <v>0</v>
      </c>
      <c r="F3454" s="108" t="s">
        <v>137</v>
      </c>
      <c r="G3454" s="108"/>
      <c r="H3454" s="108">
        <v>1</v>
      </c>
    </row>
    <row r="3455" spans="1:8" ht="14">
      <c r="A3455" s="108">
        <v>2019</v>
      </c>
      <c r="B3455" s="108">
        <v>91</v>
      </c>
      <c r="C3455" s="108" t="s">
        <v>138</v>
      </c>
      <c r="D3455" s="108">
        <v>65.891682848803597</v>
      </c>
      <c r="E3455" s="108">
        <v>0</v>
      </c>
      <c r="F3455" s="108" t="s">
        <v>135</v>
      </c>
      <c r="G3455" s="108"/>
      <c r="H3455" s="108">
        <v>1</v>
      </c>
    </row>
    <row r="3456" spans="1:8" ht="14">
      <c r="A3456" s="108">
        <v>2019</v>
      </c>
      <c r="B3456" s="108">
        <v>91</v>
      </c>
      <c r="C3456" s="108" t="s">
        <v>138</v>
      </c>
      <c r="D3456" s="108">
        <v>4747.8143171511902</v>
      </c>
      <c r="E3456" s="108">
        <v>0</v>
      </c>
      <c r="F3456" s="108" t="s">
        <v>136</v>
      </c>
      <c r="G3456" s="108"/>
      <c r="H3456" s="108">
        <v>1</v>
      </c>
    </row>
    <row r="3457" spans="1:8" ht="14">
      <c r="A3457" s="108">
        <v>2019</v>
      </c>
      <c r="B3457" s="108">
        <v>91</v>
      </c>
      <c r="C3457" s="108" t="s">
        <v>139</v>
      </c>
      <c r="D3457" s="108">
        <v>48.335999999999999</v>
      </c>
      <c r="E3457" s="108">
        <v>0</v>
      </c>
      <c r="F3457" s="108" t="s">
        <v>136</v>
      </c>
      <c r="G3457" s="108"/>
      <c r="H3457" s="108">
        <v>1</v>
      </c>
    </row>
    <row r="3458" spans="1:8" ht="14">
      <c r="A3458" s="108">
        <v>2019</v>
      </c>
      <c r="B3458" s="108">
        <v>91</v>
      </c>
      <c r="C3458" s="108" t="s">
        <v>139</v>
      </c>
      <c r="D3458" s="108">
        <v>1.4770000000000001</v>
      </c>
      <c r="E3458" s="108">
        <v>0</v>
      </c>
      <c r="F3458" s="108" t="s">
        <v>137</v>
      </c>
      <c r="G3458" s="108"/>
      <c r="H3458" s="108">
        <v>1</v>
      </c>
    </row>
    <row r="3459" spans="1:8" ht="14">
      <c r="A3459" s="108">
        <v>2019</v>
      </c>
      <c r="B3459" s="108">
        <v>91</v>
      </c>
      <c r="C3459" s="108" t="s">
        <v>139</v>
      </c>
      <c r="D3459" s="108">
        <v>2.5190000000000001</v>
      </c>
      <c r="E3459" s="108">
        <v>0</v>
      </c>
      <c r="F3459" s="108" t="s">
        <v>135</v>
      </c>
      <c r="G3459" s="108"/>
      <c r="H3459" s="108">
        <v>1</v>
      </c>
    </row>
    <row r="3460" spans="1:8" ht="14">
      <c r="A3460" s="108">
        <v>2019</v>
      </c>
      <c r="B3460" s="108">
        <v>92</v>
      </c>
      <c r="C3460" s="108" t="s">
        <v>30</v>
      </c>
      <c r="D3460" s="108">
        <v>224.996499526652</v>
      </c>
      <c r="E3460" s="108">
        <v>0</v>
      </c>
      <c r="F3460" s="108" t="s">
        <v>135</v>
      </c>
      <c r="G3460" s="108"/>
      <c r="H3460" s="108">
        <v>1</v>
      </c>
    </row>
    <row r="3461" spans="1:8" ht="14">
      <c r="A3461" s="108">
        <v>2019</v>
      </c>
      <c r="B3461" s="108">
        <v>92</v>
      </c>
      <c r="C3461" s="108" t="s">
        <v>30</v>
      </c>
      <c r="D3461" s="108">
        <v>8.7999999999999995E-2</v>
      </c>
      <c r="E3461" s="108">
        <v>0</v>
      </c>
      <c r="F3461" s="108" t="s">
        <v>137</v>
      </c>
      <c r="G3461" s="108"/>
      <c r="H3461" s="108">
        <v>1</v>
      </c>
    </row>
    <row r="3462" spans="1:8" ht="14">
      <c r="A3462" s="108">
        <v>2019</v>
      </c>
      <c r="B3462" s="108">
        <v>92</v>
      </c>
      <c r="C3462" s="108" t="s">
        <v>30</v>
      </c>
      <c r="D3462" s="108">
        <v>6327.9385004733404</v>
      </c>
      <c r="E3462" s="108">
        <v>0</v>
      </c>
      <c r="F3462" s="108" t="s">
        <v>136</v>
      </c>
      <c r="G3462" s="108"/>
      <c r="H3462" s="108">
        <v>1</v>
      </c>
    </row>
    <row r="3463" spans="1:8" ht="14">
      <c r="A3463" s="108">
        <v>2019</v>
      </c>
      <c r="B3463" s="108">
        <v>92</v>
      </c>
      <c r="C3463" s="108" t="s">
        <v>138</v>
      </c>
      <c r="D3463" s="108">
        <v>5040.0868241177204</v>
      </c>
      <c r="E3463" s="108">
        <v>0</v>
      </c>
      <c r="F3463" s="108" t="s">
        <v>136</v>
      </c>
      <c r="G3463" s="108"/>
      <c r="H3463" s="108">
        <v>1</v>
      </c>
    </row>
    <row r="3464" spans="1:8" ht="14">
      <c r="A3464" s="108">
        <v>2019</v>
      </c>
      <c r="B3464" s="108">
        <v>92</v>
      </c>
      <c r="C3464" s="108" t="s">
        <v>138</v>
      </c>
      <c r="D3464" s="108">
        <v>80.5811758822787</v>
      </c>
      <c r="E3464" s="108">
        <v>0</v>
      </c>
      <c r="F3464" s="108" t="s">
        <v>135</v>
      </c>
      <c r="G3464" s="108"/>
      <c r="H3464" s="108">
        <v>1</v>
      </c>
    </row>
    <row r="3465" spans="1:8" ht="14">
      <c r="A3465" s="108">
        <v>2019</v>
      </c>
      <c r="B3465" s="108">
        <v>92</v>
      </c>
      <c r="C3465" s="108" t="s">
        <v>139</v>
      </c>
      <c r="D3465" s="108">
        <v>1287.8516763556199</v>
      </c>
      <c r="E3465" s="108">
        <v>0</v>
      </c>
      <c r="F3465" s="108" t="s">
        <v>136</v>
      </c>
      <c r="G3465" s="108"/>
      <c r="H3465" s="108">
        <v>1</v>
      </c>
    </row>
    <row r="3466" spans="1:8" ht="14">
      <c r="A3466" s="108">
        <v>2019</v>
      </c>
      <c r="B3466" s="108">
        <v>92</v>
      </c>
      <c r="C3466" s="108" t="s">
        <v>139</v>
      </c>
      <c r="D3466" s="108">
        <v>144.41532364437299</v>
      </c>
      <c r="E3466" s="108">
        <v>0</v>
      </c>
      <c r="F3466" s="108" t="s">
        <v>135</v>
      </c>
      <c r="G3466" s="108"/>
      <c r="H3466" s="108">
        <v>1</v>
      </c>
    </row>
    <row r="3467" spans="1:8" ht="14">
      <c r="A3467" s="108">
        <v>2019</v>
      </c>
      <c r="B3467" s="108">
        <v>92</v>
      </c>
      <c r="C3467" s="108" t="s">
        <v>139</v>
      </c>
      <c r="D3467" s="108">
        <v>8.7999999999999995E-2</v>
      </c>
      <c r="E3467" s="108">
        <v>0</v>
      </c>
      <c r="F3467" s="108" t="s">
        <v>137</v>
      </c>
      <c r="G3467" s="108"/>
      <c r="H3467" s="108">
        <v>1</v>
      </c>
    </row>
    <row r="3468" spans="1:8" ht="14">
      <c r="A3468" s="108">
        <v>2019</v>
      </c>
      <c r="B3468" s="108">
        <v>99</v>
      </c>
      <c r="C3468" s="108" t="s">
        <v>30</v>
      </c>
      <c r="D3468" s="108">
        <v>3562.1578609429598</v>
      </c>
      <c r="E3468" s="108">
        <v>0</v>
      </c>
      <c r="F3468" s="108" t="s">
        <v>136</v>
      </c>
      <c r="G3468" s="108"/>
      <c r="H3468" s="108">
        <v>1</v>
      </c>
    </row>
    <row r="3469" spans="1:8" ht="14">
      <c r="A3469" s="108">
        <v>2019</v>
      </c>
      <c r="B3469" s="108">
        <v>99</v>
      </c>
      <c r="C3469" s="108" t="s">
        <v>30</v>
      </c>
      <c r="D3469" s="108">
        <v>5.7032628099173497</v>
      </c>
      <c r="E3469" s="108">
        <v>0</v>
      </c>
      <c r="F3469" s="108" t="s">
        <v>137</v>
      </c>
      <c r="G3469" s="108"/>
      <c r="H3469" s="108">
        <v>1</v>
      </c>
    </row>
    <row r="3470" spans="1:8" ht="14">
      <c r="A3470" s="108">
        <v>2019</v>
      </c>
      <c r="B3470" s="108">
        <v>99</v>
      </c>
      <c r="C3470" s="108" t="s">
        <v>30</v>
      </c>
      <c r="D3470" s="108">
        <v>1878.24287624712</v>
      </c>
      <c r="E3470" s="108">
        <v>0</v>
      </c>
      <c r="F3470" s="108" t="s">
        <v>135</v>
      </c>
      <c r="G3470" s="108"/>
      <c r="H3470" s="108">
        <v>1</v>
      </c>
    </row>
    <row r="3471" spans="1:8" ht="14">
      <c r="A3471" s="108">
        <v>2019</v>
      </c>
      <c r="B3471" s="108">
        <v>99</v>
      </c>
      <c r="C3471" s="108" t="s">
        <v>138</v>
      </c>
      <c r="D3471" s="108">
        <v>751.29594587192298</v>
      </c>
      <c r="E3471" s="108">
        <v>0</v>
      </c>
      <c r="F3471" s="108" t="s">
        <v>135</v>
      </c>
      <c r="G3471" s="108"/>
      <c r="H3471" s="108">
        <v>1</v>
      </c>
    </row>
    <row r="3472" spans="1:8" ht="14">
      <c r="A3472" s="108">
        <v>2019</v>
      </c>
      <c r="B3472" s="108">
        <v>99</v>
      </c>
      <c r="C3472" s="108" t="s">
        <v>138</v>
      </c>
      <c r="D3472" s="108">
        <v>2255.4380541280698</v>
      </c>
      <c r="E3472" s="108">
        <v>0</v>
      </c>
      <c r="F3472" s="108" t="s">
        <v>136</v>
      </c>
      <c r="G3472" s="108"/>
      <c r="H3472" s="108">
        <v>1</v>
      </c>
    </row>
    <row r="3473" spans="1:8" ht="14">
      <c r="A3473" s="108">
        <v>2019</v>
      </c>
      <c r="B3473" s="108">
        <v>99</v>
      </c>
      <c r="C3473" s="108" t="s">
        <v>138</v>
      </c>
      <c r="D3473" s="108">
        <v>2.157</v>
      </c>
      <c r="E3473" s="108">
        <v>0</v>
      </c>
      <c r="F3473" s="108" t="s">
        <v>137</v>
      </c>
      <c r="G3473" s="108"/>
      <c r="H3473" s="108">
        <v>1</v>
      </c>
    </row>
    <row r="3474" spans="1:8" ht="14">
      <c r="A3474" s="108">
        <v>2019</v>
      </c>
      <c r="B3474" s="108">
        <v>99</v>
      </c>
      <c r="C3474" s="108" t="s">
        <v>139</v>
      </c>
      <c r="D3474" s="108">
        <v>3.5462628099173501</v>
      </c>
      <c r="E3474" s="108">
        <v>0</v>
      </c>
      <c r="F3474" s="108" t="s">
        <v>137</v>
      </c>
      <c r="G3474" s="108"/>
      <c r="H3474" s="108">
        <v>1</v>
      </c>
    </row>
    <row r="3475" spans="1:8" ht="14">
      <c r="A3475" s="108">
        <v>2019</v>
      </c>
      <c r="B3475" s="108">
        <v>99</v>
      </c>
      <c r="C3475" s="108" t="s">
        <v>139</v>
      </c>
      <c r="D3475" s="108">
        <v>1126.94693037519</v>
      </c>
      <c r="E3475" s="108">
        <v>0</v>
      </c>
      <c r="F3475" s="108" t="s">
        <v>135</v>
      </c>
      <c r="G3475" s="108"/>
      <c r="H3475" s="108">
        <v>1</v>
      </c>
    </row>
    <row r="3476" spans="1:8" ht="14">
      <c r="A3476" s="108">
        <v>2019</v>
      </c>
      <c r="B3476" s="108">
        <v>99</v>
      </c>
      <c r="C3476" s="108" t="s">
        <v>139</v>
      </c>
      <c r="D3476" s="108">
        <v>1306.71980681488</v>
      </c>
      <c r="E3476" s="108">
        <v>0</v>
      </c>
      <c r="F3476" s="108" t="s">
        <v>136</v>
      </c>
      <c r="G3476" s="108"/>
      <c r="H3476" s="108">
        <v>1</v>
      </c>
    </row>
    <row r="3477" spans="1:8" ht="14">
      <c r="A3477" s="108">
        <v>2020</v>
      </c>
      <c r="B3477" s="108">
        <v>11</v>
      </c>
      <c r="C3477" s="108" t="s">
        <v>30</v>
      </c>
      <c r="D3477" s="108">
        <v>18423.1329518364</v>
      </c>
      <c r="E3477" s="108">
        <v>0</v>
      </c>
      <c r="F3477" s="108" t="s">
        <v>136</v>
      </c>
      <c r="G3477" s="108"/>
      <c r="H3477" s="108">
        <v>1</v>
      </c>
    </row>
    <row r="3478" spans="1:8" ht="14">
      <c r="A3478" s="108">
        <v>2020</v>
      </c>
      <c r="B3478" s="108">
        <v>11</v>
      </c>
      <c r="C3478" s="108" t="s">
        <v>30</v>
      </c>
      <c r="D3478" s="108">
        <v>723.99104816355498</v>
      </c>
      <c r="E3478" s="108">
        <v>0</v>
      </c>
      <c r="F3478" s="108" t="s">
        <v>135</v>
      </c>
      <c r="G3478" s="108"/>
      <c r="H3478" s="108">
        <v>1</v>
      </c>
    </row>
    <row r="3479" spans="1:8" ht="14">
      <c r="A3479" s="108">
        <v>2020</v>
      </c>
      <c r="B3479" s="108">
        <v>11</v>
      </c>
      <c r="C3479" s="108" t="s">
        <v>138</v>
      </c>
      <c r="D3479" s="108">
        <v>14293.360827239499</v>
      </c>
      <c r="E3479" s="108">
        <v>0</v>
      </c>
      <c r="F3479" s="108" t="s">
        <v>136</v>
      </c>
      <c r="G3479" s="108"/>
      <c r="H3479" s="108">
        <v>1</v>
      </c>
    </row>
    <row r="3480" spans="1:8" ht="14">
      <c r="A3480" s="108">
        <v>2020</v>
      </c>
      <c r="B3480" s="108">
        <v>11</v>
      </c>
      <c r="C3480" s="108" t="s">
        <v>138</v>
      </c>
      <c r="D3480" s="108">
        <v>340.41417276049202</v>
      </c>
      <c r="E3480" s="108">
        <v>0</v>
      </c>
      <c r="F3480" s="108" t="s">
        <v>135</v>
      </c>
      <c r="G3480" s="108"/>
      <c r="H3480" s="108">
        <v>1</v>
      </c>
    </row>
    <row r="3481" spans="1:8" ht="14">
      <c r="A3481" s="108">
        <v>2020</v>
      </c>
      <c r="B3481" s="108">
        <v>11</v>
      </c>
      <c r="C3481" s="108" t="s">
        <v>139</v>
      </c>
      <c r="D3481" s="108">
        <v>383.57687540306199</v>
      </c>
      <c r="E3481" s="108">
        <v>0</v>
      </c>
      <c r="F3481" s="108" t="s">
        <v>135</v>
      </c>
      <c r="G3481" s="108"/>
      <c r="H3481" s="108">
        <v>1</v>
      </c>
    </row>
    <row r="3482" spans="1:8" ht="14">
      <c r="A3482" s="108">
        <v>2020</v>
      </c>
      <c r="B3482" s="108">
        <v>11</v>
      </c>
      <c r="C3482" s="108" t="s">
        <v>139</v>
      </c>
      <c r="D3482" s="108">
        <v>4129.7721245969296</v>
      </c>
      <c r="E3482" s="108">
        <v>0</v>
      </c>
      <c r="F3482" s="108" t="s">
        <v>136</v>
      </c>
      <c r="G3482" s="108"/>
      <c r="H3482" s="108">
        <v>1</v>
      </c>
    </row>
    <row r="3483" spans="1:8" ht="14">
      <c r="A3483" s="108">
        <v>2020</v>
      </c>
      <c r="B3483" s="108">
        <v>12</v>
      </c>
      <c r="C3483" s="108" t="s">
        <v>30</v>
      </c>
      <c r="D3483" s="108">
        <v>15916.260377109</v>
      </c>
      <c r="E3483" s="108">
        <v>0</v>
      </c>
      <c r="F3483" s="108" t="s">
        <v>135</v>
      </c>
      <c r="G3483" s="108"/>
      <c r="H3483" s="108">
        <v>1</v>
      </c>
    </row>
    <row r="3484" spans="1:8" ht="14">
      <c r="A3484" s="108">
        <v>2020</v>
      </c>
      <c r="B3484" s="108">
        <v>12</v>
      </c>
      <c r="C3484" s="108" t="s">
        <v>30</v>
      </c>
      <c r="D3484" s="108">
        <v>62179.998622890897</v>
      </c>
      <c r="E3484" s="108">
        <v>0</v>
      </c>
      <c r="F3484" s="108" t="s">
        <v>136</v>
      </c>
      <c r="G3484" s="108"/>
      <c r="H3484" s="108">
        <v>1</v>
      </c>
    </row>
    <row r="3485" spans="1:8" ht="14">
      <c r="A3485" s="108">
        <v>2020</v>
      </c>
      <c r="B3485" s="108">
        <v>12</v>
      </c>
      <c r="C3485" s="108" t="s">
        <v>138</v>
      </c>
      <c r="D3485" s="108">
        <v>8152.0990885611</v>
      </c>
      <c r="E3485" s="108">
        <v>0</v>
      </c>
      <c r="F3485" s="108" t="s">
        <v>135</v>
      </c>
      <c r="G3485" s="108"/>
      <c r="H3485" s="108">
        <v>1</v>
      </c>
    </row>
    <row r="3486" spans="1:8" ht="14">
      <c r="A3486" s="108">
        <v>2020</v>
      </c>
      <c r="B3486" s="108">
        <v>12</v>
      </c>
      <c r="C3486" s="108" t="s">
        <v>138</v>
      </c>
      <c r="D3486" s="108">
        <v>34638.6989114389</v>
      </c>
      <c r="E3486" s="108">
        <v>0</v>
      </c>
      <c r="F3486" s="108" t="s">
        <v>136</v>
      </c>
      <c r="G3486" s="108"/>
      <c r="H3486" s="108">
        <v>1</v>
      </c>
    </row>
    <row r="3487" spans="1:8" ht="14">
      <c r="A3487" s="108">
        <v>2020</v>
      </c>
      <c r="B3487" s="108">
        <v>12</v>
      </c>
      <c r="C3487" s="108" t="s">
        <v>139</v>
      </c>
      <c r="D3487" s="108">
        <v>27541.299711452</v>
      </c>
      <c r="E3487" s="108">
        <v>0</v>
      </c>
      <c r="F3487" s="108" t="s">
        <v>136</v>
      </c>
      <c r="G3487" s="108"/>
      <c r="H3487" s="108">
        <v>1</v>
      </c>
    </row>
    <row r="3488" spans="1:8" ht="14">
      <c r="A3488" s="108">
        <v>2020</v>
      </c>
      <c r="B3488" s="108">
        <v>12</v>
      </c>
      <c r="C3488" s="108" t="s">
        <v>139</v>
      </c>
      <c r="D3488" s="108">
        <v>7764.1612885479099</v>
      </c>
      <c r="E3488" s="108">
        <v>0</v>
      </c>
      <c r="F3488" s="108" t="s">
        <v>135</v>
      </c>
      <c r="G3488" s="108"/>
      <c r="H3488" s="108">
        <v>1</v>
      </c>
    </row>
    <row r="3489" spans="1:8" ht="14">
      <c r="A3489" s="108">
        <v>2020</v>
      </c>
      <c r="B3489" s="108">
        <v>13</v>
      </c>
      <c r="C3489" s="108" t="s">
        <v>30</v>
      </c>
      <c r="D3489" s="108">
        <v>13501.589396388699</v>
      </c>
      <c r="E3489" s="108">
        <v>0</v>
      </c>
      <c r="F3489" s="108" t="s">
        <v>135</v>
      </c>
      <c r="G3489" s="108"/>
      <c r="H3489" s="108">
        <v>1</v>
      </c>
    </row>
    <row r="3490" spans="1:8" ht="14">
      <c r="A3490" s="108">
        <v>2020</v>
      </c>
      <c r="B3490" s="108">
        <v>13</v>
      </c>
      <c r="C3490" s="108" t="s">
        <v>30</v>
      </c>
      <c r="D3490" s="108">
        <v>45147.240603611099</v>
      </c>
      <c r="E3490" s="108">
        <v>0</v>
      </c>
      <c r="F3490" s="108" t="s">
        <v>136</v>
      </c>
      <c r="G3490" s="108"/>
      <c r="H3490" s="108">
        <v>1</v>
      </c>
    </row>
    <row r="3491" spans="1:8" ht="14">
      <c r="A3491" s="108">
        <v>2020</v>
      </c>
      <c r="B3491" s="108">
        <v>13</v>
      </c>
      <c r="C3491" s="108" t="s">
        <v>138</v>
      </c>
      <c r="D3491" s="108">
        <v>25398.5418893715</v>
      </c>
      <c r="E3491" s="108">
        <v>0</v>
      </c>
      <c r="F3491" s="108" t="s">
        <v>136</v>
      </c>
      <c r="G3491" s="108"/>
      <c r="H3491" s="108">
        <v>1</v>
      </c>
    </row>
    <row r="3492" spans="1:8" ht="14">
      <c r="A3492" s="108">
        <v>2020</v>
      </c>
      <c r="B3492" s="108">
        <v>13</v>
      </c>
      <c r="C3492" s="108" t="s">
        <v>138</v>
      </c>
      <c r="D3492" s="108">
        <v>6617.21511062844</v>
      </c>
      <c r="E3492" s="108">
        <v>0</v>
      </c>
      <c r="F3492" s="108" t="s">
        <v>135</v>
      </c>
      <c r="G3492" s="108"/>
      <c r="H3492" s="108">
        <v>1</v>
      </c>
    </row>
    <row r="3493" spans="1:8" ht="14">
      <c r="A3493" s="108">
        <v>2020</v>
      </c>
      <c r="B3493" s="108">
        <v>13</v>
      </c>
      <c r="C3493" s="108" t="s">
        <v>139</v>
      </c>
      <c r="D3493" s="108">
        <v>6884.3742857603502</v>
      </c>
      <c r="E3493" s="108">
        <v>0</v>
      </c>
      <c r="F3493" s="108" t="s">
        <v>135</v>
      </c>
      <c r="G3493" s="108"/>
      <c r="H3493" s="108">
        <v>1</v>
      </c>
    </row>
    <row r="3494" spans="1:8" ht="14">
      <c r="A3494" s="108">
        <v>2020</v>
      </c>
      <c r="B3494" s="108">
        <v>13</v>
      </c>
      <c r="C3494" s="108" t="s">
        <v>139</v>
      </c>
      <c r="D3494" s="108">
        <v>19748.698714239599</v>
      </c>
      <c r="E3494" s="108">
        <v>0</v>
      </c>
      <c r="F3494" s="108" t="s">
        <v>136</v>
      </c>
      <c r="G3494" s="108"/>
      <c r="H3494" s="108">
        <v>1</v>
      </c>
    </row>
    <row r="3495" spans="1:8" ht="14">
      <c r="A3495" s="108">
        <v>2020</v>
      </c>
      <c r="B3495" s="108">
        <v>19</v>
      </c>
      <c r="C3495" s="108" t="s">
        <v>30</v>
      </c>
      <c r="D3495" s="108">
        <v>1354.2137929128401</v>
      </c>
      <c r="E3495" s="108">
        <v>0</v>
      </c>
      <c r="F3495" s="108" t="s">
        <v>135</v>
      </c>
      <c r="G3495" s="108"/>
      <c r="H3495" s="108">
        <v>1</v>
      </c>
    </row>
    <row r="3496" spans="1:8" ht="14">
      <c r="A3496" s="108">
        <v>2020</v>
      </c>
      <c r="B3496" s="108">
        <v>19</v>
      </c>
      <c r="C3496" s="108" t="s">
        <v>30</v>
      </c>
      <c r="D3496" s="108">
        <v>8304.4852070871493</v>
      </c>
      <c r="E3496" s="108">
        <v>0</v>
      </c>
      <c r="F3496" s="108" t="s">
        <v>136</v>
      </c>
      <c r="G3496" s="108"/>
      <c r="H3496" s="108">
        <v>1</v>
      </c>
    </row>
    <row r="3497" spans="1:8" ht="14">
      <c r="A3497" s="108">
        <v>2020</v>
      </c>
      <c r="B3497" s="108">
        <v>19</v>
      </c>
      <c r="C3497" s="108" t="s">
        <v>138</v>
      </c>
      <c r="D3497" s="108">
        <v>6148.82057143573</v>
      </c>
      <c r="E3497" s="108">
        <v>0</v>
      </c>
      <c r="F3497" s="108" t="s">
        <v>136</v>
      </c>
      <c r="G3497" s="108"/>
      <c r="H3497" s="108">
        <v>1</v>
      </c>
    </row>
    <row r="3498" spans="1:8" ht="14">
      <c r="A3498" s="108">
        <v>2020</v>
      </c>
      <c r="B3498" s="108">
        <v>19</v>
      </c>
      <c r="C3498" s="108" t="s">
        <v>138</v>
      </c>
      <c r="D3498" s="108">
        <v>512.27042856426101</v>
      </c>
      <c r="E3498" s="108">
        <v>0</v>
      </c>
      <c r="F3498" s="108" t="s">
        <v>135</v>
      </c>
      <c r="G3498" s="108"/>
      <c r="H3498" s="108">
        <v>1</v>
      </c>
    </row>
    <row r="3499" spans="1:8" ht="14">
      <c r="A3499" s="108">
        <v>2020</v>
      </c>
      <c r="B3499" s="108">
        <v>19</v>
      </c>
      <c r="C3499" s="108" t="s">
        <v>139</v>
      </c>
      <c r="D3499" s="108">
        <v>2155.6646356514102</v>
      </c>
      <c r="E3499" s="108">
        <v>0</v>
      </c>
      <c r="F3499" s="108" t="s">
        <v>136</v>
      </c>
      <c r="G3499" s="108"/>
      <c r="H3499" s="108">
        <v>1</v>
      </c>
    </row>
    <row r="3500" spans="1:8" ht="14">
      <c r="A3500" s="108">
        <v>2020</v>
      </c>
      <c r="B3500" s="108">
        <v>19</v>
      </c>
      <c r="C3500" s="108" t="s">
        <v>139</v>
      </c>
      <c r="D3500" s="108">
        <v>841.94336434858405</v>
      </c>
      <c r="E3500" s="108">
        <v>0</v>
      </c>
      <c r="F3500" s="108" t="s">
        <v>135</v>
      </c>
      <c r="G3500" s="108"/>
      <c r="H3500" s="108">
        <v>1</v>
      </c>
    </row>
    <row r="3501" spans="1:8" ht="14">
      <c r="A3501" s="108">
        <v>2020</v>
      </c>
      <c r="B3501" s="108">
        <v>21</v>
      </c>
      <c r="C3501" s="108" t="s">
        <v>30</v>
      </c>
      <c r="D3501" s="108">
        <v>726.864670361354</v>
      </c>
      <c r="E3501" s="108">
        <v>0</v>
      </c>
      <c r="F3501" s="108" t="s">
        <v>135</v>
      </c>
      <c r="G3501" s="108"/>
      <c r="H3501" s="108">
        <v>1</v>
      </c>
    </row>
    <row r="3502" spans="1:8" ht="14">
      <c r="A3502" s="108">
        <v>2020</v>
      </c>
      <c r="B3502" s="108">
        <v>21</v>
      </c>
      <c r="C3502" s="108" t="s">
        <v>30</v>
      </c>
      <c r="D3502" s="108">
        <v>14883.423329638599</v>
      </c>
      <c r="E3502" s="108">
        <v>0</v>
      </c>
      <c r="F3502" s="108" t="s">
        <v>136</v>
      </c>
      <c r="G3502" s="108"/>
      <c r="H3502" s="108">
        <v>1</v>
      </c>
    </row>
    <row r="3503" spans="1:8" ht="14">
      <c r="A3503" s="108">
        <v>2020</v>
      </c>
      <c r="B3503" s="108">
        <v>21</v>
      </c>
      <c r="C3503" s="108" t="s">
        <v>138</v>
      </c>
      <c r="D3503" s="108">
        <v>395.58166228278202</v>
      </c>
      <c r="E3503" s="108">
        <v>0</v>
      </c>
      <c r="F3503" s="108" t="s">
        <v>135</v>
      </c>
      <c r="G3503" s="108"/>
      <c r="H3503" s="108">
        <v>1</v>
      </c>
    </row>
    <row r="3504" spans="1:8" ht="14">
      <c r="A3504" s="108">
        <v>2020</v>
      </c>
      <c r="B3504" s="108">
        <v>21</v>
      </c>
      <c r="C3504" s="108" t="s">
        <v>138</v>
      </c>
      <c r="D3504" s="108">
        <v>10633.8133377172</v>
      </c>
      <c r="E3504" s="108">
        <v>0</v>
      </c>
      <c r="F3504" s="108" t="s">
        <v>136</v>
      </c>
      <c r="G3504" s="108"/>
      <c r="H3504" s="108">
        <v>1</v>
      </c>
    </row>
    <row r="3505" spans="1:8" ht="14">
      <c r="A3505" s="108">
        <v>2020</v>
      </c>
      <c r="B3505" s="108">
        <v>21</v>
      </c>
      <c r="C3505" s="108" t="s">
        <v>139</v>
      </c>
      <c r="D3505" s="108">
        <v>4249.6099919214203</v>
      </c>
      <c r="E3505" s="108">
        <v>0</v>
      </c>
      <c r="F3505" s="108" t="s">
        <v>136</v>
      </c>
      <c r="G3505" s="108"/>
      <c r="H3505" s="108">
        <v>1</v>
      </c>
    </row>
    <row r="3506" spans="1:8" ht="14">
      <c r="A3506" s="108">
        <v>2020</v>
      </c>
      <c r="B3506" s="108">
        <v>21</v>
      </c>
      <c r="C3506" s="108" t="s">
        <v>139</v>
      </c>
      <c r="D3506" s="108">
        <v>331.28300807857198</v>
      </c>
      <c r="E3506" s="108">
        <v>0</v>
      </c>
      <c r="F3506" s="108" t="s">
        <v>135</v>
      </c>
      <c r="G3506" s="108"/>
      <c r="H3506" s="108">
        <v>1</v>
      </c>
    </row>
    <row r="3507" spans="1:8" ht="14">
      <c r="A3507" s="108">
        <v>2020</v>
      </c>
      <c r="B3507" s="108">
        <v>22</v>
      </c>
      <c r="C3507" s="108" t="s">
        <v>30</v>
      </c>
      <c r="D3507" s="108">
        <v>1016.72680803223</v>
      </c>
      <c r="E3507" s="108">
        <v>0</v>
      </c>
      <c r="F3507" s="108" t="s">
        <v>135</v>
      </c>
      <c r="G3507" s="108"/>
      <c r="H3507" s="108">
        <v>1</v>
      </c>
    </row>
    <row r="3508" spans="1:8" ht="14">
      <c r="A3508" s="108">
        <v>2020</v>
      </c>
      <c r="B3508" s="108">
        <v>22</v>
      </c>
      <c r="C3508" s="108" t="s">
        <v>30</v>
      </c>
      <c r="D3508" s="108">
        <v>6625.5531919677596</v>
      </c>
      <c r="E3508" s="108">
        <v>0</v>
      </c>
      <c r="F3508" s="108" t="s">
        <v>136</v>
      </c>
      <c r="G3508" s="108"/>
      <c r="H3508" s="108">
        <v>1</v>
      </c>
    </row>
    <row r="3509" spans="1:8" ht="14">
      <c r="A3509" s="108">
        <v>2020</v>
      </c>
      <c r="B3509" s="108">
        <v>22</v>
      </c>
      <c r="C3509" s="108" t="s">
        <v>138</v>
      </c>
      <c r="D3509" s="108">
        <v>5236.27214115274</v>
      </c>
      <c r="E3509" s="108">
        <v>0</v>
      </c>
      <c r="F3509" s="108" t="s">
        <v>136</v>
      </c>
      <c r="G3509" s="108"/>
      <c r="H3509" s="108">
        <v>1</v>
      </c>
    </row>
    <row r="3510" spans="1:8" ht="14">
      <c r="A3510" s="108">
        <v>2020</v>
      </c>
      <c r="B3510" s="108">
        <v>22</v>
      </c>
      <c r="C3510" s="108" t="s">
        <v>138</v>
      </c>
      <c r="D3510" s="108">
        <v>515.46785884725705</v>
      </c>
      <c r="E3510" s="108">
        <v>0</v>
      </c>
      <c r="F3510" s="108" t="s">
        <v>135</v>
      </c>
      <c r="G3510" s="108"/>
      <c r="H3510" s="108">
        <v>1</v>
      </c>
    </row>
    <row r="3511" spans="1:8" ht="14">
      <c r="A3511" s="108">
        <v>2020</v>
      </c>
      <c r="B3511" s="108">
        <v>22</v>
      </c>
      <c r="C3511" s="108" t="s">
        <v>139</v>
      </c>
      <c r="D3511" s="108">
        <v>1389.2810508150201</v>
      </c>
      <c r="E3511" s="108">
        <v>0</v>
      </c>
      <c r="F3511" s="108" t="s">
        <v>136</v>
      </c>
      <c r="G3511" s="108"/>
      <c r="H3511" s="108">
        <v>1</v>
      </c>
    </row>
    <row r="3512" spans="1:8" ht="14">
      <c r="A3512" s="108">
        <v>2020</v>
      </c>
      <c r="B3512" s="108">
        <v>22</v>
      </c>
      <c r="C3512" s="108" t="s">
        <v>139</v>
      </c>
      <c r="D3512" s="108">
        <v>501.25894918497698</v>
      </c>
      <c r="E3512" s="108">
        <v>0</v>
      </c>
      <c r="F3512" s="108" t="s">
        <v>135</v>
      </c>
      <c r="G3512" s="108"/>
      <c r="H3512" s="108">
        <v>1</v>
      </c>
    </row>
    <row r="3513" spans="1:8" ht="14">
      <c r="A3513" s="108">
        <v>2020</v>
      </c>
      <c r="B3513" s="108">
        <v>23</v>
      </c>
      <c r="C3513" s="108" t="s">
        <v>30</v>
      </c>
      <c r="D3513" s="108">
        <v>1178.29831097026</v>
      </c>
      <c r="E3513" s="108">
        <v>0</v>
      </c>
      <c r="F3513" s="108" t="s">
        <v>135</v>
      </c>
      <c r="G3513" s="108"/>
      <c r="H3513" s="108">
        <v>1</v>
      </c>
    </row>
    <row r="3514" spans="1:8" ht="14">
      <c r="A3514" s="108">
        <v>2020</v>
      </c>
      <c r="B3514" s="108">
        <v>23</v>
      </c>
      <c r="C3514" s="108" t="s">
        <v>30</v>
      </c>
      <c r="D3514" s="108">
        <v>9031.6916890297307</v>
      </c>
      <c r="E3514" s="108">
        <v>0</v>
      </c>
      <c r="F3514" s="108" t="s">
        <v>136</v>
      </c>
      <c r="G3514" s="108"/>
      <c r="H3514" s="108">
        <v>1</v>
      </c>
    </row>
    <row r="3515" spans="1:8" ht="14">
      <c r="A3515" s="108">
        <v>2020</v>
      </c>
      <c r="B3515" s="108">
        <v>23</v>
      </c>
      <c r="C3515" s="108" t="s">
        <v>138</v>
      </c>
      <c r="D3515" s="108">
        <v>669.76500535889397</v>
      </c>
      <c r="E3515" s="108">
        <v>0</v>
      </c>
      <c r="F3515" s="108" t="s">
        <v>135</v>
      </c>
      <c r="G3515" s="108"/>
      <c r="H3515" s="108">
        <v>1</v>
      </c>
    </row>
    <row r="3516" spans="1:8" ht="14">
      <c r="A3516" s="108">
        <v>2020</v>
      </c>
      <c r="B3516" s="108">
        <v>23</v>
      </c>
      <c r="C3516" s="108" t="s">
        <v>138</v>
      </c>
      <c r="D3516" s="108">
        <v>7135.8649946410997</v>
      </c>
      <c r="E3516" s="108">
        <v>0</v>
      </c>
      <c r="F3516" s="108" t="s">
        <v>136</v>
      </c>
      <c r="G3516" s="108"/>
      <c r="H3516" s="108">
        <v>1</v>
      </c>
    </row>
    <row r="3517" spans="1:8" ht="14">
      <c r="A3517" s="108">
        <v>2020</v>
      </c>
      <c r="B3517" s="108">
        <v>23</v>
      </c>
      <c r="C3517" s="108" t="s">
        <v>139</v>
      </c>
      <c r="D3517" s="108">
        <v>1895.8266943886199</v>
      </c>
      <c r="E3517" s="108">
        <v>0</v>
      </c>
      <c r="F3517" s="108" t="s">
        <v>136</v>
      </c>
      <c r="G3517" s="108"/>
      <c r="H3517" s="108">
        <v>1</v>
      </c>
    </row>
    <row r="3518" spans="1:8" ht="14">
      <c r="A3518" s="108">
        <v>2020</v>
      </c>
      <c r="B3518" s="108">
        <v>23</v>
      </c>
      <c r="C3518" s="108" t="s">
        <v>139</v>
      </c>
      <c r="D3518" s="108">
        <v>508.53330561137199</v>
      </c>
      <c r="E3518" s="108">
        <v>0</v>
      </c>
      <c r="F3518" s="108" t="s">
        <v>135</v>
      </c>
      <c r="G3518" s="108"/>
      <c r="H3518" s="108">
        <v>1</v>
      </c>
    </row>
    <row r="3519" spans="1:8" ht="14">
      <c r="A3519" s="108">
        <v>2020</v>
      </c>
      <c r="B3519" s="108">
        <v>29</v>
      </c>
      <c r="C3519" s="108" t="s">
        <v>30</v>
      </c>
      <c r="D3519" s="108">
        <v>31052.859874739501</v>
      </c>
      <c r="E3519" s="108">
        <v>0</v>
      </c>
      <c r="F3519" s="108" t="s">
        <v>136</v>
      </c>
      <c r="G3519" s="108"/>
      <c r="H3519" s="108">
        <v>1</v>
      </c>
    </row>
    <row r="3520" spans="1:8" ht="14">
      <c r="A3520" s="108">
        <v>2020</v>
      </c>
      <c r="B3520" s="108">
        <v>29</v>
      </c>
      <c r="C3520" s="108" t="s">
        <v>30</v>
      </c>
      <c r="D3520" s="108">
        <v>6.0427802142911604</v>
      </c>
      <c r="E3520" s="108">
        <v>0</v>
      </c>
      <c r="F3520" s="108" t="s">
        <v>137</v>
      </c>
      <c r="G3520" s="108"/>
      <c r="H3520" s="108">
        <v>1</v>
      </c>
    </row>
    <row r="3521" spans="1:8" ht="14">
      <c r="A3521" s="108">
        <v>2020</v>
      </c>
      <c r="B3521" s="108">
        <v>29</v>
      </c>
      <c r="C3521" s="108" t="s">
        <v>30</v>
      </c>
      <c r="D3521" s="108">
        <v>21452.991345046099</v>
      </c>
      <c r="E3521" s="108">
        <v>0</v>
      </c>
      <c r="F3521" s="108" t="s">
        <v>135</v>
      </c>
      <c r="G3521" s="108"/>
      <c r="H3521" s="108">
        <v>1</v>
      </c>
    </row>
    <row r="3522" spans="1:8" ht="14">
      <c r="A3522" s="108">
        <v>2020</v>
      </c>
      <c r="B3522" s="108">
        <v>29</v>
      </c>
      <c r="C3522" s="108" t="s">
        <v>138</v>
      </c>
      <c r="D3522" s="108">
        <v>16584.203323105801</v>
      </c>
      <c r="E3522" s="108">
        <v>0</v>
      </c>
      <c r="F3522" s="108" t="s">
        <v>135</v>
      </c>
      <c r="G3522" s="108"/>
      <c r="H3522" s="108">
        <v>1</v>
      </c>
    </row>
    <row r="3523" spans="1:8" ht="14">
      <c r="A3523" s="108">
        <v>2020</v>
      </c>
      <c r="B3523" s="108">
        <v>29</v>
      </c>
      <c r="C3523" s="108" t="s">
        <v>138</v>
      </c>
      <c r="D3523" s="108">
        <v>2.04</v>
      </c>
      <c r="E3523" s="108">
        <v>0</v>
      </c>
      <c r="F3523" s="108" t="s">
        <v>137</v>
      </c>
      <c r="G3523" s="108"/>
      <c r="H3523" s="108">
        <v>1</v>
      </c>
    </row>
    <row r="3524" spans="1:8" ht="14">
      <c r="A3524" s="108">
        <v>2020</v>
      </c>
      <c r="B3524" s="108">
        <v>29</v>
      </c>
      <c r="C3524" s="108" t="s">
        <v>138</v>
      </c>
      <c r="D3524" s="108">
        <v>24369.643676894098</v>
      </c>
      <c r="E3524" s="108">
        <v>0</v>
      </c>
      <c r="F3524" s="108" t="s">
        <v>136</v>
      </c>
      <c r="G3524" s="108"/>
      <c r="H3524" s="108">
        <v>1</v>
      </c>
    </row>
    <row r="3525" spans="1:8" ht="14">
      <c r="A3525" s="108">
        <v>2020</v>
      </c>
      <c r="B3525" s="108">
        <v>29</v>
      </c>
      <c r="C3525" s="108" t="s">
        <v>139</v>
      </c>
      <c r="D3525" s="108">
        <v>4868.7880219402696</v>
      </c>
      <c r="E3525" s="108">
        <v>0</v>
      </c>
      <c r="F3525" s="108" t="s">
        <v>135</v>
      </c>
      <c r="G3525" s="108"/>
      <c r="H3525" s="108">
        <v>1</v>
      </c>
    </row>
    <row r="3526" spans="1:8" ht="14">
      <c r="A3526" s="108">
        <v>2020</v>
      </c>
      <c r="B3526" s="108">
        <v>29</v>
      </c>
      <c r="C3526" s="108" t="s">
        <v>139</v>
      </c>
      <c r="D3526" s="108">
        <v>6683.2161978454296</v>
      </c>
      <c r="E3526" s="108">
        <v>0</v>
      </c>
      <c r="F3526" s="108" t="s">
        <v>136</v>
      </c>
      <c r="G3526" s="108"/>
      <c r="H3526" s="108">
        <v>1</v>
      </c>
    </row>
    <row r="3527" spans="1:8" ht="14">
      <c r="A3527" s="108">
        <v>2020</v>
      </c>
      <c r="B3527" s="108">
        <v>29</v>
      </c>
      <c r="C3527" s="108" t="s">
        <v>139</v>
      </c>
      <c r="D3527" s="108">
        <v>4.0027802142911604</v>
      </c>
      <c r="E3527" s="108">
        <v>0</v>
      </c>
      <c r="F3527" s="108" t="s">
        <v>137</v>
      </c>
      <c r="G3527" s="108"/>
      <c r="H3527" s="108">
        <v>1</v>
      </c>
    </row>
    <row r="3528" spans="1:8" ht="14">
      <c r="A3528" s="108">
        <v>2020</v>
      </c>
      <c r="B3528" s="108">
        <v>31</v>
      </c>
      <c r="C3528" s="108" t="s">
        <v>30</v>
      </c>
      <c r="D3528" s="108">
        <v>1.9008605068887101</v>
      </c>
      <c r="E3528" s="108">
        <v>1.9074832826627299</v>
      </c>
      <c r="F3528" s="108" t="s">
        <v>137</v>
      </c>
      <c r="G3528" s="108">
        <v>1.9074832826679999</v>
      </c>
      <c r="H3528" s="108">
        <v>1</v>
      </c>
    </row>
    <row r="3529" spans="1:8" ht="14">
      <c r="A3529" s="108">
        <v>2020</v>
      </c>
      <c r="B3529" s="108">
        <v>31</v>
      </c>
      <c r="C3529" s="108" t="s">
        <v>30</v>
      </c>
      <c r="D3529" s="108">
        <v>17168.048880015001</v>
      </c>
      <c r="E3529" s="108">
        <v>1360.3709141599199</v>
      </c>
      <c r="F3529" s="108" t="s">
        <v>136</v>
      </c>
      <c r="G3529" s="108">
        <v>1360.37091416103</v>
      </c>
      <c r="H3529" s="108">
        <v>1</v>
      </c>
    </row>
    <row r="3530" spans="1:8" ht="14">
      <c r="A3530" s="108">
        <v>2020</v>
      </c>
      <c r="B3530" s="108">
        <v>31</v>
      </c>
      <c r="C3530" s="108" t="s">
        <v>30</v>
      </c>
      <c r="D3530" s="108">
        <v>575.96925947806301</v>
      </c>
      <c r="E3530" s="108">
        <v>63.822602557414797</v>
      </c>
      <c r="F3530" s="108" t="s">
        <v>135</v>
      </c>
      <c r="G3530" s="108">
        <v>63.822602557465999</v>
      </c>
      <c r="H3530" s="108">
        <v>1</v>
      </c>
    </row>
    <row r="3531" spans="1:8" ht="14">
      <c r="A3531" s="108">
        <v>2020</v>
      </c>
      <c r="B3531" s="108">
        <v>31</v>
      </c>
      <c r="C3531" s="108" t="s">
        <v>138</v>
      </c>
      <c r="D3531" s="108">
        <v>1.9008605068887101</v>
      </c>
      <c r="E3531" s="108">
        <v>1.0516218284047301</v>
      </c>
      <c r="F3531" s="108" t="s">
        <v>137</v>
      </c>
      <c r="G3531" s="108">
        <v>1.0516218284100001</v>
      </c>
      <c r="H3531" s="108">
        <v>1</v>
      </c>
    </row>
    <row r="3532" spans="1:8" ht="14">
      <c r="A3532" s="108">
        <v>2020</v>
      </c>
      <c r="B3532" s="108">
        <v>31</v>
      </c>
      <c r="C3532" s="108" t="s">
        <v>138</v>
      </c>
      <c r="D3532" s="108">
        <v>219.20141668519099</v>
      </c>
      <c r="E3532" s="108">
        <v>26.181645843746399</v>
      </c>
      <c r="F3532" s="108" t="s">
        <v>135</v>
      </c>
      <c r="G3532" s="108">
        <v>26.181645843805001</v>
      </c>
      <c r="H3532" s="108">
        <v>1</v>
      </c>
    </row>
    <row r="3533" spans="1:8" ht="14">
      <c r="A3533" s="108">
        <v>2020</v>
      </c>
      <c r="B3533" s="108">
        <v>31</v>
      </c>
      <c r="C3533" s="108" t="s">
        <v>138</v>
      </c>
      <c r="D3533" s="108">
        <v>11047.768722807899</v>
      </c>
      <c r="E3533" s="108">
        <v>716.64373232784897</v>
      </c>
      <c r="F3533" s="108" t="s">
        <v>136</v>
      </c>
      <c r="G3533" s="108">
        <v>716.64373232956905</v>
      </c>
      <c r="H3533" s="108">
        <v>1</v>
      </c>
    </row>
    <row r="3534" spans="1:8" ht="14">
      <c r="A3534" s="108">
        <v>2020</v>
      </c>
      <c r="B3534" s="108">
        <v>31</v>
      </c>
      <c r="C3534" s="108" t="s">
        <v>139</v>
      </c>
      <c r="D3534" s="108">
        <v>356.76784279287199</v>
      </c>
      <c r="E3534" s="108">
        <v>37.640956713668302</v>
      </c>
      <c r="F3534" s="108" t="s">
        <v>135</v>
      </c>
      <c r="G3534" s="108">
        <v>37.640956713660998</v>
      </c>
      <c r="H3534" s="108">
        <v>1</v>
      </c>
    </row>
    <row r="3535" spans="1:8" ht="14">
      <c r="A3535" s="108">
        <v>2020</v>
      </c>
      <c r="B3535" s="108">
        <v>31</v>
      </c>
      <c r="C3535" s="108" t="s">
        <v>139</v>
      </c>
      <c r="D3535" s="108">
        <v>0</v>
      </c>
      <c r="E3535" s="108">
        <v>0.85586145425799998</v>
      </c>
      <c r="F3535" s="108" t="s">
        <v>137</v>
      </c>
      <c r="G3535" s="108">
        <v>0.85586145425799898</v>
      </c>
      <c r="H3535" s="108">
        <v>1</v>
      </c>
    </row>
    <row r="3536" spans="1:8" ht="14">
      <c r="A3536" s="108">
        <v>2020</v>
      </c>
      <c r="B3536" s="108">
        <v>31</v>
      </c>
      <c r="C3536" s="108" t="s">
        <v>139</v>
      </c>
      <c r="D3536" s="108">
        <v>6120.2801572071203</v>
      </c>
      <c r="E3536" s="108">
        <v>643.72718183207303</v>
      </c>
      <c r="F3536" s="108" t="s">
        <v>136</v>
      </c>
      <c r="G3536" s="108">
        <v>643.72718183146696</v>
      </c>
      <c r="H3536" s="108">
        <v>1</v>
      </c>
    </row>
    <row r="3537" spans="1:8" ht="14">
      <c r="A3537" s="108">
        <v>2020</v>
      </c>
      <c r="B3537" s="108">
        <v>32</v>
      </c>
      <c r="C3537" s="108" t="s">
        <v>30</v>
      </c>
      <c r="D3537" s="108">
        <v>34369.942351405902</v>
      </c>
      <c r="E3537" s="108">
        <v>3410.13048725628</v>
      </c>
      <c r="F3537" s="108" t="s">
        <v>136</v>
      </c>
      <c r="G3537" s="108">
        <v>6820.26097451442</v>
      </c>
      <c r="H3537" s="108">
        <v>1</v>
      </c>
    </row>
    <row r="3538" spans="1:8" ht="14">
      <c r="A3538" s="108">
        <v>2020</v>
      </c>
      <c r="B3538" s="108">
        <v>32</v>
      </c>
      <c r="C3538" s="108" t="s">
        <v>30</v>
      </c>
      <c r="D3538" s="108">
        <v>6.3200808474035499</v>
      </c>
      <c r="E3538" s="108">
        <v>2.74963778799723</v>
      </c>
      <c r="F3538" s="108" t="s">
        <v>137</v>
      </c>
      <c r="G3538" s="108">
        <v>5.4992755760060001</v>
      </c>
      <c r="H3538" s="108">
        <v>1</v>
      </c>
    </row>
    <row r="3539" spans="1:8" ht="14">
      <c r="A3539" s="108">
        <v>2020</v>
      </c>
      <c r="B3539" s="108">
        <v>32</v>
      </c>
      <c r="C3539" s="108" t="s">
        <v>30</v>
      </c>
      <c r="D3539" s="108">
        <v>1922.3285677466399</v>
      </c>
      <c r="E3539" s="108">
        <v>166.76387495572399</v>
      </c>
      <c r="F3539" s="108" t="s">
        <v>135</v>
      </c>
      <c r="G3539" s="108">
        <v>333.527749911451</v>
      </c>
      <c r="H3539" s="108">
        <v>1</v>
      </c>
    </row>
    <row r="3540" spans="1:8" ht="14">
      <c r="A3540" s="108">
        <v>2020</v>
      </c>
      <c r="B3540" s="108">
        <v>32</v>
      </c>
      <c r="C3540" s="108" t="s">
        <v>138</v>
      </c>
      <c r="D3540" s="108">
        <v>747.87350481761905</v>
      </c>
      <c r="E3540" s="108">
        <v>69.864473918015307</v>
      </c>
      <c r="F3540" s="108" t="s">
        <v>135</v>
      </c>
      <c r="G3540" s="108">
        <v>139.72894783604099</v>
      </c>
      <c r="H3540" s="108">
        <v>1</v>
      </c>
    </row>
    <row r="3541" spans="1:8" ht="14">
      <c r="A3541" s="108">
        <v>2020</v>
      </c>
      <c r="B3541" s="108">
        <v>32</v>
      </c>
      <c r="C3541" s="108" t="s">
        <v>138</v>
      </c>
      <c r="D3541" s="108">
        <v>6.3200808474035499</v>
      </c>
      <c r="E3541" s="108">
        <v>0.89818921854609501</v>
      </c>
      <c r="F3541" s="108" t="s">
        <v>137</v>
      </c>
      <c r="G3541" s="108">
        <v>1.796378437092</v>
      </c>
      <c r="H3541" s="108">
        <v>1</v>
      </c>
    </row>
    <row r="3542" spans="1:8" ht="14">
      <c r="A3542" s="108">
        <v>2020</v>
      </c>
      <c r="B3542" s="108">
        <v>32</v>
      </c>
      <c r="C3542" s="108" t="s">
        <v>138</v>
      </c>
      <c r="D3542" s="108">
        <v>21894.244414334898</v>
      </c>
      <c r="E3542" s="108">
        <v>1744.1313368634301</v>
      </c>
      <c r="F3542" s="108" t="s">
        <v>136</v>
      </c>
      <c r="G3542" s="108">
        <v>3488.26267372745</v>
      </c>
      <c r="H3542" s="108">
        <v>1</v>
      </c>
    </row>
    <row r="3543" spans="1:8" ht="14">
      <c r="A3543" s="108">
        <v>2020</v>
      </c>
      <c r="B3543" s="108">
        <v>32</v>
      </c>
      <c r="C3543" s="108" t="s">
        <v>139</v>
      </c>
      <c r="D3543" s="108">
        <v>1174.45506292902</v>
      </c>
      <c r="E3543" s="108">
        <v>96.899401037708898</v>
      </c>
      <c r="F3543" s="108" t="s">
        <v>135</v>
      </c>
      <c r="G3543" s="108">
        <v>193.79880207541001</v>
      </c>
      <c r="H3543" s="108">
        <v>1</v>
      </c>
    </row>
    <row r="3544" spans="1:8" ht="14">
      <c r="A3544" s="108">
        <v>2020</v>
      </c>
      <c r="B3544" s="108">
        <v>32</v>
      </c>
      <c r="C3544" s="108" t="s">
        <v>139</v>
      </c>
      <c r="D3544" s="108">
        <v>12475.6979370709</v>
      </c>
      <c r="E3544" s="108">
        <v>1665.99915039284</v>
      </c>
      <c r="F3544" s="108" t="s">
        <v>136</v>
      </c>
      <c r="G3544" s="108">
        <v>3331.99830078696</v>
      </c>
      <c r="H3544" s="108">
        <v>1</v>
      </c>
    </row>
    <row r="3545" spans="1:8" ht="14">
      <c r="A3545" s="108">
        <v>2020</v>
      </c>
      <c r="B3545" s="108">
        <v>32</v>
      </c>
      <c r="C3545" s="108" t="s">
        <v>139</v>
      </c>
      <c r="D3545" s="108">
        <v>0</v>
      </c>
      <c r="E3545" s="108">
        <v>1.85144856945113</v>
      </c>
      <c r="F3545" s="108" t="s">
        <v>137</v>
      </c>
      <c r="G3545" s="108">
        <v>3.7028971389139902</v>
      </c>
      <c r="H3545" s="108">
        <v>1</v>
      </c>
    </row>
    <row r="3546" spans="1:8" ht="14">
      <c r="A3546" s="108">
        <v>2020</v>
      </c>
      <c r="B3546" s="108">
        <v>33</v>
      </c>
      <c r="C3546" s="108" t="s">
        <v>30</v>
      </c>
      <c r="D3546" s="108">
        <v>12.7885055694007</v>
      </c>
      <c r="E3546" s="108">
        <v>2.2303367324178001</v>
      </c>
      <c r="F3546" s="108" t="s">
        <v>135</v>
      </c>
      <c r="G3546" s="108">
        <v>3.3455050986170001</v>
      </c>
      <c r="H3546" s="108">
        <v>1</v>
      </c>
    </row>
    <row r="3547" spans="1:8" ht="14">
      <c r="A3547" s="108">
        <v>2020</v>
      </c>
      <c r="B3547" s="108">
        <v>33</v>
      </c>
      <c r="C3547" s="108" t="s">
        <v>30</v>
      </c>
      <c r="D3547" s="108">
        <v>0.185681194827922</v>
      </c>
      <c r="E3547" s="108">
        <v>1.4638667934619499E-2</v>
      </c>
      <c r="F3547" s="108" t="s">
        <v>137</v>
      </c>
      <c r="G3547" s="108">
        <v>2.1958001902999999E-2</v>
      </c>
      <c r="H3547" s="108">
        <v>1</v>
      </c>
    </row>
    <row r="3548" spans="1:8" ht="14">
      <c r="A3548" s="108">
        <v>2020</v>
      </c>
      <c r="B3548" s="108">
        <v>33</v>
      </c>
      <c r="C3548" s="108" t="s">
        <v>30</v>
      </c>
      <c r="D3548" s="108">
        <v>1326.4968132357701</v>
      </c>
      <c r="E3548" s="108">
        <v>89.657024599647499</v>
      </c>
      <c r="F3548" s="108" t="s">
        <v>136</v>
      </c>
      <c r="G3548" s="108">
        <v>134.48553689948099</v>
      </c>
      <c r="H3548" s="108">
        <v>1</v>
      </c>
    </row>
    <row r="3549" spans="1:8" ht="14">
      <c r="A3549" s="108">
        <v>2020</v>
      </c>
      <c r="B3549" s="108">
        <v>33</v>
      </c>
      <c r="C3549" s="108" t="s">
        <v>138</v>
      </c>
      <c r="D3549" s="108">
        <v>961.84279246123799</v>
      </c>
      <c r="E3549" s="108">
        <v>46.096534404225999</v>
      </c>
      <c r="F3549" s="108" t="s">
        <v>136</v>
      </c>
      <c r="G3549" s="108">
        <v>69.144801606330006</v>
      </c>
      <c r="H3549" s="108">
        <v>1</v>
      </c>
    </row>
    <row r="3550" spans="1:8" ht="14">
      <c r="A3550" s="108">
        <v>2020</v>
      </c>
      <c r="B3550" s="108">
        <v>33</v>
      </c>
      <c r="C3550" s="108" t="s">
        <v>138</v>
      </c>
      <c r="D3550" s="108">
        <v>0.185681194827922</v>
      </c>
      <c r="E3550" s="108">
        <v>1.4638667934619499E-2</v>
      </c>
      <c r="F3550" s="108" t="s">
        <v>137</v>
      </c>
      <c r="G3550" s="108">
        <v>2.1958001902999999E-2</v>
      </c>
      <c r="H3550" s="108">
        <v>1</v>
      </c>
    </row>
    <row r="3551" spans="1:8" ht="14">
      <c r="A3551" s="108">
        <v>2020</v>
      </c>
      <c r="B3551" s="108">
        <v>33</v>
      </c>
      <c r="C3551" s="108" t="s">
        <v>138</v>
      </c>
      <c r="D3551" s="108">
        <v>8.9685263439336698</v>
      </c>
      <c r="E3551" s="108">
        <v>1.4038269278393101</v>
      </c>
      <c r="F3551" s="108" t="s">
        <v>135</v>
      </c>
      <c r="G3551" s="108">
        <v>2.1057403917580002</v>
      </c>
      <c r="H3551" s="108">
        <v>1</v>
      </c>
    </row>
    <row r="3552" spans="1:8" ht="14">
      <c r="A3552" s="108">
        <v>2020</v>
      </c>
      <c r="B3552" s="108">
        <v>33</v>
      </c>
      <c r="C3552" s="108" t="s">
        <v>139</v>
      </c>
      <c r="D3552" s="108">
        <v>3.8199792254670402</v>
      </c>
      <c r="E3552" s="108">
        <v>0.82650980457848999</v>
      </c>
      <c r="F3552" s="108" t="s">
        <v>135</v>
      </c>
      <c r="G3552" s="108">
        <v>1.2397647068589901</v>
      </c>
      <c r="H3552" s="108">
        <v>1</v>
      </c>
    </row>
    <row r="3553" spans="1:8" ht="14">
      <c r="A3553" s="108">
        <v>2020</v>
      </c>
      <c r="B3553" s="108">
        <v>33</v>
      </c>
      <c r="C3553" s="108" t="s">
        <v>139</v>
      </c>
      <c r="D3553" s="108">
        <v>364.654020774532</v>
      </c>
      <c r="E3553" s="108">
        <v>43.560490195421501</v>
      </c>
      <c r="F3553" s="108" t="s">
        <v>136</v>
      </c>
      <c r="G3553" s="108">
        <v>65.340735293150999</v>
      </c>
      <c r="H3553" s="108">
        <v>1</v>
      </c>
    </row>
    <row r="3554" spans="1:8" ht="14">
      <c r="A3554" s="108">
        <v>2020</v>
      </c>
      <c r="B3554" s="108">
        <v>34</v>
      </c>
      <c r="C3554" s="108" t="s">
        <v>30</v>
      </c>
      <c r="D3554" s="108">
        <v>212.68957517067699</v>
      </c>
      <c r="E3554" s="108">
        <v>20.2045355641262</v>
      </c>
      <c r="F3554" s="108" t="s">
        <v>135</v>
      </c>
      <c r="G3554" s="108">
        <v>45.460205019299998</v>
      </c>
      <c r="H3554" s="108">
        <v>1</v>
      </c>
    </row>
    <row r="3555" spans="1:8" ht="14">
      <c r="A3555" s="108">
        <v>2020</v>
      </c>
      <c r="B3555" s="108">
        <v>34</v>
      </c>
      <c r="C3555" s="108" t="s">
        <v>30</v>
      </c>
      <c r="D3555" s="108">
        <v>5756.23030669317</v>
      </c>
      <c r="E3555" s="108">
        <v>428.918941762087</v>
      </c>
      <c r="F3555" s="108" t="s">
        <v>136</v>
      </c>
      <c r="G3555" s="108">
        <v>965.067618964698</v>
      </c>
      <c r="H3555" s="108">
        <v>1</v>
      </c>
    </row>
    <row r="3556" spans="1:8" ht="14">
      <c r="A3556" s="108">
        <v>2020</v>
      </c>
      <c r="B3556" s="108">
        <v>34</v>
      </c>
      <c r="C3556" s="108" t="s">
        <v>30</v>
      </c>
      <c r="D3556" s="108">
        <v>2.1051181361498599</v>
      </c>
      <c r="E3556" s="108">
        <v>0.20352267378660199</v>
      </c>
      <c r="F3556" s="108" t="s">
        <v>137</v>
      </c>
      <c r="G3556" s="108">
        <v>0.45792601601999999</v>
      </c>
      <c r="H3556" s="108">
        <v>1</v>
      </c>
    </row>
    <row r="3557" spans="1:8" ht="14">
      <c r="A3557" s="108">
        <v>2020</v>
      </c>
      <c r="B3557" s="108">
        <v>34</v>
      </c>
      <c r="C3557" s="108" t="s">
        <v>138</v>
      </c>
      <c r="D3557" s="108">
        <v>4779.1423578553304</v>
      </c>
      <c r="E3557" s="108">
        <v>224.887063249698</v>
      </c>
      <c r="F3557" s="108" t="s">
        <v>136</v>
      </c>
      <c r="G3557" s="108">
        <v>505.99589231189401</v>
      </c>
      <c r="H3557" s="108">
        <v>1</v>
      </c>
    </row>
    <row r="3558" spans="1:8" ht="14">
      <c r="A3558" s="108">
        <v>2020</v>
      </c>
      <c r="B3558" s="108">
        <v>34</v>
      </c>
      <c r="C3558" s="108" t="s">
        <v>138</v>
      </c>
      <c r="D3558" s="108">
        <v>2.1051181361498599</v>
      </c>
      <c r="E3558" s="108">
        <v>0.1204490073651</v>
      </c>
      <c r="F3558" s="108" t="s">
        <v>137</v>
      </c>
      <c r="G3558" s="108">
        <v>0.27101026656999999</v>
      </c>
      <c r="H3558" s="108">
        <v>1</v>
      </c>
    </row>
    <row r="3559" spans="1:8" ht="14">
      <c r="A3559" s="108">
        <v>2020</v>
      </c>
      <c r="B3559" s="108">
        <v>34</v>
      </c>
      <c r="C3559" s="108" t="s">
        <v>138</v>
      </c>
      <c r="D3559" s="108">
        <v>96.0085240085143</v>
      </c>
      <c r="E3559" s="108">
        <v>8.9184877429362803</v>
      </c>
      <c r="F3559" s="108" t="s">
        <v>135</v>
      </c>
      <c r="G3559" s="108">
        <v>20.066597421615999</v>
      </c>
      <c r="H3559" s="108">
        <v>1</v>
      </c>
    </row>
    <row r="3560" spans="1:8" ht="14">
      <c r="A3560" s="108">
        <v>2020</v>
      </c>
      <c r="B3560" s="108">
        <v>34</v>
      </c>
      <c r="C3560" s="108" t="s">
        <v>139</v>
      </c>
      <c r="D3560" s="108">
        <v>977.08794883783696</v>
      </c>
      <c r="E3560" s="108">
        <v>204.031878512388</v>
      </c>
      <c r="F3560" s="108" t="s">
        <v>136</v>
      </c>
      <c r="G3560" s="108">
        <v>459.07172665280399</v>
      </c>
      <c r="H3560" s="108">
        <v>1</v>
      </c>
    </row>
    <row r="3561" spans="1:8" ht="14">
      <c r="A3561" s="108">
        <v>2020</v>
      </c>
      <c r="B3561" s="108">
        <v>34</v>
      </c>
      <c r="C3561" s="108" t="s">
        <v>139</v>
      </c>
      <c r="D3561" s="108">
        <v>0</v>
      </c>
      <c r="E3561" s="108">
        <v>8.3073666421502296E-2</v>
      </c>
      <c r="F3561" s="108" t="s">
        <v>137</v>
      </c>
      <c r="G3561" s="108">
        <v>0.18691574945</v>
      </c>
      <c r="H3561" s="108">
        <v>1</v>
      </c>
    </row>
    <row r="3562" spans="1:8" ht="14">
      <c r="A3562" s="108">
        <v>2020</v>
      </c>
      <c r="B3562" s="108">
        <v>34</v>
      </c>
      <c r="C3562" s="108" t="s">
        <v>139</v>
      </c>
      <c r="D3562" s="108">
        <v>116.681051162163</v>
      </c>
      <c r="E3562" s="108">
        <v>11.2860478211899</v>
      </c>
      <c r="F3562" s="108" t="s">
        <v>135</v>
      </c>
      <c r="G3562" s="108">
        <v>25.393607597683999</v>
      </c>
      <c r="H3562" s="108">
        <v>1</v>
      </c>
    </row>
    <row r="3563" spans="1:8" ht="14">
      <c r="A3563" s="108">
        <v>2020</v>
      </c>
      <c r="B3563" s="108">
        <v>51</v>
      </c>
      <c r="C3563" s="108" t="s">
        <v>30</v>
      </c>
      <c r="D3563" s="108">
        <v>32420.956635002702</v>
      </c>
      <c r="E3563" s="108">
        <v>3138.7537830940701</v>
      </c>
      <c r="F3563" s="108" t="s">
        <v>136</v>
      </c>
      <c r="G3563" s="108"/>
      <c r="H3563" s="108">
        <v>1</v>
      </c>
    </row>
    <row r="3564" spans="1:8" ht="14">
      <c r="A3564" s="108">
        <v>2020</v>
      </c>
      <c r="B3564" s="108">
        <v>51</v>
      </c>
      <c r="C3564" s="108" t="s">
        <v>30</v>
      </c>
      <c r="D3564" s="108">
        <v>7282.3533649972596</v>
      </c>
      <c r="E3564" s="108">
        <v>633.74021690592599</v>
      </c>
      <c r="F3564" s="108" t="s">
        <v>135</v>
      </c>
      <c r="G3564" s="108"/>
      <c r="H3564" s="108">
        <v>1</v>
      </c>
    </row>
    <row r="3565" spans="1:8" ht="14">
      <c r="A3565" s="108">
        <v>2020</v>
      </c>
      <c r="B3565" s="108">
        <v>51</v>
      </c>
      <c r="C3565" s="108" t="s">
        <v>138</v>
      </c>
      <c r="D3565" s="108">
        <v>3478.5938836753799</v>
      </c>
      <c r="E3565" s="108">
        <v>308.48070248687998</v>
      </c>
      <c r="F3565" s="108" t="s">
        <v>135</v>
      </c>
      <c r="G3565" s="108"/>
      <c r="H3565" s="108">
        <v>1</v>
      </c>
    </row>
    <row r="3566" spans="1:8" ht="14">
      <c r="A3566" s="108">
        <v>2020</v>
      </c>
      <c r="B3566" s="108">
        <v>51</v>
      </c>
      <c r="C3566" s="108" t="s">
        <v>138</v>
      </c>
      <c r="D3566" s="108">
        <v>19620.2791163246</v>
      </c>
      <c r="E3566" s="108">
        <v>1559.0562975131199</v>
      </c>
      <c r="F3566" s="108" t="s">
        <v>136</v>
      </c>
      <c r="G3566" s="108"/>
      <c r="H3566" s="108">
        <v>1</v>
      </c>
    </row>
    <row r="3567" spans="1:8" ht="14">
      <c r="A3567" s="108">
        <v>2020</v>
      </c>
      <c r="B3567" s="108">
        <v>51</v>
      </c>
      <c r="C3567" s="108" t="s">
        <v>139</v>
      </c>
      <c r="D3567" s="108">
        <v>12800.6775186781</v>
      </c>
      <c r="E3567" s="108">
        <v>1579.6974855809499</v>
      </c>
      <c r="F3567" s="108" t="s">
        <v>136</v>
      </c>
      <c r="G3567" s="108"/>
      <c r="H3567" s="108">
        <v>1</v>
      </c>
    </row>
    <row r="3568" spans="1:8" ht="14">
      <c r="A3568" s="108">
        <v>2020</v>
      </c>
      <c r="B3568" s="108">
        <v>51</v>
      </c>
      <c r="C3568" s="108" t="s">
        <v>139</v>
      </c>
      <c r="D3568" s="108">
        <v>3803.7594813218798</v>
      </c>
      <c r="E3568" s="108">
        <v>325.25951441904601</v>
      </c>
      <c r="F3568" s="108" t="s">
        <v>135</v>
      </c>
      <c r="G3568" s="108"/>
      <c r="H3568" s="108">
        <v>1</v>
      </c>
    </row>
    <row r="3569" spans="1:8" ht="14">
      <c r="A3569" s="108">
        <v>2020</v>
      </c>
      <c r="B3569" s="108">
        <v>52</v>
      </c>
      <c r="C3569" s="108" t="s">
        <v>30</v>
      </c>
      <c r="D3569" s="108">
        <v>0</v>
      </c>
      <c r="E3569" s="108">
        <v>1294.4778919238199</v>
      </c>
      <c r="F3569" s="108" t="s">
        <v>136</v>
      </c>
      <c r="G3569" s="108"/>
      <c r="H3569" s="108">
        <v>1</v>
      </c>
    </row>
    <row r="3570" spans="1:8" ht="14">
      <c r="A3570" s="108">
        <v>2020</v>
      </c>
      <c r="B3570" s="108">
        <v>52</v>
      </c>
      <c r="C3570" s="108" t="s">
        <v>30</v>
      </c>
      <c r="D3570" s="108">
        <v>0</v>
      </c>
      <c r="E3570" s="108">
        <v>734.72110807617105</v>
      </c>
      <c r="F3570" s="108" t="s">
        <v>135</v>
      </c>
      <c r="G3570" s="108"/>
      <c r="H3570" s="108">
        <v>1</v>
      </c>
    </row>
    <row r="3571" spans="1:8" ht="14">
      <c r="A3571" s="108">
        <v>2020</v>
      </c>
      <c r="B3571" s="108">
        <v>52</v>
      </c>
      <c r="C3571" s="108" t="s">
        <v>138</v>
      </c>
      <c r="D3571" s="108">
        <v>0</v>
      </c>
      <c r="E3571" s="108">
        <v>366.631390519543</v>
      </c>
      <c r="F3571" s="108" t="s">
        <v>135</v>
      </c>
      <c r="G3571" s="108"/>
      <c r="H3571" s="108">
        <v>1</v>
      </c>
    </row>
    <row r="3572" spans="1:8" ht="14">
      <c r="A3572" s="108">
        <v>2020</v>
      </c>
      <c r="B3572" s="108">
        <v>52</v>
      </c>
      <c r="C3572" s="108" t="s">
        <v>138</v>
      </c>
      <c r="D3572" s="108">
        <v>0</v>
      </c>
      <c r="E3572" s="108">
        <v>620.48360948045604</v>
      </c>
      <c r="F3572" s="108" t="s">
        <v>136</v>
      </c>
      <c r="G3572" s="108"/>
      <c r="H3572" s="108">
        <v>1</v>
      </c>
    </row>
    <row r="3573" spans="1:8" ht="14">
      <c r="A3573" s="108">
        <v>2020</v>
      </c>
      <c r="B3573" s="108">
        <v>52</v>
      </c>
      <c r="C3573" s="108" t="s">
        <v>139</v>
      </c>
      <c r="D3573" s="108">
        <v>0</v>
      </c>
      <c r="E3573" s="108">
        <v>368.08971755662702</v>
      </c>
      <c r="F3573" s="108" t="s">
        <v>135</v>
      </c>
      <c r="G3573" s="108"/>
      <c r="H3573" s="108">
        <v>1</v>
      </c>
    </row>
    <row r="3574" spans="1:8" ht="14">
      <c r="A3574" s="108">
        <v>2020</v>
      </c>
      <c r="B3574" s="108">
        <v>52</v>
      </c>
      <c r="C3574" s="108" t="s">
        <v>139</v>
      </c>
      <c r="D3574" s="108">
        <v>0</v>
      </c>
      <c r="E3574" s="108">
        <v>673.99428244337196</v>
      </c>
      <c r="F3574" s="108" t="s">
        <v>136</v>
      </c>
      <c r="G3574" s="108"/>
      <c r="H3574" s="108">
        <v>1</v>
      </c>
    </row>
    <row r="3575" spans="1:8" ht="14">
      <c r="A3575" s="108">
        <v>2020</v>
      </c>
      <c r="B3575" s="108">
        <v>53</v>
      </c>
      <c r="C3575" s="108" t="s">
        <v>30</v>
      </c>
      <c r="D3575" s="108">
        <v>0</v>
      </c>
      <c r="E3575" s="108">
        <v>14.234</v>
      </c>
      <c r="F3575" s="108" t="s">
        <v>136</v>
      </c>
      <c r="G3575" s="108"/>
      <c r="H3575" s="108">
        <v>1</v>
      </c>
    </row>
    <row r="3576" spans="1:8" ht="14">
      <c r="A3576" s="108">
        <v>2020</v>
      </c>
      <c r="B3576" s="108">
        <v>53</v>
      </c>
      <c r="C3576" s="108" t="s">
        <v>30</v>
      </c>
      <c r="D3576" s="108">
        <v>0</v>
      </c>
      <c r="E3576" s="108">
        <v>4.7039999999999997</v>
      </c>
      <c r="F3576" s="108" t="s">
        <v>135</v>
      </c>
      <c r="G3576" s="108"/>
      <c r="H3576" s="108">
        <v>1</v>
      </c>
    </row>
    <row r="3577" spans="1:8" ht="14">
      <c r="A3577" s="108">
        <v>2020</v>
      </c>
      <c r="B3577" s="108">
        <v>53</v>
      </c>
      <c r="C3577" s="108" t="s">
        <v>138</v>
      </c>
      <c r="D3577" s="108">
        <v>0</v>
      </c>
      <c r="E3577" s="108">
        <v>7.28</v>
      </c>
      <c r="F3577" s="108" t="s">
        <v>136</v>
      </c>
      <c r="G3577" s="108"/>
      <c r="H3577" s="108">
        <v>1</v>
      </c>
    </row>
    <row r="3578" spans="1:8" ht="14">
      <c r="A3578" s="108">
        <v>2020</v>
      </c>
      <c r="B3578" s="108">
        <v>53</v>
      </c>
      <c r="C3578" s="108" t="s">
        <v>138</v>
      </c>
      <c r="D3578" s="108">
        <v>0</v>
      </c>
      <c r="E3578" s="108">
        <v>2.4060000000000001</v>
      </c>
      <c r="F3578" s="108" t="s">
        <v>135</v>
      </c>
      <c r="G3578" s="108"/>
      <c r="H3578" s="108">
        <v>1</v>
      </c>
    </row>
    <row r="3579" spans="1:8" ht="14">
      <c r="A3579" s="108">
        <v>2020</v>
      </c>
      <c r="B3579" s="108">
        <v>53</v>
      </c>
      <c r="C3579" s="108" t="s">
        <v>139</v>
      </c>
      <c r="D3579" s="108">
        <v>0</v>
      </c>
      <c r="E3579" s="108">
        <v>2.298</v>
      </c>
      <c r="F3579" s="108" t="s">
        <v>135</v>
      </c>
      <c r="G3579" s="108"/>
      <c r="H3579" s="108">
        <v>1</v>
      </c>
    </row>
    <row r="3580" spans="1:8" ht="14">
      <c r="A3580" s="108">
        <v>2020</v>
      </c>
      <c r="B3580" s="108">
        <v>53</v>
      </c>
      <c r="C3580" s="108" t="s">
        <v>139</v>
      </c>
      <c r="D3580" s="108">
        <v>0</v>
      </c>
      <c r="E3580" s="108">
        <v>6.9539999999999997</v>
      </c>
      <c r="F3580" s="108" t="s">
        <v>136</v>
      </c>
      <c r="G3580" s="108"/>
      <c r="H3580" s="108">
        <v>1</v>
      </c>
    </row>
    <row r="3581" spans="1:8" ht="14">
      <c r="A3581" s="108">
        <v>2020</v>
      </c>
      <c r="B3581" s="108">
        <v>54</v>
      </c>
      <c r="C3581" s="108" t="s">
        <v>30</v>
      </c>
      <c r="D3581" s="108">
        <v>4521.75360848537</v>
      </c>
      <c r="E3581" s="108">
        <v>2667.2818039343101</v>
      </c>
      <c r="F3581" s="108" t="s">
        <v>136</v>
      </c>
      <c r="G3581" s="108"/>
      <c r="H3581" s="108">
        <v>1</v>
      </c>
    </row>
    <row r="3582" spans="1:8" ht="14">
      <c r="A3582" s="108">
        <v>2020</v>
      </c>
      <c r="B3582" s="108">
        <v>54</v>
      </c>
      <c r="C3582" s="108" t="s">
        <v>30</v>
      </c>
      <c r="D3582" s="108">
        <v>85.179391514622196</v>
      </c>
      <c r="E3582" s="108">
        <v>69.687196065689093</v>
      </c>
      <c r="F3582" s="108" t="s">
        <v>135</v>
      </c>
      <c r="G3582" s="108"/>
      <c r="H3582" s="108">
        <v>1</v>
      </c>
    </row>
    <row r="3583" spans="1:8" ht="14">
      <c r="A3583" s="108">
        <v>2020</v>
      </c>
      <c r="B3583" s="108">
        <v>54</v>
      </c>
      <c r="C3583" s="108" t="s">
        <v>138</v>
      </c>
      <c r="D3583" s="108">
        <v>54.972720066515002</v>
      </c>
      <c r="E3583" s="108">
        <v>38.117125231678102</v>
      </c>
      <c r="F3583" s="108" t="s">
        <v>135</v>
      </c>
      <c r="G3583" s="108"/>
      <c r="H3583" s="108">
        <v>1</v>
      </c>
    </row>
    <row r="3584" spans="1:8" ht="14">
      <c r="A3584" s="108">
        <v>2020</v>
      </c>
      <c r="B3584" s="108">
        <v>54</v>
      </c>
      <c r="C3584" s="108" t="s">
        <v>138</v>
      </c>
      <c r="D3584" s="108">
        <v>2820.4552799334801</v>
      </c>
      <c r="E3584" s="108">
        <v>1818.2078747683199</v>
      </c>
      <c r="F3584" s="108" t="s">
        <v>136</v>
      </c>
      <c r="G3584" s="108"/>
      <c r="H3584" s="108">
        <v>1</v>
      </c>
    </row>
    <row r="3585" spans="1:8" ht="14">
      <c r="A3585" s="108">
        <v>2020</v>
      </c>
      <c r="B3585" s="108">
        <v>54</v>
      </c>
      <c r="C3585" s="108" t="s">
        <v>139</v>
      </c>
      <c r="D3585" s="108">
        <v>30.206671448107201</v>
      </c>
      <c r="E3585" s="108">
        <v>31.570070834010998</v>
      </c>
      <c r="F3585" s="108" t="s">
        <v>135</v>
      </c>
      <c r="G3585" s="108"/>
      <c r="H3585" s="108">
        <v>1</v>
      </c>
    </row>
    <row r="3586" spans="1:8" ht="14">
      <c r="A3586" s="108">
        <v>2020</v>
      </c>
      <c r="B3586" s="108">
        <v>54</v>
      </c>
      <c r="C3586" s="108" t="s">
        <v>139</v>
      </c>
      <c r="D3586" s="108">
        <v>1701.2983285518901</v>
      </c>
      <c r="E3586" s="108">
        <v>849.07392916598803</v>
      </c>
      <c r="F3586" s="108" t="s">
        <v>136</v>
      </c>
      <c r="G3586" s="108"/>
      <c r="H3586" s="108">
        <v>1</v>
      </c>
    </row>
    <row r="3587" spans="1:8" ht="14">
      <c r="A3587" s="108">
        <v>2020</v>
      </c>
      <c r="B3587" s="108">
        <v>61</v>
      </c>
      <c r="C3587" s="108" t="s">
        <v>30</v>
      </c>
      <c r="D3587" s="108">
        <v>27744.477297720499</v>
      </c>
      <c r="E3587" s="108">
        <v>2052.5872581625099</v>
      </c>
      <c r="F3587" s="108" t="s">
        <v>136</v>
      </c>
      <c r="G3587" s="108"/>
      <c r="H3587" s="108">
        <v>1</v>
      </c>
    </row>
    <row r="3588" spans="1:8" ht="14">
      <c r="A3588" s="108">
        <v>2020</v>
      </c>
      <c r="B3588" s="108">
        <v>61</v>
      </c>
      <c r="C3588" s="108" t="s">
        <v>30</v>
      </c>
      <c r="D3588" s="108">
        <v>17631.125702279402</v>
      </c>
      <c r="E3588" s="108">
        <v>1133.7697418374801</v>
      </c>
      <c r="F3588" s="108" t="s">
        <v>135</v>
      </c>
      <c r="G3588" s="108"/>
      <c r="H3588" s="108">
        <v>1</v>
      </c>
    </row>
    <row r="3589" spans="1:8" ht="14">
      <c r="A3589" s="108">
        <v>2020</v>
      </c>
      <c r="B3589" s="108">
        <v>61</v>
      </c>
      <c r="C3589" s="108" t="s">
        <v>138</v>
      </c>
      <c r="D3589" s="108">
        <v>16979.097040244302</v>
      </c>
      <c r="E3589" s="108">
        <v>1029.34795676816</v>
      </c>
      <c r="F3589" s="108" t="s">
        <v>136</v>
      </c>
      <c r="G3589" s="108"/>
      <c r="H3589" s="108">
        <v>1</v>
      </c>
    </row>
    <row r="3590" spans="1:8" ht="14">
      <c r="A3590" s="108">
        <v>2020</v>
      </c>
      <c r="B3590" s="108">
        <v>61</v>
      </c>
      <c r="C3590" s="108" t="s">
        <v>138</v>
      </c>
      <c r="D3590" s="108">
        <v>8704.1359597556402</v>
      </c>
      <c r="E3590" s="108">
        <v>573.32404323183198</v>
      </c>
      <c r="F3590" s="108" t="s">
        <v>135</v>
      </c>
      <c r="G3590" s="108"/>
      <c r="H3590" s="108">
        <v>1</v>
      </c>
    </row>
    <row r="3591" spans="1:8" ht="14">
      <c r="A3591" s="108">
        <v>2020</v>
      </c>
      <c r="B3591" s="108">
        <v>61</v>
      </c>
      <c r="C3591" s="108" t="s">
        <v>139</v>
      </c>
      <c r="D3591" s="108">
        <v>10765.380257476099</v>
      </c>
      <c r="E3591" s="108">
        <v>1023.23930139434</v>
      </c>
      <c r="F3591" s="108" t="s">
        <v>136</v>
      </c>
      <c r="G3591" s="108"/>
      <c r="H3591" s="108">
        <v>1</v>
      </c>
    </row>
    <row r="3592" spans="1:8" ht="14">
      <c r="A3592" s="108">
        <v>2020</v>
      </c>
      <c r="B3592" s="108">
        <v>61</v>
      </c>
      <c r="C3592" s="108" t="s">
        <v>139</v>
      </c>
      <c r="D3592" s="108">
        <v>8926.9897425238196</v>
      </c>
      <c r="E3592" s="108">
        <v>560.44569860565605</v>
      </c>
      <c r="F3592" s="108" t="s">
        <v>135</v>
      </c>
      <c r="G3592" s="108"/>
      <c r="H3592" s="108">
        <v>1</v>
      </c>
    </row>
    <row r="3593" spans="1:8" ht="14">
      <c r="A3593" s="108">
        <v>2020</v>
      </c>
      <c r="B3593" s="108">
        <v>62</v>
      </c>
      <c r="C3593" s="108" t="s">
        <v>30</v>
      </c>
      <c r="D3593" s="108">
        <v>102.33685242322299</v>
      </c>
      <c r="E3593" s="108">
        <v>19.068850185382999</v>
      </c>
      <c r="F3593" s="108" t="s">
        <v>136</v>
      </c>
      <c r="G3593" s="108"/>
      <c r="H3593" s="108">
        <v>1</v>
      </c>
    </row>
    <row r="3594" spans="1:8" ht="14">
      <c r="A3594" s="108">
        <v>2020</v>
      </c>
      <c r="B3594" s="108">
        <v>62</v>
      </c>
      <c r="C3594" s="108" t="s">
        <v>30</v>
      </c>
      <c r="D3594" s="108">
        <v>33.173147576776699</v>
      </c>
      <c r="E3594" s="108">
        <v>13.730149814617</v>
      </c>
      <c r="F3594" s="108" t="s">
        <v>135</v>
      </c>
      <c r="G3594" s="108"/>
      <c r="H3594" s="108">
        <v>1</v>
      </c>
    </row>
    <row r="3595" spans="1:8" ht="14">
      <c r="A3595" s="108">
        <v>2020</v>
      </c>
      <c r="B3595" s="108">
        <v>62</v>
      </c>
      <c r="C3595" s="108" t="s">
        <v>138</v>
      </c>
      <c r="D3595" s="108">
        <v>16.974375395451599</v>
      </c>
      <c r="E3595" s="108">
        <v>3.49140312274554</v>
      </c>
      <c r="F3595" s="108" t="s">
        <v>135</v>
      </c>
      <c r="G3595" s="108"/>
      <c r="H3595" s="108">
        <v>1</v>
      </c>
    </row>
    <row r="3596" spans="1:8" ht="14">
      <c r="A3596" s="108">
        <v>2020</v>
      </c>
      <c r="B3596" s="108">
        <v>62</v>
      </c>
      <c r="C3596" s="108" t="s">
        <v>138</v>
      </c>
      <c r="D3596" s="108">
        <v>56.302624604548299</v>
      </c>
      <c r="E3596" s="108">
        <v>7.8505968772544596</v>
      </c>
      <c r="F3596" s="108" t="s">
        <v>136</v>
      </c>
      <c r="G3596" s="108"/>
      <c r="H3596" s="108">
        <v>1</v>
      </c>
    </row>
    <row r="3597" spans="1:8" ht="14">
      <c r="A3597" s="108">
        <v>2020</v>
      </c>
      <c r="B3597" s="108">
        <v>62</v>
      </c>
      <c r="C3597" s="108" t="s">
        <v>139</v>
      </c>
      <c r="D3597" s="108">
        <v>46.0342278186749</v>
      </c>
      <c r="E3597" s="108">
        <v>11.218253308128499</v>
      </c>
      <c r="F3597" s="108" t="s">
        <v>136</v>
      </c>
      <c r="G3597" s="108"/>
      <c r="H3597" s="108">
        <v>1</v>
      </c>
    </row>
    <row r="3598" spans="1:8" ht="14">
      <c r="A3598" s="108">
        <v>2020</v>
      </c>
      <c r="B3598" s="108">
        <v>62</v>
      </c>
      <c r="C3598" s="108" t="s">
        <v>139</v>
      </c>
      <c r="D3598" s="108">
        <v>16.198772181325001</v>
      </c>
      <c r="E3598" s="108">
        <v>10.2387466918714</v>
      </c>
      <c r="F3598" s="108" t="s">
        <v>135</v>
      </c>
      <c r="G3598" s="108"/>
      <c r="H3598" s="108">
        <v>1</v>
      </c>
    </row>
    <row r="3599" spans="1:8" ht="14">
      <c r="A3599" s="108">
        <v>2020</v>
      </c>
      <c r="B3599" s="108">
        <v>63</v>
      </c>
      <c r="C3599" s="108" t="s">
        <v>30</v>
      </c>
      <c r="D3599" s="108">
        <v>33.823</v>
      </c>
      <c r="E3599" s="108">
        <v>6.6520000000000001</v>
      </c>
      <c r="F3599" s="108" t="s">
        <v>135</v>
      </c>
      <c r="G3599" s="108"/>
      <c r="H3599" s="108">
        <v>1</v>
      </c>
    </row>
    <row r="3600" spans="1:8" ht="14">
      <c r="A3600" s="108">
        <v>2020</v>
      </c>
      <c r="B3600" s="108">
        <v>63</v>
      </c>
      <c r="C3600" s="108" t="s">
        <v>30</v>
      </c>
      <c r="D3600" s="108">
        <v>9912.1049999999996</v>
      </c>
      <c r="E3600" s="108">
        <v>557.18599999999901</v>
      </c>
      <c r="F3600" s="108" t="s">
        <v>136</v>
      </c>
      <c r="G3600" s="108"/>
      <c r="H3600" s="108">
        <v>1</v>
      </c>
    </row>
    <row r="3601" spans="1:8" ht="14">
      <c r="A3601" s="108">
        <v>2020</v>
      </c>
      <c r="B3601" s="108">
        <v>63</v>
      </c>
      <c r="C3601" s="108" t="s">
        <v>138</v>
      </c>
      <c r="D3601" s="108">
        <v>18.186</v>
      </c>
      <c r="E3601" s="108">
        <v>2.4469999999999898</v>
      </c>
      <c r="F3601" s="108" t="s">
        <v>135</v>
      </c>
      <c r="G3601" s="108"/>
      <c r="H3601" s="108">
        <v>1</v>
      </c>
    </row>
    <row r="3602" spans="1:8" ht="14">
      <c r="A3602" s="108">
        <v>2020</v>
      </c>
      <c r="B3602" s="108">
        <v>63</v>
      </c>
      <c r="C3602" s="108" t="s">
        <v>138</v>
      </c>
      <c r="D3602" s="108">
        <v>7251.4930000000004</v>
      </c>
      <c r="E3602" s="108">
        <v>286.04399999999998</v>
      </c>
      <c r="F3602" s="108" t="s">
        <v>136</v>
      </c>
      <c r="G3602" s="108"/>
      <c r="H3602" s="108">
        <v>1</v>
      </c>
    </row>
    <row r="3603" spans="1:8" ht="14">
      <c r="A3603" s="108">
        <v>2020</v>
      </c>
      <c r="B3603" s="108">
        <v>63</v>
      </c>
      <c r="C3603" s="108" t="s">
        <v>139</v>
      </c>
      <c r="D3603" s="108">
        <v>15.637</v>
      </c>
      <c r="E3603" s="108">
        <v>4.2050000000000001</v>
      </c>
      <c r="F3603" s="108" t="s">
        <v>135</v>
      </c>
      <c r="G3603" s="108"/>
      <c r="H3603" s="108">
        <v>1</v>
      </c>
    </row>
    <row r="3604" spans="1:8" ht="14">
      <c r="A3604" s="108">
        <v>2020</v>
      </c>
      <c r="B3604" s="108">
        <v>63</v>
      </c>
      <c r="C3604" s="108" t="s">
        <v>139</v>
      </c>
      <c r="D3604" s="108">
        <v>2660.6120000000001</v>
      </c>
      <c r="E3604" s="108">
        <v>271.142</v>
      </c>
      <c r="F3604" s="108" t="s">
        <v>136</v>
      </c>
      <c r="G3604" s="108"/>
      <c r="H3604" s="108">
        <v>1</v>
      </c>
    </row>
    <row r="3605" spans="1:8" ht="14">
      <c r="A3605" s="108">
        <v>2020</v>
      </c>
      <c r="B3605" s="108">
        <v>69</v>
      </c>
      <c r="C3605" s="108" t="s">
        <v>30</v>
      </c>
      <c r="D3605" s="108">
        <v>0.186</v>
      </c>
      <c r="E3605" s="108">
        <v>0.188999999999999</v>
      </c>
      <c r="F3605" s="108" t="s">
        <v>135</v>
      </c>
      <c r="G3605" s="108"/>
      <c r="H3605" s="108">
        <v>1</v>
      </c>
    </row>
    <row r="3606" spans="1:8" ht="14">
      <c r="A3606" s="108">
        <v>2020</v>
      </c>
      <c r="B3606" s="108">
        <v>69</v>
      </c>
      <c r="C3606" s="108" t="s">
        <v>30</v>
      </c>
      <c r="D3606" s="108">
        <v>4.0599999999999996</v>
      </c>
      <c r="E3606" s="108">
        <v>0.184</v>
      </c>
      <c r="F3606" s="108" t="s">
        <v>136</v>
      </c>
      <c r="G3606" s="108"/>
      <c r="H3606" s="108">
        <v>1</v>
      </c>
    </row>
    <row r="3607" spans="1:8" ht="14">
      <c r="A3607" s="108">
        <v>2020</v>
      </c>
      <c r="B3607" s="108">
        <v>69</v>
      </c>
      <c r="C3607" s="108" t="s">
        <v>138</v>
      </c>
      <c r="D3607" s="108">
        <v>4.3999999999999997E-2</v>
      </c>
      <c r="E3607" s="108">
        <v>4.9000000000000002E-2</v>
      </c>
      <c r="F3607" s="108" t="s">
        <v>135</v>
      </c>
      <c r="G3607" s="108"/>
      <c r="H3607" s="108">
        <v>1</v>
      </c>
    </row>
    <row r="3608" spans="1:8" ht="14">
      <c r="A3608" s="108">
        <v>2020</v>
      </c>
      <c r="B3608" s="108">
        <v>69</v>
      </c>
      <c r="C3608" s="108" t="s">
        <v>139</v>
      </c>
      <c r="D3608" s="108">
        <v>0.14199999999999999</v>
      </c>
      <c r="E3608" s="108">
        <v>0.13999999999999899</v>
      </c>
      <c r="F3608" s="108" t="s">
        <v>135</v>
      </c>
      <c r="G3608" s="108"/>
      <c r="H3608" s="108">
        <v>1</v>
      </c>
    </row>
    <row r="3609" spans="1:8" ht="14">
      <c r="A3609" s="108">
        <v>2020</v>
      </c>
      <c r="B3609" s="108">
        <v>69</v>
      </c>
      <c r="C3609" s="108" t="s">
        <v>139</v>
      </c>
      <c r="D3609" s="108">
        <v>4.0599999999999996</v>
      </c>
      <c r="E3609" s="108">
        <v>0.184</v>
      </c>
      <c r="F3609" s="108" t="s">
        <v>136</v>
      </c>
      <c r="G3609" s="108"/>
      <c r="H3609" s="108">
        <v>1</v>
      </c>
    </row>
    <row r="3610" spans="1:8" ht="14">
      <c r="A3610" s="108">
        <v>2020</v>
      </c>
      <c r="B3610" s="108">
        <v>91</v>
      </c>
      <c r="C3610" s="108" t="s">
        <v>30</v>
      </c>
      <c r="D3610" s="108">
        <v>4864.4431318399002</v>
      </c>
      <c r="E3610" s="108">
        <v>0</v>
      </c>
      <c r="F3610" s="108" t="s">
        <v>136</v>
      </c>
      <c r="G3610" s="108"/>
      <c r="H3610" s="108">
        <v>1</v>
      </c>
    </row>
    <row r="3611" spans="1:8" ht="14">
      <c r="A3611" s="108">
        <v>2020</v>
      </c>
      <c r="B3611" s="108">
        <v>91</v>
      </c>
      <c r="C3611" s="108" t="s">
        <v>30</v>
      </c>
      <c r="D3611" s="108">
        <v>36.4878681600918</v>
      </c>
      <c r="E3611" s="108">
        <v>0</v>
      </c>
      <c r="F3611" s="108" t="s">
        <v>135</v>
      </c>
      <c r="G3611" s="108"/>
      <c r="H3611" s="108">
        <v>1</v>
      </c>
    </row>
    <row r="3612" spans="1:8" ht="14">
      <c r="A3612" s="108">
        <v>2020</v>
      </c>
      <c r="B3612" s="108">
        <v>91</v>
      </c>
      <c r="C3612" s="108" t="s">
        <v>138</v>
      </c>
      <c r="D3612" s="108">
        <v>27.283868160091799</v>
      </c>
      <c r="E3612" s="108">
        <v>0</v>
      </c>
      <c r="F3612" s="108" t="s">
        <v>135</v>
      </c>
      <c r="G3612" s="108"/>
      <c r="H3612" s="108">
        <v>1</v>
      </c>
    </row>
    <row r="3613" spans="1:8" ht="14">
      <c r="A3613" s="108">
        <v>2020</v>
      </c>
      <c r="B3613" s="108">
        <v>91</v>
      </c>
      <c r="C3613" s="108" t="s">
        <v>138</v>
      </c>
      <c r="D3613" s="108">
        <v>4838.7341318399003</v>
      </c>
      <c r="E3613" s="108">
        <v>0</v>
      </c>
      <c r="F3613" s="108" t="s">
        <v>136</v>
      </c>
      <c r="G3613" s="108"/>
      <c r="H3613" s="108">
        <v>1</v>
      </c>
    </row>
    <row r="3614" spans="1:8" ht="14">
      <c r="A3614" s="108">
        <v>2020</v>
      </c>
      <c r="B3614" s="108">
        <v>91</v>
      </c>
      <c r="C3614" s="108" t="s">
        <v>139</v>
      </c>
      <c r="D3614" s="108">
        <v>25.709</v>
      </c>
      <c r="E3614" s="108">
        <v>0</v>
      </c>
      <c r="F3614" s="108" t="s">
        <v>136</v>
      </c>
      <c r="G3614" s="108"/>
      <c r="H3614" s="108">
        <v>1</v>
      </c>
    </row>
    <row r="3615" spans="1:8" ht="14">
      <c r="A3615" s="108">
        <v>2020</v>
      </c>
      <c r="B3615" s="108">
        <v>91</v>
      </c>
      <c r="C3615" s="108" t="s">
        <v>139</v>
      </c>
      <c r="D3615" s="108">
        <v>9.2040000000000006</v>
      </c>
      <c r="E3615" s="108">
        <v>0</v>
      </c>
      <c r="F3615" s="108" t="s">
        <v>135</v>
      </c>
      <c r="G3615" s="108"/>
      <c r="H3615" s="108">
        <v>1</v>
      </c>
    </row>
    <row r="3616" spans="1:8" ht="14">
      <c r="A3616" s="108">
        <v>2020</v>
      </c>
      <c r="B3616" s="108">
        <v>92</v>
      </c>
      <c r="C3616" s="108" t="s">
        <v>30</v>
      </c>
      <c r="D3616" s="108">
        <v>199.010595379965</v>
      </c>
      <c r="E3616" s="108">
        <v>0</v>
      </c>
      <c r="F3616" s="108" t="s">
        <v>135</v>
      </c>
      <c r="G3616" s="108"/>
      <c r="H3616" s="108">
        <v>1</v>
      </c>
    </row>
    <row r="3617" spans="1:8" ht="14">
      <c r="A3617" s="108">
        <v>2020</v>
      </c>
      <c r="B3617" s="108">
        <v>92</v>
      </c>
      <c r="C3617" s="108" t="s">
        <v>30</v>
      </c>
      <c r="D3617" s="108">
        <v>5372.69140462003</v>
      </c>
      <c r="E3617" s="108">
        <v>0</v>
      </c>
      <c r="F3617" s="108" t="s">
        <v>136</v>
      </c>
      <c r="G3617" s="108"/>
      <c r="H3617" s="108">
        <v>1</v>
      </c>
    </row>
    <row r="3618" spans="1:8" ht="14">
      <c r="A3618" s="108">
        <v>2020</v>
      </c>
      <c r="B3618" s="108">
        <v>92</v>
      </c>
      <c r="C3618" s="108" t="s">
        <v>138</v>
      </c>
      <c r="D3618" s="108">
        <v>3762.4969677254298</v>
      </c>
      <c r="E3618" s="108">
        <v>0</v>
      </c>
      <c r="F3618" s="108" t="s">
        <v>136</v>
      </c>
      <c r="G3618" s="108"/>
      <c r="H3618" s="108">
        <v>1</v>
      </c>
    </row>
    <row r="3619" spans="1:8" ht="14">
      <c r="A3619" s="108">
        <v>2020</v>
      </c>
      <c r="B3619" s="108">
        <v>92</v>
      </c>
      <c r="C3619" s="108" t="s">
        <v>138</v>
      </c>
      <c r="D3619" s="108">
        <v>101.82903227456799</v>
      </c>
      <c r="E3619" s="108">
        <v>0</v>
      </c>
      <c r="F3619" s="108" t="s">
        <v>135</v>
      </c>
      <c r="G3619" s="108"/>
      <c r="H3619" s="108">
        <v>1</v>
      </c>
    </row>
    <row r="3620" spans="1:8" ht="14">
      <c r="A3620" s="108">
        <v>2020</v>
      </c>
      <c r="B3620" s="108">
        <v>92</v>
      </c>
      <c r="C3620" s="108" t="s">
        <v>139</v>
      </c>
      <c r="D3620" s="108">
        <v>97.181563105396805</v>
      </c>
      <c r="E3620" s="108">
        <v>0</v>
      </c>
      <c r="F3620" s="108" t="s">
        <v>135</v>
      </c>
      <c r="G3620" s="108"/>
      <c r="H3620" s="108">
        <v>1</v>
      </c>
    </row>
    <row r="3621" spans="1:8" ht="14">
      <c r="A3621" s="108">
        <v>2020</v>
      </c>
      <c r="B3621" s="108">
        <v>92</v>
      </c>
      <c r="C3621" s="108" t="s">
        <v>139</v>
      </c>
      <c r="D3621" s="108">
        <v>1610.1944368945999</v>
      </c>
      <c r="E3621" s="108">
        <v>0</v>
      </c>
      <c r="F3621" s="108" t="s">
        <v>136</v>
      </c>
      <c r="G3621" s="108"/>
      <c r="H3621" s="108">
        <v>1</v>
      </c>
    </row>
    <row r="3622" spans="1:8" ht="14">
      <c r="A3622" s="108">
        <v>2020</v>
      </c>
      <c r="B3622" s="108">
        <v>99</v>
      </c>
      <c r="C3622" s="108" t="s">
        <v>30</v>
      </c>
      <c r="D3622" s="108">
        <v>1830.71842971604</v>
      </c>
      <c r="E3622" s="108">
        <v>0</v>
      </c>
      <c r="F3622" s="108" t="s">
        <v>135</v>
      </c>
      <c r="G3622" s="108"/>
      <c r="H3622" s="108">
        <v>1</v>
      </c>
    </row>
    <row r="3623" spans="1:8" ht="14">
      <c r="A3623" s="108">
        <v>2020</v>
      </c>
      <c r="B3623" s="108">
        <v>99</v>
      </c>
      <c r="C3623" s="108" t="s">
        <v>30</v>
      </c>
      <c r="D3623" s="108">
        <v>4038.45657028395</v>
      </c>
      <c r="E3623" s="108">
        <v>0</v>
      </c>
      <c r="F3623" s="108" t="s">
        <v>136</v>
      </c>
      <c r="G3623" s="108"/>
      <c r="H3623" s="108">
        <v>1</v>
      </c>
    </row>
    <row r="3624" spans="1:8" ht="14">
      <c r="A3624" s="108">
        <v>2020</v>
      </c>
      <c r="B3624" s="108">
        <v>99</v>
      </c>
      <c r="C3624" s="108" t="s">
        <v>30</v>
      </c>
      <c r="D3624" s="108">
        <v>5.5999999999999897E-2</v>
      </c>
      <c r="E3624" s="108">
        <v>0</v>
      </c>
      <c r="F3624" s="108" t="s">
        <v>137</v>
      </c>
      <c r="G3624" s="108"/>
      <c r="H3624" s="108">
        <v>1</v>
      </c>
    </row>
    <row r="3625" spans="1:8" ht="14">
      <c r="A3625" s="108">
        <v>2020</v>
      </c>
      <c r="B3625" s="108">
        <v>99</v>
      </c>
      <c r="C3625" s="108" t="s">
        <v>138</v>
      </c>
      <c r="D3625" s="108">
        <v>825.47469079710504</v>
      </c>
      <c r="E3625" s="108">
        <v>0</v>
      </c>
      <c r="F3625" s="108" t="s">
        <v>135</v>
      </c>
      <c r="G3625" s="108"/>
      <c r="H3625" s="108">
        <v>1</v>
      </c>
    </row>
    <row r="3626" spans="1:8" ht="14">
      <c r="A3626" s="108">
        <v>2020</v>
      </c>
      <c r="B3626" s="108">
        <v>99</v>
      </c>
      <c r="C3626" s="108" t="s">
        <v>138</v>
      </c>
      <c r="D3626" s="108">
        <v>2389.99530920289</v>
      </c>
      <c r="E3626" s="108">
        <v>0</v>
      </c>
      <c r="F3626" s="108" t="s">
        <v>136</v>
      </c>
      <c r="G3626" s="108"/>
      <c r="H3626" s="108">
        <v>1</v>
      </c>
    </row>
    <row r="3627" spans="1:8" ht="14">
      <c r="A3627" s="108">
        <v>2020</v>
      </c>
      <c r="B3627" s="108">
        <v>99</v>
      </c>
      <c r="C3627" s="108" t="s">
        <v>139</v>
      </c>
      <c r="D3627" s="108">
        <v>1648.46126108106</v>
      </c>
      <c r="E3627" s="108">
        <v>0</v>
      </c>
      <c r="F3627" s="108" t="s">
        <v>136</v>
      </c>
      <c r="G3627" s="108"/>
      <c r="H3627" s="108">
        <v>1</v>
      </c>
    </row>
    <row r="3628" spans="1:8" ht="14">
      <c r="A3628" s="108">
        <v>2020</v>
      </c>
      <c r="B3628" s="108">
        <v>99</v>
      </c>
      <c r="C3628" s="108" t="s">
        <v>139</v>
      </c>
      <c r="D3628" s="108">
        <v>5.5999999999999897E-2</v>
      </c>
      <c r="E3628" s="108">
        <v>0</v>
      </c>
      <c r="F3628" s="108" t="s">
        <v>137</v>
      </c>
      <c r="G3628" s="108"/>
      <c r="H3628" s="108">
        <v>1</v>
      </c>
    </row>
    <row r="3629" spans="1:8" ht="14">
      <c r="A3629" s="108">
        <v>2020</v>
      </c>
      <c r="B3629" s="108">
        <v>99</v>
      </c>
      <c r="C3629" s="108" t="s">
        <v>139</v>
      </c>
      <c r="D3629" s="108">
        <v>1005.24373891893</v>
      </c>
      <c r="E3629" s="108">
        <v>0</v>
      </c>
      <c r="F3629" s="108" t="s">
        <v>135</v>
      </c>
      <c r="G3629" s="108"/>
      <c r="H3629" s="108">
        <v>1</v>
      </c>
    </row>
    <row r="3630" spans="1:8" ht="14">
      <c r="A3630" s="108">
        <v>2021</v>
      </c>
      <c r="B3630" s="108">
        <v>11</v>
      </c>
      <c r="C3630" s="108" t="s">
        <v>30</v>
      </c>
      <c r="D3630" s="108">
        <v>1.7837568536736601E-2</v>
      </c>
      <c r="E3630" s="108">
        <v>0</v>
      </c>
      <c r="F3630" s="108" t="s">
        <v>137</v>
      </c>
      <c r="G3630" s="108"/>
      <c r="H3630" s="108">
        <v>1</v>
      </c>
    </row>
    <row r="3631" spans="1:8" ht="14">
      <c r="A3631" s="108">
        <v>2021</v>
      </c>
      <c r="B3631" s="108">
        <v>11</v>
      </c>
      <c r="C3631" s="108" t="s">
        <v>30</v>
      </c>
      <c r="D3631" s="108">
        <v>13765.3980268059</v>
      </c>
      <c r="E3631" s="108">
        <v>0</v>
      </c>
      <c r="F3631" s="108" t="s">
        <v>136</v>
      </c>
      <c r="G3631" s="108"/>
      <c r="H3631" s="108">
        <v>1</v>
      </c>
    </row>
    <row r="3632" spans="1:8" ht="14">
      <c r="A3632" s="108">
        <v>2021</v>
      </c>
      <c r="B3632" s="108">
        <v>11</v>
      </c>
      <c r="C3632" s="108" t="s">
        <v>30</v>
      </c>
      <c r="D3632" s="108">
        <v>270.12813562553401</v>
      </c>
      <c r="E3632" s="108">
        <v>0</v>
      </c>
      <c r="F3632" s="108" t="s">
        <v>135</v>
      </c>
      <c r="G3632" s="108"/>
      <c r="H3632" s="108">
        <v>1</v>
      </c>
    </row>
    <row r="3633" spans="1:8" ht="14">
      <c r="A3633" s="108">
        <v>2021</v>
      </c>
      <c r="B3633" s="108">
        <v>11</v>
      </c>
      <c r="C3633" s="108" t="s">
        <v>138</v>
      </c>
      <c r="D3633" s="108">
        <v>113.450104939645</v>
      </c>
      <c r="E3633" s="108">
        <v>0</v>
      </c>
      <c r="F3633" s="108" t="s">
        <v>135</v>
      </c>
      <c r="G3633" s="108"/>
      <c r="H3633" s="108">
        <v>1</v>
      </c>
    </row>
    <row r="3634" spans="1:8" ht="14">
      <c r="A3634" s="108">
        <v>2021</v>
      </c>
      <c r="B3634" s="108">
        <v>11</v>
      </c>
      <c r="C3634" s="108" t="s">
        <v>138</v>
      </c>
      <c r="D3634" s="108">
        <v>10533.009895060301</v>
      </c>
      <c r="E3634" s="108">
        <v>0</v>
      </c>
      <c r="F3634" s="108" t="s">
        <v>136</v>
      </c>
      <c r="G3634" s="108"/>
      <c r="H3634" s="108">
        <v>1</v>
      </c>
    </row>
    <row r="3635" spans="1:8" ht="14">
      <c r="A3635" s="108">
        <v>2021</v>
      </c>
      <c r="B3635" s="108">
        <v>11</v>
      </c>
      <c r="C3635" s="108" t="s">
        <v>139</v>
      </c>
      <c r="D3635" s="108">
        <v>3232.3881317455698</v>
      </c>
      <c r="E3635" s="108">
        <v>0</v>
      </c>
      <c r="F3635" s="108" t="s">
        <v>136</v>
      </c>
      <c r="G3635" s="108"/>
      <c r="H3635" s="108">
        <v>1</v>
      </c>
    </row>
    <row r="3636" spans="1:8" ht="14">
      <c r="A3636" s="108">
        <v>2021</v>
      </c>
      <c r="B3636" s="108">
        <v>11</v>
      </c>
      <c r="C3636" s="108" t="s">
        <v>139</v>
      </c>
      <c r="D3636" s="108">
        <v>1.7837568536736601E-2</v>
      </c>
      <c r="E3636" s="108">
        <v>0</v>
      </c>
      <c r="F3636" s="108" t="s">
        <v>137</v>
      </c>
      <c r="G3636" s="108"/>
      <c r="H3636" s="108">
        <v>1</v>
      </c>
    </row>
    <row r="3637" spans="1:8" ht="14">
      <c r="A3637" s="108">
        <v>2021</v>
      </c>
      <c r="B3637" s="108">
        <v>11</v>
      </c>
      <c r="C3637" s="108" t="s">
        <v>139</v>
      </c>
      <c r="D3637" s="108">
        <v>156.67803068588799</v>
      </c>
      <c r="E3637" s="108">
        <v>0</v>
      </c>
      <c r="F3637" s="108" t="s">
        <v>135</v>
      </c>
      <c r="G3637" s="108"/>
      <c r="H3637" s="108">
        <v>1</v>
      </c>
    </row>
    <row r="3638" spans="1:8" ht="14">
      <c r="A3638" s="108">
        <v>2021</v>
      </c>
      <c r="B3638" s="108">
        <v>12</v>
      </c>
      <c r="C3638" s="108" t="s">
        <v>30</v>
      </c>
      <c r="D3638" s="108">
        <v>14298.663268644001</v>
      </c>
      <c r="E3638" s="108">
        <v>0</v>
      </c>
      <c r="F3638" s="108" t="s">
        <v>135</v>
      </c>
      <c r="G3638" s="108"/>
      <c r="H3638" s="108">
        <v>1</v>
      </c>
    </row>
    <row r="3639" spans="1:8" ht="14">
      <c r="A3639" s="108">
        <v>2021</v>
      </c>
      <c r="B3639" s="108">
        <v>12</v>
      </c>
      <c r="C3639" s="108" t="s">
        <v>30</v>
      </c>
      <c r="D3639" s="108">
        <v>61103.236731355901</v>
      </c>
      <c r="E3639" s="108">
        <v>0</v>
      </c>
      <c r="F3639" s="108" t="s">
        <v>136</v>
      </c>
      <c r="G3639" s="108"/>
      <c r="H3639" s="108">
        <v>1</v>
      </c>
    </row>
    <row r="3640" spans="1:8" ht="14">
      <c r="A3640" s="108">
        <v>2021</v>
      </c>
      <c r="B3640" s="108">
        <v>12</v>
      </c>
      <c r="C3640" s="108" t="s">
        <v>138</v>
      </c>
      <c r="D3640" s="108">
        <v>7316.87068989208</v>
      </c>
      <c r="E3640" s="108">
        <v>0</v>
      </c>
      <c r="F3640" s="108" t="s">
        <v>135</v>
      </c>
      <c r="G3640" s="108"/>
      <c r="H3640" s="108">
        <v>1</v>
      </c>
    </row>
    <row r="3641" spans="1:8" ht="14">
      <c r="A3641" s="108">
        <v>2021</v>
      </c>
      <c r="B3641" s="108">
        <v>12</v>
      </c>
      <c r="C3641" s="108" t="s">
        <v>138</v>
      </c>
      <c r="D3641" s="108">
        <v>36393.4893101079</v>
      </c>
      <c r="E3641" s="108">
        <v>0</v>
      </c>
      <c r="F3641" s="108" t="s">
        <v>136</v>
      </c>
      <c r="G3641" s="108"/>
      <c r="H3641" s="108">
        <v>1</v>
      </c>
    </row>
    <row r="3642" spans="1:8" ht="14">
      <c r="A3642" s="108">
        <v>2021</v>
      </c>
      <c r="B3642" s="108">
        <v>12</v>
      </c>
      <c r="C3642" s="108" t="s">
        <v>139</v>
      </c>
      <c r="D3642" s="108">
        <v>6981.7925787519698</v>
      </c>
      <c r="E3642" s="108">
        <v>0</v>
      </c>
      <c r="F3642" s="108" t="s">
        <v>135</v>
      </c>
      <c r="G3642" s="108"/>
      <c r="H3642" s="108">
        <v>1</v>
      </c>
    </row>
    <row r="3643" spans="1:8" ht="14">
      <c r="A3643" s="108">
        <v>2021</v>
      </c>
      <c r="B3643" s="108">
        <v>12</v>
      </c>
      <c r="C3643" s="108" t="s">
        <v>139</v>
      </c>
      <c r="D3643" s="108">
        <v>24709.747421248001</v>
      </c>
      <c r="E3643" s="108">
        <v>0</v>
      </c>
      <c r="F3643" s="108" t="s">
        <v>136</v>
      </c>
      <c r="G3643" s="108"/>
      <c r="H3643" s="108">
        <v>1</v>
      </c>
    </row>
    <row r="3644" spans="1:8" ht="14">
      <c r="A3644" s="108">
        <v>2021</v>
      </c>
      <c r="B3644" s="108">
        <v>13</v>
      </c>
      <c r="C3644" s="108" t="s">
        <v>30</v>
      </c>
      <c r="D3644" s="108">
        <v>47215.782523303897</v>
      </c>
      <c r="E3644" s="108">
        <v>0</v>
      </c>
      <c r="F3644" s="108" t="s">
        <v>136</v>
      </c>
      <c r="G3644" s="108"/>
      <c r="H3644" s="108">
        <v>1</v>
      </c>
    </row>
    <row r="3645" spans="1:8" ht="14">
      <c r="A3645" s="108">
        <v>2021</v>
      </c>
      <c r="B3645" s="108">
        <v>13</v>
      </c>
      <c r="C3645" s="108" t="s">
        <v>30</v>
      </c>
      <c r="D3645" s="108">
        <v>16049.1764134731</v>
      </c>
      <c r="E3645" s="108">
        <v>0</v>
      </c>
      <c r="F3645" s="108" t="s">
        <v>135</v>
      </c>
      <c r="G3645" s="108"/>
      <c r="H3645" s="108">
        <v>1</v>
      </c>
    </row>
    <row r="3646" spans="1:8" ht="14">
      <c r="A3646" s="108">
        <v>2021</v>
      </c>
      <c r="B3646" s="108">
        <v>13</v>
      </c>
      <c r="C3646" s="108" t="s">
        <v>30</v>
      </c>
      <c r="D3646" s="108">
        <v>11.7480632228934</v>
      </c>
      <c r="E3646" s="108">
        <v>0</v>
      </c>
      <c r="F3646" s="108" t="s">
        <v>137</v>
      </c>
      <c r="G3646" s="108"/>
      <c r="H3646" s="108">
        <v>1</v>
      </c>
    </row>
    <row r="3647" spans="1:8" ht="14">
      <c r="A3647" s="108">
        <v>2021</v>
      </c>
      <c r="B3647" s="108">
        <v>13</v>
      </c>
      <c r="C3647" s="108" t="s">
        <v>138</v>
      </c>
      <c r="D3647" s="108">
        <v>28645.905097999701</v>
      </c>
      <c r="E3647" s="108">
        <v>0</v>
      </c>
      <c r="F3647" s="108" t="s">
        <v>136</v>
      </c>
      <c r="G3647" s="108"/>
      <c r="H3647" s="108">
        <v>1</v>
      </c>
    </row>
    <row r="3648" spans="1:8" ht="14">
      <c r="A3648" s="108">
        <v>2021</v>
      </c>
      <c r="B3648" s="108">
        <v>13</v>
      </c>
      <c r="C3648" s="108" t="s">
        <v>138</v>
      </c>
      <c r="D3648" s="108">
        <v>7492.5589020002099</v>
      </c>
      <c r="E3648" s="108">
        <v>0</v>
      </c>
      <c r="F3648" s="108" t="s">
        <v>135</v>
      </c>
      <c r="G3648" s="108"/>
      <c r="H3648" s="108">
        <v>1</v>
      </c>
    </row>
    <row r="3649" spans="1:8" ht="14">
      <c r="A3649" s="108">
        <v>2021</v>
      </c>
      <c r="B3649" s="108">
        <v>13</v>
      </c>
      <c r="C3649" s="108" t="s">
        <v>139</v>
      </c>
      <c r="D3649" s="108">
        <v>18569.877425304101</v>
      </c>
      <c r="E3649" s="108">
        <v>0</v>
      </c>
      <c r="F3649" s="108" t="s">
        <v>136</v>
      </c>
      <c r="G3649" s="108"/>
      <c r="H3649" s="108">
        <v>1</v>
      </c>
    </row>
    <row r="3650" spans="1:8" ht="14">
      <c r="A3650" s="108">
        <v>2021</v>
      </c>
      <c r="B3650" s="108">
        <v>13</v>
      </c>
      <c r="C3650" s="108" t="s">
        <v>139</v>
      </c>
      <c r="D3650" s="108">
        <v>11.7480632228934</v>
      </c>
      <c r="E3650" s="108">
        <v>0</v>
      </c>
      <c r="F3650" s="108" t="s">
        <v>137</v>
      </c>
      <c r="G3650" s="108"/>
      <c r="H3650" s="108">
        <v>1</v>
      </c>
    </row>
    <row r="3651" spans="1:8" ht="14">
      <c r="A3651" s="108">
        <v>2021</v>
      </c>
      <c r="B3651" s="108">
        <v>13</v>
      </c>
      <c r="C3651" s="108" t="s">
        <v>139</v>
      </c>
      <c r="D3651" s="108">
        <v>8556.6175114729103</v>
      </c>
      <c r="E3651" s="108">
        <v>0</v>
      </c>
      <c r="F3651" s="108" t="s">
        <v>135</v>
      </c>
      <c r="G3651" s="108"/>
      <c r="H3651" s="108">
        <v>1</v>
      </c>
    </row>
    <row r="3652" spans="1:8" ht="14">
      <c r="A3652" s="108">
        <v>2021</v>
      </c>
      <c r="B3652" s="108">
        <v>19</v>
      </c>
      <c r="C3652" s="108" t="s">
        <v>30</v>
      </c>
      <c r="D3652" s="108">
        <v>7815.1058567421496</v>
      </c>
      <c r="E3652" s="108">
        <v>0</v>
      </c>
      <c r="F3652" s="108" t="s">
        <v>136</v>
      </c>
      <c r="G3652" s="108"/>
      <c r="H3652" s="108">
        <v>1</v>
      </c>
    </row>
    <row r="3653" spans="1:8" ht="14">
      <c r="A3653" s="108">
        <v>2021</v>
      </c>
      <c r="B3653" s="108">
        <v>19</v>
      </c>
      <c r="C3653" s="108" t="s">
        <v>30</v>
      </c>
      <c r="D3653" s="108">
        <v>1330.0851432578399</v>
      </c>
      <c r="E3653" s="108">
        <v>0</v>
      </c>
      <c r="F3653" s="108" t="s">
        <v>135</v>
      </c>
      <c r="G3653" s="108"/>
      <c r="H3653" s="108">
        <v>1</v>
      </c>
    </row>
    <row r="3654" spans="1:8" ht="14">
      <c r="A3654" s="108">
        <v>2021</v>
      </c>
      <c r="B3654" s="108">
        <v>19</v>
      </c>
      <c r="C3654" s="108" t="s">
        <v>138</v>
      </c>
      <c r="D3654" s="108">
        <v>477.22794217590598</v>
      </c>
      <c r="E3654" s="108">
        <v>0</v>
      </c>
      <c r="F3654" s="108" t="s">
        <v>135</v>
      </c>
      <c r="G3654" s="108"/>
      <c r="H3654" s="108">
        <v>1</v>
      </c>
    </row>
    <row r="3655" spans="1:8" ht="14">
      <c r="A3655" s="108">
        <v>2021</v>
      </c>
      <c r="B3655" s="108">
        <v>19</v>
      </c>
      <c r="C3655" s="108" t="s">
        <v>138</v>
      </c>
      <c r="D3655" s="108">
        <v>5758.9070578240899</v>
      </c>
      <c r="E3655" s="108">
        <v>0</v>
      </c>
      <c r="F3655" s="108" t="s">
        <v>136</v>
      </c>
      <c r="G3655" s="108"/>
      <c r="H3655" s="108">
        <v>1</v>
      </c>
    </row>
    <row r="3656" spans="1:8" ht="14">
      <c r="A3656" s="108">
        <v>2021</v>
      </c>
      <c r="B3656" s="108">
        <v>19</v>
      </c>
      <c r="C3656" s="108" t="s">
        <v>139</v>
      </c>
      <c r="D3656" s="108">
        <v>2056.1987989180502</v>
      </c>
      <c r="E3656" s="108">
        <v>0</v>
      </c>
      <c r="F3656" s="108" t="s">
        <v>136</v>
      </c>
      <c r="G3656" s="108"/>
      <c r="H3656" s="108">
        <v>1</v>
      </c>
    </row>
    <row r="3657" spans="1:8" ht="14">
      <c r="A3657" s="108">
        <v>2021</v>
      </c>
      <c r="B3657" s="108">
        <v>19</v>
      </c>
      <c r="C3657" s="108" t="s">
        <v>139</v>
      </c>
      <c r="D3657" s="108">
        <v>852.85720108194096</v>
      </c>
      <c r="E3657" s="108">
        <v>0</v>
      </c>
      <c r="F3657" s="108" t="s">
        <v>135</v>
      </c>
      <c r="G3657" s="108"/>
      <c r="H3657" s="108">
        <v>1</v>
      </c>
    </row>
    <row r="3658" spans="1:8" ht="14">
      <c r="A3658" s="108">
        <v>2021</v>
      </c>
      <c r="B3658" s="108">
        <v>21</v>
      </c>
      <c r="C3658" s="108" t="s">
        <v>30</v>
      </c>
      <c r="D3658" s="108">
        <v>16693.185896139599</v>
      </c>
      <c r="E3658" s="108">
        <v>0</v>
      </c>
      <c r="F3658" s="108" t="s">
        <v>136</v>
      </c>
      <c r="G3658" s="108"/>
      <c r="H3658" s="108">
        <v>1</v>
      </c>
    </row>
    <row r="3659" spans="1:8" ht="14">
      <c r="A3659" s="108">
        <v>2021</v>
      </c>
      <c r="B3659" s="108">
        <v>21</v>
      </c>
      <c r="C3659" s="108" t="s">
        <v>30</v>
      </c>
      <c r="D3659" s="108">
        <v>1010.79810386035</v>
      </c>
      <c r="E3659" s="108">
        <v>0</v>
      </c>
      <c r="F3659" s="108" t="s">
        <v>135</v>
      </c>
      <c r="G3659" s="108"/>
      <c r="H3659" s="108">
        <v>1</v>
      </c>
    </row>
    <row r="3660" spans="1:8" ht="14">
      <c r="A3660" s="108">
        <v>2021</v>
      </c>
      <c r="B3660" s="108">
        <v>21</v>
      </c>
      <c r="C3660" s="108" t="s">
        <v>138</v>
      </c>
      <c r="D3660" s="108">
        <v>626.81513086918596</v>
      </c>
      <c r="E3660" s="108">
        <v>0</v>
      </c>
      <c r="F3660" s="108" t="s">
        <v>135</v>
      </c>
      <c r="G3660" s="108"/>
      <c r="H3660" s="108">
        <v>1</v>
      </c>
    </row>
    <row r="3661" spans="1:8" ht="14">
      <c r="A3661" s="108">
        <v>2021</v>
      </c>
      <c r="B3661" s="108">
        <v>21</v>
      </c>
      <c r="C3661" s="108" t="s">
        <v>138</v>
      </c>
      <c r="D3661" s="108">
        <v>10852.651869130799</v>
      </c>
      <c r="E3661" s="108">
        <v>0</v>
      </c>
      <c r="F3661" s="108" t="s">
        <v>136</v>
      </c>
      <c r="G3661" s="108"/>
      <c r="H3661" s="108">
        <v>1</v>
      </c>
    </row>
    <row r="3662" spans="1:8" ht="14">
      <c r="A3662" s="108">
        <v>2021</v>
      </c>
      <c r="B3662" s="108">
        <v>21</v>
      </c>
      <c r="C3662" s="108" t="s">
        <v>139</v>
      </c>
      <c r="D3662" s="108">
        <v>5840.53402700883</v>
      </c>
      <c r="E3662" s="108">
        <v>0</v>
      </c>
      <c r="F3662" s="108" t="s">
        <v>136</v>
      </c>
      <c r="G3662" s="108"/>
      <c r="H3662" s="108">
        <v>1</v>
      </c>
    </row>
    <row r="3663" spans="1:8" ht="14">
      <c r="A3663" s="108">
        <v>2021</v>
      </c>
      <c r="B3663" s="108">
        <v>21</v>
      </c>
      <c r="C3663" s="108" t="s">
        <v>139</v>
      </c>
      <c r="D3663" s="108">
        <v>383.98297299116598</v>
      </c>
      <c r="E3663" s="108">
        <v>0</v>
      </c>
      <c r="F3663" s="108" t="s">
        <v>135</v>
      </c>
      <c r="G3663" s="108"/>
      <c r="H3663" s="108">
        <v>1</v>
      </c>
    </row>
    <row r="3664" spans="1:8" ht="14">
      <c r="A3664" s="108">
        <v>2021</v>
      </c>
      <c r="B3664" s="108">
        <v>22</v>
      </c>
      <c r="C3664" s="108" t="s">
        <v>30</v>
      </c>
      <c r="D3664" s="108">
        <v>7545.1744077824796</v>
      </c>
      <c r="E3664" s="108">
        <v>0</v>
      </c>
      <c r="F3664" s="108" t="s">
        <v>136</v>
      </c>
      <c r="G3664" s="108"/>
      <c r="H3664" s="108">
        <v>1</v>
      </c>
    </row>
    <row r="3665" spans="1:8" ht="14">
      <c r="A3665" s="108">
        <v>2021</v>
      </c>
      <c r="B3665" s="108">
        <v>22</v>
      </c>
      <c r="C3665" s="108" t="s">
        <v>30</v>
      </c>
      <c r="D3665" s="108">
        <v>927.56459221751197</v>
      </c>
      <c r="E3665" s="108">
        <v>0</v>
      </c>
      <c r="F3665" s="108" t="s">
        <v>135</v>
      </c>
      <c r="G3665" s="108"/>
      <c r="H3665" s="108">
        <v>1</v>
      </c>
    </row>
    <row r="3666" spans="1:8" ht="14">
      <c r="A3666" s="108">
        <v>2021</v>
      </c>
      <c r="B3666" s="108">
        <v>22</v>
      </c>
      <c r="C3666" s="108" t="s">
        <v>138</v>
      </c>
      <c r="D3666" s="108">
        <v>460.46624801863402</v>
      </c>
      <c r="E3666" s="108">
        <v>0</v>
      </c>
      <c r="F3666" s="108" t="s">
        <v>135</v>
      </c>
      <c r="G3666" s="108"/>
      <c r="H3666" s="108">
        <v>1</v>
      </c>
    </row>
    <row r="3667" spans="1:8" ht="14">
      <c r="A3667" s="108">
        <v>2021</v>
      </c>
      <c r="B3667" s="108">
        <v>22</v>
      </c>
      <c r="C3667" s="108" t="s">
        <v>138</v>
      </c>
      <c r="D3667" s="108">
        <v>6482.38575198136</v>
      </c>
      <c r="E3667" s="108">
        <v>0</v>
      </c>
      <c r="F3667" s="108" t="s">
        <v>136</v>
      </c>
      <c r="G3667" s="108"/>
      <c r="H3667" s="108">
        <v>1</v>
      </c>
    </row>
    <row r="3668" spans="1:8" ht="14">
      <c r="A3668" s="108">
        <v>2021</v>
      </c>
      <c r="B3668" s="108">
        <v>22</v>
      </c>
      <c r="C3668" s="108" t="s">
        <v>139</v>
      </c>
      <c r="D3668" s="108">
        <v>467.09834419887801</v>
      </c>
      <c r="E3668" s="108">
        <v>0</v>
      </c>
      <c r="F3668" s="108" t="s">
        <v>135</v>
      </c>
      <c r="G3668" s="108"/>
      <c r="H3668" s="108">
        <v>1</v>
      </c>
    </row>
    <row r="3669" spans="1:8" ht="14">
      <c r="A3669" s="108">
        <v>2021</v>
      </c>
      <c r="B3669" s="108">
        <v>22</v>
      </c>
      <c r="C3669" s="108" t="s">
        <v>139</v>
      </c>
      <c r="D3669" s="108">
        <v>1062.7886558011201</v>
      </c>
      <c r="E3669" s="108">
        <v>0</v>
      </c>
      <c r="F3669" s="108" t="s">
        <v>136</v>
      </c>
      <c r="G3669" s="108"/>
      <c r="H3669" s="108">
        <v>1</v>
      </c>
    </row>
    <row r="3670" spans="1:8" ht="14">
      <c r="A3670" s="108">
        <v>2021</v>
      </c>
      <c r="B3670" s="108">
        <v>23</v>
      </c>
      <c r="C3670" s="108" t="s">
        <v>30</v>
      </c>
      <c r="D3670" s="108">
        <v>1364.8275711377401</v>
      </c>
      <c r="E3670" s="108">
        <v>0</v>
      </c>
      <c r="F3670" s="108" t="s">
        <v>135</v>
      </c>
      <c r="G3670" s="108"/>
      <c r="H3670" s="108">
        <v>1</v>
      </c>
    </row>
    <row r="3671" spans="1:8" ht="14">
      <c r="A3671" s="108">
        <v>2021</v>
      </c>
      <c r="B3671" s="108">
        <v>23</v>
      </c>
      <c r="C3671" s="108" t="s">
        <v>30</v>
      </c>
      <c r="D3671" s="108">
        <v>9120.0994288622496</v>
      </c>
      <c r="E3671" s="108">
        <v>0</v>
      </c>
      <c r="F3671" s="108" t="s">
        <v>136</v>
      </c>
      <c r="G3671" s="108"/>
      <c r="H3671" s="108">
        <v>1</v>
      </c>
    </row>
    <row r="3672" spans="1:8" ht="14">
      <c r="A3672" s="108">
        <v>2021</v>
      </c>
      <c r="B3672" s="108">
        <v>23</v>
      </c>
      <c r="C3672" s="108" t="s">
        <v>138</v>
      </c>
      <c r="D3672" s="108">
        <v>590.09726998628901</v>
      </c>
      <c r="E3672" s="108">
        <v>0</v>
      </c>
      <c r="F3672" s="108" t="s">
        <v>135</v>
      </c>
      <c r="G3672" s="108"/>
      <c r="H3672" s="108">
        <v>1</v>
      </c>
    </row>
    <row r="3673" spans="1:8" ht="14">
      <c r="A3673" s="108">
        <v>2021</v>
      </c>
      <c r="B3673" s="108">
        <v>23</v>
      </c>
      <c r="C3673" s="108" t="s">
        <v>138</v>
      </c>
      <c r="D3673" s="108">
        <v>7993.2337300137096</v>
      </c>
      <c r="E3673" s="108">
        <v>0</v>
      </c>
      <c r="F3673" s="108" t="s">
        <v>136</v>
      </c>
      <c r="G3673" s="108"/>
      <c r="H3673" s="108">
        <v>1</v>
      </c>
    </row>
    <row r="3674" spans="1:8" ht="14">
      <c r="A3674" s="108">
        <v>2021</v>
      </c>
      <c r="B3674" s="108">
        <v>23</v>
      </c>
      <c r="C3674" s="108" t="s">
        <v>139</v>
      </c>
      <c r="D3674" s="108">
        <v>774.73030115145605</v>
      </c>
      <c r="E3674" s="108">
        <v>0</v>
      </c>
      <c r="F3674" s="108" t="s">
        <v>135</v>
      </c>
      <c r="G3674" s="108"/>
      <c r="H3674" s="108">
        <v>1</v>
      </c>
    </row>
    <row r="3675" spans="1:8" ht="14">
      <c r="A3675" s="108">
        <v>2021</v>
      </c>
      <c r="B3675" s="108">
        <v>23</v>
      </c>
      <c r="C3675" s="108" t="s">
        <v>139</v>
      </c>
      <c r="D3675" s="108">
        <v>1126.86569884854</v>
      </c>
      <c r="E3675" s="108">
        <v>0</v>
      </c>
      <c r="F3675" s="108" t="s">
        <v>136</v>
      </c>
      <c r="G3675" s="108"/>
      <c r="H3675" s="108">
        <v>1</v>
      </c>
    </row>
    <row r="3676" spans="1:8" ht="14">
      <c r="A3676" s="108">
        <v>2021</v>
      </c>
      <c r="B3676" s="108">
        <v>29</v>
      </c>
      <c r="C3676" s="108" t="s">
        <v>30</v>
      </c>
      <c r="D3676" s="108">
        <v>33.812742503515501</v>
      </c>
      <c r="E3676" s="108">
        <v>0</v>
      </c>
      <c r="F3676" s="108" t="s">
        <v>137</v>
      </c>
      <c r="G3676" s="108"/>
      <c r="H3676" s="108">
        <v>1</v>
      </c>
    </row>
    <row r="3677" spans="1:8" ht="14">
      <c r="A3677" s="108">
        <v>2021</v>
      </c>
      <c r="B3677" s="108">
        <v>29</v>
      </c>
      <c r="C3677" s="108" t="s">
        <v>30</v>
      </c>
      <c r="D3677" s="108">
        <v>34259.107829564702</v>
      </c>
      <c r="E3677" s="108">
        <v>0</v>
      </c>
      <c r="F3677" s="108" t="s">
        <v>136</v>
      </c>
      <c r="G3677" s="108"/>
      <c r="H3677" s="108">
        <v>1</v>
      </c>
    </row>
    <row r="3678" spans="1:8" ht="14">
      <c r="A3678" s="108">
        <v>2021</v>
      </c>
      <c r="B3678" s="108">
        <v>29</v>
      </c>
      <c r="C3678" s="108" t="s">
        <v>30</v>
      </c>
      <c r="D3678" s="108">
        <v>25599.871427931699</v>
      </c>
      <c r="E3678" s="108">
        <v>0</v>
      </c>
      <c r="F3678" s="108" t="s">
        <v>135</v>
      </c>
      <c r="G3678" s="108"/>
      <c r="H3678" s="108">
        <v>1</v>
      </c>
    </row>
    <row r="3679" spans="1:8" ht="14">
      <c r="A3679" s="108">
        <v>2021</v>
      </c>
      <c r="B3679" s="108">
        <v>29</v>
      </c>
      <c r="C3679" s="108" t="s">
        <v>138</v>
      </c>
      <c r="D3679" s="108">
        <v>27718.8375136838</v>
      </c>
      <c r="E3679" s="108">
        <v>0</v>
      </c>
      <c r="F3679" s="108" t="s">
        <v>136</v>
      </c>
      <c r="G3679" s="108"/>
      <c r="H3679" s="108">
        <v>1</v>
      </c>
    </row>
    <row r="3680" spans="1:8" ht="14">
      <c r="A3680" s="108">
        <v>2021</v>
      </c>
      <c r="B3680" s="108">
        <v>29</v>
      </c>
      <c r="C3680" s="108" t="s">
        <v>138</v>
      </c>
      <c r="D3680" s="108">
        <v>19870.872743812601</v>
      </c>
      <c r="E3680" s="108">
        <v>0</v>
      </c>
      <c r="F3680" s="108" t="s">
        <v>135</v>
      </c>
      <c r="G3680" s="108"/>
      <c r="H3680" s="108">
        <v>1</v>
      </c>
    </row>
    <row r="3681" spans="1:8" ht="14">
      <c r="A3681" s="108">
        <v>2021</v>
      </c>
      <c r="B3681" s="108">
        <v>29</v>
      </c>
      <c r="C3681" s="108" t="s">
        <v>138</v>
      </c>
      <c r="D3681" s="108">
        <v>33.812742503515501</v>
      </c>
      <c r="E3681" s="108">
        <v>0</v>
      </c>
      <c r="F3681" s="108" t="s">
        <v>137</v>
      </c>
      <c r="G3681" s="108"/>
      <c r="H3681" s="108">
        <v>1</v>
      </c>
    </row>
    <row r="3682" spans="1:8" ht="14">
      <c r="A3682" s="108">
        <v>2021</v>
      </c>
      <c r="B3682" s="108">
        <v>29</v>
      </c>
      <c r="C3682" s="108" t="s">
        <v>139</v>
      </c>
      <c r="D3682" s="108">
        <v>6540.27031588093</v>
      </c>
      <c r="E3682" s="108">
        <v>0</v>
      </c>
      <c r="F3682" s="108" t="s">
        <v>136</v>
      </c>
      <c r="G3682" s="108"/>
      <c r="H3682" s="108">
        <v>1</v>
      </c>
    </row>
    <row r="3683" spans="1:8" ht="14">
      <c r="A3683" s="108">
        <v>2021</v>
      </c>
      <c r="B3683" s="108">
        <v>29</v>
      </c>
      <c r="C3683" s="108" t="s">
        <v>139</v>
      </c>
      <c r="D3683" s="108">
        <v>5728.9986841190703</v>
      </c>
      <c r="E3683" s="108">
        <v>0</v>
      </c>
      <c r="F3683" s="108" t="s">
        <v>135</v>
      </c>
      <c r="G3683" s="108"/>
      <c r="H3683" s="108">
        <v>1</v>
      </c>
    </row>
    <row r="3684" spans="1:8" ht="14">
      <c r="A3684" s="108">
        <v>2021</v>
      </c>
      <c r="B3684" s="108">
        <v>31</v>
      </c>
      <c r="C3684" s="108" t="s">
        <v>30</v>
      </c>
      <c r="D3684" s="108">
        <v>17104.038486446701</v>
      </c>
      <c r="E3684" s="108">
        <v>1392.0768091042601</v>
      </c>
      <c r="F3684" s="108" t="s">
        <v>136</v>
      </c>
      <c r="G3684" s="108">
        <v>1392.0768091055099</v>
      </c>
      <c r="H3684" s="108">
        <v>1</v>
      </c>
    </row>
    <row r="3685" spans="1:8" ht="14">
      <c r="A3685" s="108">
        <v>2021</v>
      </c>
      <c r="B3685" s="108">
        <v>31</v>
      </c>
      <c r="C3685" s="108" t="s">
        <v>30</v>
      </c>
      <c r="D3685" s="108">
        <v>458.422334471076</v>
      </c>
      <c r="E3685" s="108">
        <v>61.9604654353138</v>
      </c>
      <c r="F3685" s="108" t="s">
        <v>135</v>
      </c>
      <c r="G3685" s="108">
        <v>61.960465435313999</v>
      </c>
      <c r="H3685" s="108">
        <v>1</v>
      </c>
    </row>
    <row r="3686" spans="1:8" ht="14">
      <c r="A3686" s="108">
        <v>2021</v>
      </c>
      <c r="B3686" s="108">
        <v>31</v>
      </c>
      <c r="C3686" s="108" t="s">
        <v>30</v>
      </c>
      <c r="D3686" s="108">
        <v>6.1471790822269297</v>
      </c>
      <c r="E3686" s="108">
        <v>2.2197254604271901</v>
      </c>
      <c r="F3686" s="108" t="s">
        <v>137</v>
      </c>
      <c r="G3686" s="108">
        <v>2.2197254604279899</v>
      </c>
      <c r="H3686" s="108">
        <v>1</v>
      </c>
    </row>
    <row r="3687" spans="1:8" ht="14">
      <c r="A3687" s="108">
        <v>2021</v>
      </c>
      <c r="B3687" s="108">
        <v>31</v>
      </c>
      <c r="C3687" s="108" t="s">
        <v>138</v>
      </c>
      <c r="D3687" s="108">
        <v>11117.4597609581</v>
      </c>
      <c r="E3687" s="108">
        <v>722.11867442482696</v>
      </c>
      <c r="F3687" s="108" t="s">
        <v>136</v>
      </c>
      <c r="G3687" s="108">
        <v>722.11867442563903</v>
      </c>
      <c r="H3687" s="108">
        <v>1</v>
      </c>
    </row>
    <row r="3688" spans="1:8" ht="14">
      <c r="A3688" s="108">
        <v>2021</v>
      </c>
      <c r="B3688" s="108">
        <v>31</v>
      </c>
      <c r="C3688" s="108" t="s">
        <v>138</v>
      </c>
      <c r="D3688" s="108">
        <v>6.1471790822269297</v>
      </c>
      <c r="E3688" s="108">
        <v>1.1943761377944899</v>
      </c>
      <c r="F3688" s="108" t="s">
        <v>137</v>
      </c>
      <c r="G3688" s="108">
        <v>1.194376137796</v>
      </c>
      <c r="H3688" s="108">
        <v>1</v>
      </c>
    </row>
    <row r="3689" spans="1:8" ht="14">
      <c r="A3689" s="108">
        <v>2021</v>
      </c>
      <c r="B3689" s="108">
        <v>31</v>
      </c>
      <c r="C3689" s="108" t="s">
        <v>138</v>
      </c>
      <c r="D3689" s="108">
        <v>206.967059959659</v>
      </c>
      <c r="E3689" s="108">
        <v>30.4439494373791</v>
      </c>
      <c r="F3689" s="108" t="s">
        <v>135</v>
      </c>
      <c r="G3689" s="108">
        <v>30.443949437394899</v>
      </c>
      <c r="H3689" s="108">
        <v>1</v>
      </c>
    </row>
    <row r="3690" spans="1:8" ht="14">
      <c r="A3690" s="108">
        <v>2021</v>
      </c>
      <c r="B3690" s="108">
        <v>31</v>
      </c>
      <c r="C3690" s="108" t="s">
        <v>139</v>
      </c>
      <c r="D3690" s="108">
        <v>251.45527451141601</v>
      </c>
      <c r="E3690" s="108">
        <v>31.516515997934601</v>
      </c>
      <c r="F3690" s="108" t="s">
        <v>135</v>
      </c>
      <c r="G3690" s="108">
        <v>31.516515997918901</v>
      </c>
      <c r="H3690" s="108">
        <v>1</v>
      </c>
    </row>
    <row r="3691" spans="1:8" ht="14">
      <c r="A3691" s="108">
        <v>2021</v>
      </c>
      <c r="B3691" s="108">
        <v>31</v>
      </c>
      <c r="C3691" s="108" t="s">
        <v>139</v>
      </c>
      <c r="D3691" s="108">
        <v>5986.5787254885799</v>
      </c>
      <c r="E3691" s="108">
        <v>669.95813467943299</v>
      </c>
      <c r="F3691" s="108" t="s">
        <v>136</v>
      </c>
      <c r="G3691" s="108">
        <v>669.95813467987796</v>
      </c>
      <c r="H3691" s="108">
        <v>1</v>
      </c>
    </row>
    <row r="3692" spans="1:8" ht="14">
      <c r="A3692" s="108">
        <v>2021</v>
      </c>
      <c r="B3692" s="108">
        <v>31</v>
      </c>
      <c r="C3692" s="108" t="s">
        <v>139</v>
      </c>
      <c r="D3692" s="108">
        <v>0</v>
      </c>
      <c r="E3692" s="108">
        <v>1.02534932263269</v>
      </c>
      <c r="F3692" s="108" t="s">
        <v>137</v>
      </c>
      <c r="G3692" s="108">
        <v>1.0253493226319901</v>
      </c>
      <c r="H3692" s="108">
        <v>1</v>
      </c>
    </row>
    <row r="3693" spans="1:8" ht="14">
      <c r="A3693" s="108">
        <v>2021</v>
      </c>
      <c r="B3693" s="108">
        <v>32</v>
      </c>
      <c r="C3693" s="108" t="s">
        <v>30</v>
      </c>
      <c r="D3693" s="108">
        <v>34504.900328670497</v>
      </c>
      <c r="E3693" s="108">
        <v>3678.8980440071</v>
      </c>
      <c r="F3693" s="108" t="s">
        <v>136</v>
      </c>
      <c r="G3693" s="108">
        <v>7357.7960880153696</v>
      </c>
      <c r="H3693" s="108">
        <v>1</v>
      </c>
    </row>
    <row r="3694" spans="1:8" ht="14">
      <c r="A3694" s="108">
        <v>2021</v>
      </c>
      <c r="B3694" s="108">
        <v>32</v>
      </c>
      <c r="C3694" s="108" t="s">
        <v>30</v>
      </c>
      <c r="D3694" s="108">
        <v>11.8832938270378</v>
      </c>
      <c r="E3694" s="108">
        <v>6.1977683253907196</v>
      </c>
      <c r="F3694" s="108" t="s">
        <v>137</v>
      </c>
      <c r="G3694" s="108">
        <v>12.395536650793</v>
      </c>
      <c r="H3694" s="108">
        <v>1</v>
      </c>
    </row>
    <row r="3695" spans="1:8" ht="14">
      <c r="A3695" s="108">
        <v>2021</v>
      </c>
      <c r="B3695" s="108">
        <v>32</v>
      </c>
      <c r="C3695" s="108" t="s">
        <v>30</v>
      </c>
      <c r="D3695" s="108">
        <v>1525.66437750248</v>
      </c>
      <c r="E3695" s="108">
        <v>158.30718766750201</v>
      </c>
      <c r="F3695" s="108" t="s">
        <v>135</v>
      </c>
      <c r="G3695" s="108">
        <v>316.61437533507097</v>
      </c>
      <c r="H3695" s="108">
        <v>1</v>
      </c>
    </row>
    <row r="3696" spans="1:8" ht="14">
      <c r="A3696" s="108">
        <v>2021</v>
      </c>
      <c r="B3696" s="108">
        <v>32</v>
      </c>
      <c r="C3696" s="108" t="s">
        <v>138</v>
      </c>
      <c r="D3696" s="108">
        <v>22142.607359880101</v>
      </c>
      <c r="E3696" s="108">
        <v>1848.0332027637501</v>
      </c>
      <c r="F3696" s="108" t="s">
        <v>136</v>
      </c>
      <c r="G3696" s="108">
        <v>3696.0664055286502</v>
      </c>
      <c r="H3696" s="108">
        <v>1</v>
      </c>
    </row>
    <row r="3697" spans="1:8" ht="14">
      <c r="A3697" s="108">
        <v>2021</v>
      </c>
      <c r="B3697" s="108">
        <v>32</v>
      </c>
      <c r="C3697" s="108" t="s">
        <v>138</v>
      </c>
      <c r="D3697" s="108">
        <v>11.870802295828</v>
      </c>
      <c r="E3697" s="108">
        <v>3.2161366347422899</v>
      </c>
      <c r="F3697" s="108" t="s">
        <v>137</v>
      </c>
      <c r="G3697" s="108">
        <v>6.4322732695079896</v>
      </c>
      <c r="H3697" s="108">
        <v>1</v>
      </c>
    </row>
    <row r="3698" spans="1:8" ht="14">
      <c r="A3698" s="108">
        <v>2021</v>
      </c>
      <c r="B3698" s="108">
        <v>32</v>
      </c>
      <c r="C3698" s="108" t="s">
        <v>138</v>
      </c>
      <c r="D3698" s="108">
        <v>761.92383782402499</v>
      </c>
      <c r="E3698" s="108">
        <v>82.337660601498797</v>
      </c>
      <c r="F3698" s="108" t="s">
        <v>135</v>
      </c>
      <c r="G3698" s="108">
        <v>164.67532120308101</v>
      </c>
      <c r="H3698" s="108">
        <v>1</v>
      </c>
    </row>
    <row r="3699" spans="1:8" ht="14">
      <c r="A3699" s="108">
        <v>2021</v>
      </c>
      <c r="B3699" s="108">
        <v>32</v>
      </c>
      <c r="C3699" s="108" t="s">
        <v>139</v>
      </c>
      <c r="D3699" s="108">
        <v>763.74053967845703</v>
      </c>
      <c r="E3699" s="108">
        <v>75.969527066004005</v>
      </c>
      <c r="F3699" s="108" t="s">
        <v>135</v>
      </c>
      <c r="G3699" s="108">
        <v>151.939054131989</v>
      </c>
      <c r="H3699" s="108">
        <v>1</v>
      </c>
    </row>
    <row r="3700" spans="1:8" ht="14">
      <c r="A3700" s="108">
        <v>2021</v>
      </c>
      <c r="B3700" s="108">
        <v>32</v>
      </c>
      <c r="C3700" s="108" t="s">
        <v>139</v>
      </c>
      <c r="D3700" s="108">
        <v>12362.2929687903</v>
      </c>
      <c r="E3700" s="108">
        <v>1830.8648412433399</v>
      </c>
      <c r="F3700" s="108" t="s">
        <v>136</v>
      </c>
      <c r="G3700" s="108">
        <v>3661.7296824867099</v>
      </c>
      <c r="H3700" s="108">
        <v>1</v>
      </c>
    </row>
    <row r="3701" spans="1:8" ht="14">
      <c r="A3701" s="108">
        <v>2021</v>
      </c>
      <c r="B3701" s="108">
        <v>32</v>
      </c>
      <c r="C3701" s="108" t="s">
        <v>139</v>
      </c>
      <c r="D3701" s="108">
        <v>1.2491531209789601E-2</v>
      </c>
      <c r="E3701" s="108">
        <v>2.9816316906484301</v>
      </c>
      <c r="F3701" s="108" t="s">
        <v>137</v>
      </c>
      <c r="G3701" s="108">
        <v>5.9632633812849898</v>
      </c>
      <c r="H3701" s="108">
        <v>1</v>
      </c>
    </row>
    <row r="3702" spans="1:8" ht="14">
      <c r="A3702" s="108">
        <v>2021</v>
      </c>
      <c r="B3702" s="108">
        <v>33</v>
      </c>
      <c r="C3702" s="108" t="s">
        <v>30</v>
      </c>
      <c r="D3702" s="108">
        <v>13.827233594913899</v>
      </c>
      <c r="E3702" s="108">
        <v>2.86173887881393</v>
      </c>
      <c r="F3702" s="108" t="s">
        <v>135</v>
      </c>
      <c r="G3702" s="108">
        <v>4.292608318219</v>
      </c>
      <c r="H3702" s="108">
        <v>1</v>
      </c>
    </row>
    <row r="3703" spans="1:8" ht="14">
      <c r="A3703" s="108">
        <v>2021</v>
      </c>
      <c r="B3703" s="108">
        <v>33</v>
      </c>
      <c r="C3703" s="108" t="s">
        <v>30</v>
      </c>
      <c r="D3703" s="108">
        <v>0.71889098049397904</v>
      </c>
      <c r="E3703" s="108">
        <v>5.8518863326333798E-2</v>
      </c>
      <c r="F3703" s="108" t="s">
        <v>137</v>
      </c>
      <c r="G3703" s="108">
        <v>8.7778294986999905E-2</v>
      </c>
      <c r="H3703" s="108">
        <v>1</v>
      </c>
    </row>
    <row r="3704" spans="1:8" ht="14">
      <c r="A3704" s="108">
        <v>2021</v>
      </c>
      <c r="B3704" s="108">
        <v>33</v>
      </c>
      <c r="C3704" s="108" t="s">
        <v>30</v>
      </c>
      <c r="D3704" s="108">
        <v>1415.83787542459</v>
      </c>
      <c r="E3704" s="108">
        <v>97.194742257859701</v>
      </c>
      <c r="F3704" s="108" t="s">
        <v>136</v>
      </c>
      <c r="G3704" s="108">
        <v>145.79211338673699</v>
      </c>
      <c r="H3704" s="108">
        <v>1</v>
      </c>
    </row>
    <row r="3705" spans="1:8" ht="14">
      <c r="A3705" s="108">
        <v>2021</v>
      </c>
      <c r="B3705" s="108">
        <v>33</v>
      </c>
      <c r="C3705" s="108" t="s">
        <v>138</v>
      </c>
      <c r="D3705" s="108">
        <v>8.8140223328910796</v>
      </c>
      <c r="E3705" s="108">
        <v>1.91349110876578</v>
      </c>
      <c r="F3705" s="108" t="s">
        <v>135</v>
      </c>
      <c r="G3705" s="108">
        <v>2.8702366631479999</v>
      </c>
      <c r="H3705" s="108">
        <v>1</v>
      </c>
    </row>
    <row r="3706" spans="1:8" ht="14">
      <c r="A3706" s="108">
        <v>2021</v>
      </c>
      <c r="B3706" s="108">
        <v>33</v>
      </c>
      <c r="C3706" s="108" t="s">
        <v>138</v>
      </c>
      <c r="D3706" s="108">
        <v>1082.60108668661</v>
      </c>
      <c r="E3706" s="108">
        <v>51.4631654950078</v>
      </c>
      <c r="F3706" s="108" t="s">
        <v>136</v>
      </c>
      <c r="G3706" s="108">
        <v>77.194748242529002</v>
      </c>
      <c r="H3706" s="108">
        <v>1</v>
      </c>
    </row>
    <row r="3707" spans="1:8" ht="14">
      <c r="A3707" s="108">
        <v>2021</v>
      </c>
      <c r="B3707" s="108">
        <v>33</v>
      </c>
      <c r="C3707" s="108" t="s">
        <v>138</v>
      </c>
      <c r="D3707" s="108">
        <v>0.71889098049397904</v>
      </c>
      <c r="E3707" s="108">
        <v>5.6343396226415002E-2</v>
      </c>
      <c r="F3707" s="108" t="s">
        <v>137</v>
      </c>
      <c r="G3707" s="108">
        <v>8.4515094338999994E-2</v>
      </c>
      <c r="H3707" s="108">
        <v>1</v>
      </c>
    </row>
    <row r="3708" spans="1:8" ht="14">
      <c r="A3708" s="108">
        <v>2021</v>
      </c>
      <c r="B3708" s="108">
        <v>33</v>
      </c>
      <c r="C3708" s="108" t="s">
        <v>139</v>
      </c>
      <c r="D3708" s="108">
        <v>0</v>
      </c>
      <c r="E3708" s="108">
        <v>2.1754670999187598E-3</v>
      </c>
      <c r="F3708" s="108" t="s">
        <v>137</v>
      </c>
      <c r="G3708" s="108">
        <v>3.263200648E-3</v>
      </c>
      <c r="H3708" s="108">
        <v>1</v>
      </c>
    </row>
    <row r="3709" spans="1:8" ht="14">
      <c r="A3709" s="108">
        <v>2021</v>
      </c>
      <c r="B3709" s="108">
        <v>33</v>
      </c>
      <c r="C3709" s="108" t="s">
        <v>139</v>
      </c>
      <c r="D3709" s="108">
        <v>333.23678873797701</v>
      </c>
      <c r="E3709" s="108">
        <v>45.731576762851901</v>
      </c>
      <c r="F3709" s="108" t="s">
        <v>136</v>
      </c>
      <c r="G3709" s="108">
        <v>68.597365144207998</v>
      </c>
      <c r="H3709" s="108">
        <v>1</v>
      </c>
    </row>
    <row r="3710" spans="1:8" ht="14">
      <c r="A3710" s="108">
        <v>2021</v>
      </c>
      <c r="B3710" s="108">
        <v>33</v>
      </c>
      <c r="C3710" s="108" t="s">
        <v>139</v>
      </c>
      <c r="D3710" s="108">
        <v>5.0132112620228302</v>
      </c>
      <c r="E3710" s="108">
        <v>0.94824777004814997</v>
      </c>
      <c r="F3710" s="108" t="s">
        <v>135</v>
      </c>
      <c r="G3710" s="108">
        <v>1.4223716550709999</v>
      </c>
      <c r="H3710" s="108">
        <v>1</v>
      </c>
    </row>
    <row r="3711" spans="1:8" ht="14">
      <c r="A3711" s="108">
        <v>2021</v>
      </c>
      <c r="B3711" s="108">
        <v>34</v>
      </c>
      <c r="C3711" s="108" t="s">
        <v>30</v>
      </c>
      <c r="D3711" s="108">
        <v>257.30225539515402</v>
      </c>
      <c r="E3711" s="108">
        <v>23.114180791143799</v>
      </c>
      <c r="F3711" s="108" t="s">
        <v>135</v>
      </c>
      <c r="G3711" s="108">
        <v>52.006906780051999</v>
      </c>
      <c r="H3711" s="108">
        <v>1</v>
      </c>
    </row>
    <row r="3712" spans="1:8" ht="14">
      <c r="A3712" s="108">
        <v>2021</v>
      </c>
      <c r="B3712" s="108">
        <v>34</v>
      </c>
      <c r="C3712" s="108" t="s">
        <v>30</v>
      </c>
      <c r="D3712" s="108">
        <v>5353.3648623680601</v>
      </c>
      <c r="E3712" s="108">
        <v>453.75783399757501</v>
      </c>
      <c r="F3712" s="108" t="s">
        <v>136</v>
      </c>
      <c r="G3712" s="108">
        <v>1020.95512649451</v>
      </c>
      <c r="H3712" s="108">
        <v>1</v>
      </c>
    </row>
    <row r="3713" spans="1:8" ht="14">
      <c r="A3713" s="108">
        <v>2021</v>
      </c>
      <c r="B3713" s="108">
        <v>34</v>
      </c>
      <c r="C3713" s="108" t="s">
        <v>30</v>
      </c>
      <c r="D3713" s="108">
        <v>3.03188223678475</v>
      </c>
      <c r="E3713" s="108">
        <v>0.42198521128048599</v>
      </c>
      <c r="F3713" s="108" t="s">
        <v>137</v>
      </c>
      <c r="G3713" s="108">
        <v>0.94946672539400001</v>
      </c>
      <c r="H3713" s="108">
        <v>1</v>
      </c>
    </row>
    <row r="3714" spans="1:8" ht="14">
      <c r="A3714" s="108">
        <v>2021</v>
      </c>
      <c r="B3714" s="108">
        <v>34</v>
      </c>
      <c r="C3714" s="108" t="s">
        <v>138</v>
      </c>
      <c r="D3714" s="108">
        <v>4407.7847234278097</v>
      </c>
      <c r="E3714" s="108">
        <v>232.510349699697</v>
      </c>
      <c r="F3714" s="108" t="s">
        <v>136</v>
      </c>
      <c r="G3714" s="108">
        <v>523.14828682438201</v>
      </c>
      <c r="H3714" s="108">
        <v>1</v>
      </c>
    </row>
    <row r="3715" spans="1:8" ht="14">
      <c r="A3715" s="108">
        <v>2021</v>
      </c>
      <c r="B3715" s="108">
        <v>34</v>
      </c>
      <c r="C3715" s="108" t="s">
        <v>138</v>
      </c>
      <c r="D3715" s="108">
        <v>105.50639433540501</v>
      </c>
      <c r="E3715" s="108">
        <v>10.546427589977499</v>
      </c>
      <c r="F3715" s="108" t="s">
        <v>135</v>
      </c>
      <c r="G3715" s="108">
        <v>23.7294620774429</v>
      </c>
      <c r="H3715" s="108">
        <v>1</v>
      </c>
    </row>
    <row r="3716" spans="1:8" ht="14">
      <c r="A3716" s="108">
        <v>2021</v>
      </c>
      <c r="B3716" s="108">
        <v>34</v>
      </c>
      <c r="C3716" s="108" t="s">
        <v>138</v>
      </c>
      <c r="D3716" s="108">
        <v>3.03188223678475</v>
      </c>
      <c r="E3716" s="108">
        <v>0.343222710324882</v>
      </c>
      <c r="F3716" s="108" t="s">
        <v>137</v>
      </c>
      <c r="G3716" s="108">
        <v>0.77225109824399996</v>
      </c>
      <c r="H3716" s="108">
        <v>1</v>
      </c>
    </row>
    <row r="3717" spans="1:8" ht="14">
      <c r="A3717" s="108">
        <v>2021</v>
      </c>
      <c r="B3717" s="108">
        <v>34</v>
      </c>
      <c r="C3717" s="108" t="s">
        <v>139</v>
      </c>
      <c r="D3717" s="108">
        <v>151.795861059749</v>
      </c>
      <c r="E3717" s="108">
        <v>12.5677532011662</v>
      </c>
      <c r="F3717" s="108" t="s">
        <v>135</v>
      </c>
      <c r="G3717" s="108">
        <v>28.2774447026089</v>
      </c>
      <c r="H3717" s="108">
        <v>1</v>
      </c>
    </row>
    <row r="3718" spans="1:8" ht="14">
      <c r="A3718" s="108">
        <v>2021</v>
      </c>
      <c r="B3718" s="108">
        <v>34</v>
      </c>
      <c r="C3718" s="108" t="s">
        <v>139</v>
      </c>
      <c r="D3718" s="108">
        <v>0</v>
      </c>
      <c r="E3718" s="108">
        <v>7.8762500955603595E-2</v>
      </c>
      <c r="F3718" s="108" t="s">
        <v>137</v>
      </c>
      <c r="G3718" s="108">
        <v>0.17721562715</v>
      </c>
      <c r="H3718" s="108">
        <v>1</v>
      </c>
    </row>
    <row r="3719" spans="1:8" ht="14">
      <c r="A3719" s="108">
        <v>2021</v>
      </c>
      <c r="B3719" s="108">
        <v>34</v>
      </c>
      <c r="C3719" s="108" t="s">
        <v>139</v>
      </c>
      <c r="D3719" s="108">
        <v>945.58013894024998</v>
      </c>
      <c r="E3719" s="108">
        <v>221.247484297878</v>
      </c>
      <c r="F3719" s="108" t="s">
        <v>136</v>
      </c>
      <c r="G3719" s="108">
        <v>497.80683967012902</v>
      </c>
      <c r="H3719" s="108">
        <v>1</v>
      </c>
    </row>
    <row r="3720" spans="1:8" ht="14">
      <c r="A3720" s="108">
        <v>2021</v>
      </c>
      <c r="B3720" s="108">
        <v>51</v>
      </c>
      <c r="C3720" s="108" t="s">
        <v>30</v>
      </c>
      <c r="D3720" s="108">
        <v>27175.048490773101</v>
      </c>
      <c r="E3720" s="108">
        <v>2814.4949465905302</v>
      </c>
      <c r="F3720" s="108" t="s">
        <v>136</v>
      </c>
      <c r="G3720" s="108"/>
      <c r="H3720" s="108">
        <v>1</v>
      </c>
    </row>
    <row r="3721" spans="1:8" ht="14">
      <c r="A3721" s="108">
        <v>2021</v>
      </c>
      <c r="B3721" s="108">
        <v>51</v>
      </c>
      <c r="C3721" s="108" t="s">
        <v>30</v>
      </c>
      <c r="D3721" s="108">
        <v>0</v>
      </c>
      <c r="E3721" s="108">
        <v>2.2900974509553599E-3</v>
      </c>
      <c r="F3721" s="108" t="s">
        <v>137</v>
      </c>
      <c r="G3721" s="108"/>
      <c r="H3721" s="108">
        <v>1</v>
      </c>
    </row>
    <row r="3722" spans="1:8" ht="14">
      <c r="A3722" s="108">
        <v>2021</v>
      </c>
      <c r="B3722" s="108">
        <v>51</v>
      </c>
      <c r="C3722" s="108" t="s">
        <v>30</v>
      </c>
      <c r="D3722" s="108">
        <v>7877.70450922685</v>
      </c>
      <c r="E3722" s="108">
        <v>717.18876331201602</v>
      </c>
      <c r="F3722" s="108" t="s">
        <v>135</v>
      </c>
      <c r="G3722" s="108"/>
      <c r="H3722" s="108">
        <v>1</v>
      </c>
    </row>
    <row r="3723" spans="1:8" ht="14">
      <c r="A3723" s="108">
        <v>2021</v>
      </c>
      <c r="B3723" s="108">
        <v>51</v>
      </c>
      <c r="C3723" s="108" t="s">
        <v>138</v>
      </c>
      <c r="D3723" s="108">
        <v>17356.848733402701</v>
      </c>
      <c r="E3723" s="108">
        <v>1393.7404313869599</v>
      </c>
      <c r="F3723" s="108" t="s">
        <v>136</v>
      </c>
      <c r="G3723" s="108"/>
      <c r="H3723" s="108">
        <v>1</v>
      </c>
    </row>
    <row r="3724" spans="1:8" ht="14">
      <c r="A3724" s="108">
        <v>2021</v>
      </c>
      <c r="B3724" s="108">
        <v>51</v>
      </c>
      <c r="C3724" s="108" t="s">
        <v>138</v>
      </c>
      <c r="D3724" s="108">
        <v>0</v>
      </c>
      <c r="E3724" s="108">
        <v>1.1587301587301501E-3</v>
      </c>
      <c r="F3724" s="108" t="s">
        <v>137</v>
      </c>
      <c r="G3724" s="108"/>
      <c r="H3724" s="108">
        <v>1</v>
      </c>
    </row>
    <row r="3725" spans="1:8" ht="14">
      <c r="A3725" s="108">
        <v>2021</v>
      </c>
      <c r="B3725" s="108">
        <v>51</v>
      </c>
      <c r="C3725" s="108" t="s">
        <v>138</v>
      </c>
      <c r="D3725" s="108">
        <v>3885.4752665972601</v>
      </c>
      <c r="E3725" s="108">
        <v>358.41440988287297</v>
      </c>
      <c r="F3725" s="108" t="s">
        <v>135</v>
      </c>
      <c r="G3725" s="108"/>
      <c r="H3725" s="108">
        <v>1</v>
      </c>
    </row>
    <row r="3726" spans="1:8" ht="14">
      <c r="A3726" s="108">
        <v>2021</v>
      </c>
      <c r="B3726" s="108">
        <v>51</v>
      </c>
      <c r="C3726" s="108" t="s">
        <v>139</v>
      </c>
      <c r="D3726" s="108">
        <v>3992.2292426295799</v>
      </c>
      <c r="E3726" s="108">
        <v>358.77435342914299</v>
      </c>
      <c r="F3726" s="108" t="s">
        <v>135</v>
      </c>
      <c r="G3726" s="108"/>
      <c r="H3726" s="108">
        <v>1</v>
      </c>
    </row>
    <row r="3727" spans="1:8" ht="14">
      <c r="A3727" s="108">
        <v>2021</v>
      </c>
      <c r="B3727" s="108">
        <v>51</v>
      </c>
      <c r="C3727" s="108" t="s">
        <v>139</v>
      </c>
      <c r="D3727" s="108">
        <v>0</v>
      </c>
      <c r="E3727" s="108">
        <v>1.1313672922252001E-3</v>
      </c>
      <c r="F3727" s="108" t="s">
        <v>137</v>
      </c>
      <c r="G3727" s="108"/>
      <c r="H3727" s="108">
        <v>1</v>
      </c>
    </row>
    <row r="3728" spans="1:8" ht="14">
      <c r="A3728" s="108">
        <v>2021</v>
      </c>
      <c r="B3728" s="108">
        <v>51</v>
      </c>
      <c r="C3728" s="108" t="s">
        <v>139</v>
      </c>
      <c r="D3728" s="108">
        <v>9818.1997573704102</v>
      </c>
      <c r="E3728" s="108">
        <v>1420.75451520356</v>
      </c>
      <c r="F3728" s="108" t="s">
        <v>136</v>
      </c>
      <c r="G3728" s="108"/>
      <c r="H3728" s="108">
        <v>1</v>
      </c>
    </row>
    <row r="3729" spans="1:8" ht="14">
      <c r="A3729" s="108">
        <v>2021</v>
      </c>
      <c r="B3729" s="108">
        <v>52</v>
      </c>
      <c r="C3729" s="108" t="s">
        <v>30</v>
      </c>
      <c r="D3729" s="108">
        <v>0</v>
      </c>
      <c r="E3729" s="108">
        <v>1320.3541068780701</v>
      </c>
      <c r="F3729" s="108" t="s">
        <v>135</v>
      </c>
      <c r="G3729" s="108"/>
      <c r="H3729" s="108">
        <v>1</v>
      </c>
    </row>
    <row r="3730" spans="1:8" ht="14">
      <c r="A3730" s="108">
        <v>2021</v>
      </c>
      <c r="B3730" s="108">
        <v>52</v>
      </c>
      <c r="C3730" s="108" t="s">
        <v>30</v>
      </c>
      <c r="D3730" s="108">
        <v>0</v>
      </c>
      <c r="E3730" s="108">
        <v>1032.14389312192</v>
      </c>
      <c r="F3730" s="108" t="s">
        <v>136</v>
      </c>
      <c r="G3730" s="108"/>
      <c r="H3730" s="108">
        <v>1</v>
      </c>
    </row>
    <row r="3731" spans="1:8" ht="14">
      <c r="A3731" s="108">
        <v>2021</v>
      </c>
      <c r="B3731" s="108">
        <v>52</v>
      </c>
      <c r="C3731" s="108" t="s">
        <v>30</v>
      </c>
      <c r="D3731" s="108">
        <v>0</v>
      </c>
      <c r="E3731" s="108">
        <v>44.636000000000003</v>
      </c>
      <c r="F3731" s="108" t="s">
        <v>137</v>
      </c>
      <c r="G3731" s="108"/>
      <c r="H3731" s="108">
        <v>1</v>
      </c>
    </row>
    <row r="3732" spans="1:8" ht="14">
      <c r="A3732" s="108">
        <v>2021</v>
      </c>
      <c r="B3732" s="108">
        <v>52</v>
      </c>
      <c r="C3732" s="108" t="s">
        <v>138</v>
      </c>
      <c r="D3732" s="108">
        <v>0</v>
      </c>
      <c r="E3732" s="108">
        <v>658.46802083703597</v>
      </c>
      <c r="F3732" s="108" t="s">
        <v>135</v>
      </c>
      <c r="G3732" s="108"/>
      <c r="H3732" s="108">
        <v>1</v>
      </c>
    </row>
    <row r="3733" spans="1:8" ht="14">
      <c r="A3733" s="108">
        <v>2021</v>
      </c>
      <c r="B3733" s="108">
        <v>52</v>
      </c>
      <c r="C3733" s="108" t="s">
        <v>138</v>
      </c>
      <c r="D3733" s="108">
        <v>0</v>
      </c>
      <c r="E3733" s="108">
        <v>21.445</v>
      </c>
      <c r="F3733" s="108" t="s">
        <v>137</v>
      </c>
      <c r="G3733" s="108"/>
      <c r="H3733" s="108">
        <v>1</v>
      </c>
    </row>
    <row r="3734" spans="1:8" ht="14">
      <c r="A3734" s="108">
        <v>2021</v>
      </c>
      <c r="B3734" s="108">
        <v>52</v>
      </c>
      <c r="C3734" s="108" t="s">
        <v>138</v>
      </c>
      <c r="D3734" s="108">
        <v>0</v>
      </c>
      <c r="E3734" s="108">
        <v>520.84097916296298</v>
      </c>
      <c r="F3734" s="108" t="s">
        <v>136</v>
      </c>
      <c r="G3734" s="108"/>
      <c r="H3734" s="108">
        <v>1</v>
      </c>
    </row>
    <row r="3735" spans="1:8" ht="14">
      <c r="A3735" s="108">
        <v>2021</v>
      </c>
      <c r="B3735" s="108">
        <v>52</v>
      </c>
      <c r="C3735" s="108" t="s">
        <v>139</v>
      </c>
      <c r="D3735" s="108">
        <v>0</v>
      </c>
      <c r="E3735" s="108">
        <v>23.190999999999999</v>
      </c>
      <c r="F3735" s="108" t="s">
        <v>137</v>
      </c>
      <c r="G3735" s="108"/>
      <c r="H3735" s="108">
        <v>1</v>
      </c>
    </row>
    <row r="3736" spans="1:8" ht="14">
      <c r="A3736" s="108">
        <v>2021</v>
      </c>
      <c r="B3736" s="108">
        <v>52</v>
      </c>
      <c r="C3736" s="108" t="s">
        <v>139</v>
      </c>
      <c r="D3736" s="108">
        <v>0</v>
      </c>
      <c r="E3736" s="108">
        <v>511.30291395896597</v>
      </c>
      <c r="F3736" s="108" t="s">
        <v>136</v>
      </c>
      <c r="G3736" s="108"/>
      <c r="H3736" s="108">
        <v>1</v>
      </c>
    </row>
    <row r="3737" spans="1:8" ht="14">
      <c r="A3737" s="108">
        <v>2021</v>
      </c>
      <c r="B3737" s="108">
        <v>52</v>
      </c>
      <c r="C3737" s="108" t="s">
        <v>139</v>
      </c>
      <c r="D3737" s="108">
        <v>0</v>
      </c>
      <c r="E3737" s="108">
        <v>661.88608604103297</v>
      </c>
      <c r="F3737" s="108" t="s">
        <v>135</v>
      </c>
      <c r="G3737" s="108"/>
      <c r="H3737" s="108">
        <v>1</v>
      </c>
    </row>
    <row r="3738" spans="1:8" ht="14">
      <c r="A3738" s="108">
        <v>2021</v>
      </c>
      <c r="B3738" s="108">
        <v>53</v>
      </c>
      <c r="C3738" s="108" t="s">
        <v>30</v>
      </c>
      <c r="D3738" s="108">
        <v>0</v>
      </c>
      <c r="E3738" s="108">
        <v>8.5979999999999901</v>
      </c>
      <c r="F3738" s="108" t="s">
        <v>135</v>
      </c>
      <c r="G3738" s="108"/>
      <c r="H3738" s="108">
        <v>1</v>
      </c>
    </row>
    <row r="3739" spans="1:8" ht="14">
      <c r="A3739" s="108">
        <v>2021</v>
      </c>
      <c r="B3739" s="108">
        <v>53</v>
      </c>
      <c r="C3739" s="108" t="s">
        <v>30</v>
      </c>
      <c r="D3739" s="108">
        <v>0</v>
      </c>
      <c r="E3739" s="108">
        <v>5.3680000000000003</v>
      </c>
      <c r="F3739" s="108" t="s">
        <v>136</v>
      </c>
      <c r="G3739" s="108"/>
      <c r="H3739" s="108">
        <v>1</v>
      </c>
    </row>
    <row r="3740" spans="1:8" ht="14">
      <c r="A3740" s="108">
        <v>2021</v>
      </c>
      <c r="B3740" s="108">
        <v>53</v>
      </c>
      <c r="C3740" s="108" t="s">
        <v>138</v>
      </c>
      <c r="D3740" s="108">
        <v>0</v>
      </c>
      <c r="E3740" s="108">
        <v>4.5029999999999903</v>
      </c>
      <c r="F3740" s="108" t="s">
        <v>135</v>
      </c>
      <c r="G3740" s="108"/>
      <c r="H3740" s="108">
        <v>1</v>
      </c>
    </row>
    <row r="3741" spans="1:8" ht="14">
      <c r="A3741" s="108">
        <v>2021</v>
      </c>
      <c r="B3741" s="108">
        <v>53</v>
      </c>
      <c r="C3741" s="108" t="s">
        <v>138</v>
      </c>
      <c r="D3741" s="108">
        <v>0</v>
      </c>
      <c r="E3741" s="108">
        <v>2.9189999999999898</v>
      </c>
      <c r="F3741" s="108" t="s">
        <v>136</v>
      </c>
      <c r="G3741" s="108"/>
      <c r="H3741" s="108">
        <v>1</v>
      </c>
    </row>
    <row r="3742" spans="1:8" ht="14">
      <c r="A3742" s="108">
        <v>2021</v>
      </c>
      <c r="B3742" s="108">
        <v>53</v>
      </c>
      <c r="C3742" s="108" t="s">
        <v>139</v>
      </c>
      <c r="D3742" s="108">
        <v>0</v>
      </c>
      <c r="E3742" s="108">
        <v>2.4489999999999901</v>
      </c>
      <c r="F3742" s="108" t="s">
        <v>136</v>
      </c>
      <c r="G3742" s="108"/>
      <c r="H3742" s="108">
        <v>1</v>
      </c>
    </row>
    <row r="3743" spans="1:8" ht="14">
      <c r="A3743" s="108">
        <v>2021</v>
      </c>
      <c r="B3743" s="108">
        <v>53</v>
      </c>
      <c r="C3743" s="108" t="s">
        <v>139</v>
      </c>
      <c r="D3743" s="108">
        <v>0</v>
      </c>
      <c r="E3743" s="108">
        <v>4.0949999999999998</v>
      </c>
      <c r="F3743" s="108" t="s">
        <v>135</v>
      </c>
      <c r="G3743" s="108"/>
      <c r="H3743" s="108">
        <v>1</v>
      </c>
    </row>
    <row r="3744" spans="1:8" ht="14">
      <c r="A3744" s="108">
        <v>2021</v>
      </c>
      <c r="B3744" s="108">
        <v>54</v>
      </c>
      <c r="C3744" s="108" t="s">
        <v>30</v>
      </c>
      <c r="D3744" s="108">
        <v>4193.5383752640701</v>
      </c>
      <c r="E3744" s="108">
        <v>2473.4992963282598</v>
      </c>
      <c r="F3744" s="108" t="s">
        <v>136</v>
      </c>
      <c r="G3744" s="108"/>
      <c r="H3744" s="108">
        <v>1</v>
      </c>
    </row>
    <row r="3745" spans="1:8" ht="14">
      <c r="A3745" s="108">
        <v>2021</v>
      </c>
      <c r="B3745" s="108">
        <v>54</v>
      </c>
      <c r="C3745" s="108" t="s">
        <v>30</v>
      </c>
      <c r="D3745" s="108">
        <v>79.274624735922401</v>
      </c>
      <c r="E3745" s="108">
        <v>61.203703671731702</v>
      </c>
      <c r="F3745" s="108" t="s">
        <v>135</v>
      </c>
      <c r="G3745" s="108"/>
      <c r="H3745" s="108">
        <v>1</v>
      </c>
    </row>
    <row r="3746" spans="1:8" ht="14">
      <c r="A3746" s="108">
        <v>2021</v>
      </c>
      <c r="B3746" s="108">
        <v>54</v>
      </c>
      <c r="C3746" s="108" t="s">
        <v>138</v>
      </c>
      <c r="D3746" s="108">
        <v>2548.9614426866301</v>
      </c>
      <c r="E3746" s="108">
        <v>1672.8083886951099</v>
      </c>
      <c r="F3746" s="108" t="s">
        <v>136</v>
      </c>
      <c r="G3746" s="108"/>
      <c r="H3746" s="108">
        <v>1</v>
      </c>
    </row>
    <row r="3747" spans="1:8" ht="14">
      <c r="A3747" s="108">
        <v>2021</v>
      </c>
      <c r="B3747" s="108">
        <v>54</v>
      </c>
      <c r="C3747" s="108" t="s">
        <v>138</v>
      </c>
      <c r="D3747" s="108">
        <v>36.492557313364202</v>
      </c>
      <c r="E3747" s="108">
        <v>29.2306113048875</v>
      </c>
      <c r="F3747" s="108" t="s">
        <v>135</v>
      </c>
      <c r="G3747" s="108"/>
      <c r="H3747" s="108">
        <v>1</v>
      </c>
    </row>
    <row r="3748" spans="1:8" ht="14">
      <c r="A3748" s="108">
        <v>2021</v>
      </c>
      <c r="B3748" s="108">
        <v>54</v>
      </c>
      <c r="C3748" s="108" t="s">
        <v>139</v>
      </c>
      <c r="D3748" s="108">
        <v>42.7820674225581</v>
      </c>
      <c r="E3748" s="108">
        <v>31.973092366844199</v>
      </c>
      <c r="F3748" s="108" t="s">
        <v>135</v>
      </c>
      <c r="G3748" s="108"/>
      <c r="H3748" s="108">
        <v>1</v>
      </c>
    </row>
    <row r="3749" spans="1:8" ht="14">
      <c r="A3749" s="108">
        <v>2021</v>
      </c>
      <c r="B3749" s="108">
        <v>54</v>
      </c>
      <c r="C3749" s="108" t="s">
        <v>139</v>
      </c>
      <c r="D3749" s="108">
        <v>1644.5769325774399</v>
      </c>
      <c r="E3749" s="108">
        <v>800.69090763315501</v>
      </c>
      <c r="F3749" s="108" t="s">
        <v>136</v>
      </c>
      <c r="G3749" s="108"/>
      <c r="H3749" s="108">
        <v>1</v>
      </c>
    </row>
    <row r="3750" spans="1:8" ht="14">
      <c r="A3750" s="108">
        <v>2021</v>
      </c>
      <c r="B3750" s="108">
        <v>59</v>
      </c>
      <c r="C3750" s="108" t="s">
        <v>30</v>
      </c>
      <c r="D3750" s="108">
        <v>9.7657338528751893E-3</v>
      </c>
      <c r="E3750" s="108">
        <v>0.66759457575843795</v>
      </c>
      <c r="F3750" s="108" t="s">
        <v>135</v>
      </c>
      <c r="G3750" s="108"/>
      <c r="H3750" s="108">
        <v>1</v>
      </c>
    </row>
    <row r="3751" spans="1:8" ht="14">
      <c r="A3751" s="108">
        <v>2021</v>
      </c>
      <c r="B3751" s="108">
        <v>59</v>
      </c>
      <c r="C3751" s="108" t="s">
        <v>30</v>
      </c>
      <c r="D3751" s="108">
        <v>69.080234266147102</v>
      </c>
      <c r="E3751" s="108">
        <v>10.241405424241499</v>
      </c>
      <c r="F3751" s="108" t="s">
        <v>136</v>
      </c>
      <c r="G3751" s="108"/>
      <c r="H3751" s="108">
        <v>1</v>
      </c>
    </row>
    <row r="3752" spans="1:8" ht="14">
      <c r="A3752" s="108">
        <v>2021</v>
      </c>
      <c r="B3752" s="108">
        <v>59</v>
      </c>
      <c r="C3752" s="108" t="s">
        <v>138</v>
      </c>
      <c r="D3752" s="108">
        <v>2E-3</v>
      </c>
      <c r="E3752" s="108">
        <v>0.23369756097560901</v>
      </c>
      <c r="F3752" s="108" t="s">
        <v>135</v>
      </c>
      <c r="G3752" s="108"/>
      <c r="H3752" s="108">
        <v>1</v>
      </c>
    </row>
    <row r="3753" spans="1:8" ht="14">
      <c r="A3753" s="108">
        <v>2021</v>
      </c>
      <c r="B3753" s="108">
        <v>59</v>
      </c>
      <c r="C3753" s="108" t="s">
        <v>138</v>
      </c>
      <c r="D3753" s="108">
        <v>41.091000000000001</v>
      </c>
      <c r="E3753" s="108">
        <v>5.04830243902438</v>
      </c>
      <c r="F3753" s="108" t="s">
        <v>136</v>
      </c>
      <c r="G3753" s="108"/>
      <c r="H3753" s="108">
        <v>1</v>
      </c>
    </row>
    <row r="3754" spans="1:8" ht="14">
      <c r="A3754" s="108">
        <v>2021</v>
      </c>
      <c r="B3754" s="108">
        <v>59</v>
      </c>
      <c r="C3754" s="108" t="s">
        <v>139</v>
      </c>
      <c r="D3754" s="108">
        <v>27.989234266147101</v>
      </c>
      <c r="E3754" s="108">
        <v>5.1931029852171697</v>
      </c>
      <c r="F3754" s="108" t="s">
        <v>136</v>
      </c>
      <c r="G3754" s="108"/>
      <c r="H3754" s="108">
        <v>1</v>
      </c>
    </row>
    <row r="3755" spans="1:8" ht="14">
      <c r="A3755" s="108">
        <v>2021</v>
      </c>
      <c r="B3755" s="108">
        <v>59</v>
      </c>
      <c r="C3755" s="108" t="s">
        <v>139</v>
      </c>
      <c r="D3755" s="108">
        <v>7.7657338528751901E-3</v>
      </c>
      <c r="E3755" s="108">
        <v>0.43389701478282799</v>
      </c>
      <c r="F3755" s="108" t="s">
        <v>135</v>
      </c>
      <c r="G3755" s="108"/>
      <c r="H3755" s="108">
        <v>1</v>
      </c>
    </row>
    <row r="3756" spans="1:8" ht="14">
      <c r="A3756" s="108">
        <v>2021</v>
      </c>
      <c r="B3756" s="108">
        <v>61</v>
      </c>
      <c r="C3756" s="108" t="s">
        <v>30</v>
      </c>
      <c r="D3756" s="108">
        <v>28873.366722925399</v>
      </c>
      <c r="E3756" s="108">
        <v>2213.03145247058</v>
      </c>
      <c r="F3756" s="108" t="s">
        <v>136</v>
      </c>
      <c r="G3756" s="108"/>
      <c r="H3756" s="108">
        <v>1</v>
      </c>
    </row>
    <row r="3757" spans="1:8" ht="14">
      <c r="A3757" s="108">
        <v>2021</v>
      </c>
      <c r="B3757" s="108">
        <v>61</v>
      </c>
      <c r="C3757" s="108" t="s">
        <v>30</v>
      </c>
      <c r="D3757" s="108">
        <v>19970.541277074499</v>
      </c>
      <c r="E3757" s="108">
        <v>1293.6665475294101</v>
      </c>
      <c r="F3757" s="108" t="s">
        <v>135</v>
      </c>
      <c r="G3757" s="108"/>
      <c r="H3757" s="108">
        <v>1</v>
      </c>
    </row>
    <row r="3758" spans="1:8" ht="14">
      <c r="A3758" s="108">
        <v>2021</v>
      </c>
      <c r="B3758" s="108">
        <v>61</v>
      </c>
      <c r="C3758" s="108" t="s">
        <v>138</v>
      </c>
      <c r="D3758" s="108">
        <v>18886.492528211202</v>
      </c>
      <c r="E3758" s="108">
        <v>1120.86814933657</v>
      </c>
      <c r="F3758" s="108" t="s">
        <v>136</v>
      </c>
      <c r="G3758" s="108"/>
      <c r="H3758" s="108">
        <v>1</v>
      </c>
    </row>
    <row r="3759" spans="1:8" ht="14">
      <c r="A3759" s="108">
        <v>2021</v>
      </c>
      <c r="B3759" s="108">
        <v>61</v>
      </c>
      <c r="C3759" s="108" t="s">
        <v>138</v>
      </c>
      <c r="D3759" s="108">
        <v>9742.3984717887797</v>
      </c>
      <c r="E3759" s="108">
        <v>648.27085066342704</v>
      </c>
      <c r="F3759" s="108" t="s">
        <v>135</v>
      </c>
      <c r="G3759" s="108"/>
      <c r="H3759" s="108">
        <v>1</v>
      </c>
    </row>
    <row r="3760" spans="1:8" ht="14">
      <c r="A3760" s="108">
        <v>2021</v>
      </c>
      <c r="B3760" s="108">
        <v>61</v>
      </c>
      <c r="C3760" s="108" t="s">
        <v>139</v>
      </c>
      <c r="D3760" s="108">
        <v>9986.8741947142498</v>
      </c>
      <c r="E3760" s="108">
        <v>1092.16330313401</v>
      </c>
      <c r="F3760" s="108" t="s">
        <v>136</v>
      </c>
      <c r="G3760" s="108"/>
      <c r="H3760" s="108">
        <v>1</v>
      </c>
    </row>
    <row r="3761" spans="1:8" ht="14">
      <c r="A3761" s="108">
        <v>2021</v>
      </c>
      <c r="B3761" s="108">
        <v>61</v>
      </c>
      <c r="C3761" s="108" t="s">
        <v>139</v>
      </c>
      <c r="D3761" s="108">
        <v>10228.142805285701</v>
      </c>
      <c r="E3761" s="108">
        <v>645.39569686598497</v>
      </c>
      <c r="F3761" s="108" t="s">
        <v>135</v>
      </c>
      <c r="G3761" s="108"/>
      <c r="H3761" s="108">
        <v>1</v>
      </c>
    </row>
    <row r="3762" spans="1:8" ht="14">
      <c r="A3762" s="108">
        <v>2021</v>
      </c>
      <c r="B3762" s="108">
        <v>62</v>
      </c>
      <c r="C3762" s="108" t="s">
        <v>30</v>
      </c>
      <c r="D3762" s="108">
        <v>291.728351239669</v>
      </c>
      <c r="E3762" s="108">
        <v>25.156054054054</v>
      </c>
      <c r="F3762" s="108" t="s">
        <v>136</v>
      </c>
      <c r="G3762" s="108"/>
      <c r="H3762" s="108">
        <v>1</v>
      </c>
    </row>
    <row r="3763" spans="1:8" ht="14">
      <c r="A3763" s="108">
        <v>2021</v>
      </c>
      <c r="B3763" s="108">
        <v>62</v>
      </c>
      <c r="C3763" s="108" t="s">
        <v>30</v>
      </c>
      <c r="D3763" s="108">
        <v>8.2696487603305702</v>
      </c>
      <c r="E3763" s="108">
        <v>5.8869459459459401</v>
      </c>
      <c r="F3763" s="108" t="s">
        <v>135</v>
      </c>
      <c r="G3763" s="108"/>
      <c r="H3763" s="108">
        <v>1</v>
      </c>
    </row>
    <row r="3764" spans="1:8" ht="14">
      <c r="A3764" s="108">
        <v>2021</v>
      </c>
      <c r="B3764" s="108">
        <v>62</v>
      </c>
      <c r="C3764" s="108" t="s">
        <v>138</v>
      </c>
      <c r="D3764" s="108">
        <v>128.93535123966899</v>
      </c>
      <c r="E3764" s="108">
        <v>15.318054054054</v>
      </c>
      <c r="F3764" s="108" t="s">
        <v>136</v>
      </c>
      <c r="G3764" s="108"/>
      <c r="H3764" s="108">
        <v>1</v>
      </c>
    </row>
    <row r="3765" spans="1:8" ht="14">
      <c r="A3765" s="108">
        <v>2021</v>
      </c>
      <c r="B3765" s="108">
        <v>62</v>
      </c>
      <c r="C3765" s="108" t="s">
        <v>138</v>
      </c>
      <c r="D3765" s="108">
        <v>1.89864876033057</v>
      </c>
      <c r="E3765" s="108">
        <v>0.71894594594594596</v>
      </c>
      <c r="F3765" s="108" t="s">
        <v>135</v>
      </c>
      <c r="G3765" s="108"/>
      <c r="H3765" s="108">
        <v>1</v>
      </c>
    </row>
    <row r="3766" spans="1:8" ht="14">
      <c r="A3766" s="108">
        <v>2021</v>
      </c>
      <c r="B3766" s="108">
        <v>62</v>
      </c>
      <c r="C3766" s="108" t="s">
        <v>139</v>
      </c>
      <c r="D3766" s="108">
        <v>162.79300000000001</v>
      </c>
      <c r="E3766" s="108">
        <v>9.8379999999999992</v>
      </c>
      <c r="F3766" s="108" t="s">
        <v>136</v>
      </c>
      <c r="G3766" s="108"/>
      <c r="H3766" s="108">
        <v>1</v>
      </c>
    </row>
    <row r="3767" spans="1:8" ht="14">
      <c r="A3767" s="108">
        <v>2021</v>
      </c>
      <c r="B3767" s="108">
        <v>62</v>
      </c>
      <c r="C3767" s="108" t="s">
        <v>139</v>
      </c>
      <c r="D3767" s="108">
        <v>6.3710000000000004</v>
      </c>
      <c r="E3767" s="108">
        <v>5.1680000000000001</v>
      </c>
      <c r="F3767" s="108" t="s">
        <v>135</v>
      </c>
      <c r="G3767" s="108"/>
      <c r="H3767" s="108">
        <v>1</v>
      </c>
    </row>
    <row r="3768" spans="1:8" ht="14">
      <c r="A3768" s="108">
        <v>2021</v>
      </c>
      <c r="B3768" s="108">
        <v>63</v>
      </c>
      <c r="C3768" s="108" t="s">
        <v>30</v>
      </c>
      <c r="D3768" s="108">
        <v>9359.5854514802504</v>
      </c>
      <c r="E3768" s="108">
        <v>532.26722264924399</v>
      </c>
      <c r="F3768" s="108" t="s">
        <v>136</v>
      </c>
      <c r="G3768" s="108"/>
      <c r="H3768" s="108">
        <v>1</v>
      </c>
    </row>
    <row r="3769" spans="1:8" ht="14">
      <c r="A3769" s="108">
        <v>2021</v>
      </c>
      <c r="B3769" s="108">
        <v>63</v>
      </c>
      <c r="C3769" s="108" t="s">
        <v>30</v>
      </c>
      <c r="D3769" s="108">
        <v>41.610548519747802</v>
      </c>
      <c r="E3769" s="108">
        <v>10.163777350755799</v>
      </c>
      <c r="F3769" s="108" t="s">
        <v>135</v>
      </c>
      <c r="G3769" s="108"/>
      <c r="H3769" s="108">
        <v>1</v>
      </c>
    </row>
    <row r="3770" spans="1:8" ht="14">
      <c r="A3770" s="108">
        <v>2021</v>
      </c>
      <c r="B3770" s="108">
        <v>63</v>
      </c>
      <c r="C3770" s="108" t="s">
        <v>138</v>
      </c>
      <c r="D3770" s="108">
        <v>7155.5959999999995</v>
      </c>
      <c r="E3770" s="108">
        <v>278.058999999999</v>
      </c>
      <c r="F3770" s="108" t="s">
        <v>136</v>
      </c>
      <c r="G3770" s="108"/>
      <c r="H3770" s="108">
        <v>1</v>
      </c>
    </row>
    <row r="3771" spans="1:8" ht="14">
      <c r="A3771" s="108">
        <v>2021</v>
      </c>
      <c r="B3771" s="108">
        <v>63</v>
      </c>
      <c r="C3771" s="108" t="s">
        <v>138</v>
      </c>
      <c r="D3771" s="108">
        <v>17.5079999999999</v>
      </c>
      <c r="E3771" s="108">
        <v>3.9129999999999998</v>
      </c>
      <c r="F3771" s="108" t="s">
        <v>135</v>
      </c>
      <c r="G3771" s="108"/>
      <c r="H3771" s="108">
        <v>1</v>
      </c>
    </row>
    <row r="3772" spans="1:8" ht="14">
      <c r="A3772" s="108">
        <v>2021</v>
      </c>
      <c r="B3772" s="108">
        <v>63</v>
      </c>
      <c r="C3772" s="108" t="s">
        <v>139</v>
      </c>
      <c r="D3772" s="108">
        <v>2203.98945148025</v>
      </c>
      <c r="E3772" s="108">
        <v>254.20822264924399</v>
      </c>
      <c r="F3772" s="108" t="s">
        <v>136</v>
      </c>
      <c r="G3772" s="108"/>
      <c r="H3772" s="108">
        <v>1</v>
      </c>
    </row>
    <row r="3773" spans="1:8" ht="14">
      <c r="A3773" s="108">
        <v>2021</v>
      </c>
      <c r="B3773" s="108">
        <v>63</v>
      </c>
      <c r="C3773" s="108" t="s">
        <v>139</v>
      </c>
      <c r="D3773" s="108">
        <v>24.102548519747899</v>
      </c>
      <c r="E3773" s="108">
        <v>6.2507773507558202</v>
      </c>
      <c r="F3773" s="108" t="s">
        <v>135</v>
      </c>
      <c r="G3773" s="108"/>
      <c r="H3773" s="108">
        <v>1</v>
      </c>
    </row>
    <row r="3774" spans="1:8" ht="14">
      <c r="A3774" s="108">
        <v>2021</v>
      </c>
      <c r="B3774" s="108">
        <v>69</v>
      </c>
      <c r="C3774" s="108" t="s">
        <v>30</v>
      </c>
      <c r="D3774" s="108">
        <v>0.311893939393939</v>
      </c>
      <c r="E3774" s="108">
        <v>0.30889898989898901</v>
      </c>
      <c r="F3774" s="108" t="s">
        <v>135</v>
      </c>
      <c r="G3774" s="108"/>
      <c r="H3774" s="108">
        <v>1</v>
      </c>
    </row>
    <row r="3775" spans="1:8" ht="14">
      <c r="A3775" s="108">
        <v>2021</v>
      </c>
      <c r="B3775" s="108">
        <v>69</v>
      </c>
      <c r="C3775" s="108" t="s">
        <v>30</v>
      </c>
      <c r="D3775" s="108">
        <v>20.646106060606002</v>
      </c>
      <c r="E3775" s="108">
        <v>0.57410101010101</v>
      </c>
      <c r="F3775" s="108" t="s">
        <v>136</v>
      </c>
      <c r="G3775" s="108"/>
      <c r="H3775" s="108">
        <v>1</v>
      </c>
    </row>
    <row r="3776" spans="1:8" ht="14">
      <c r="A3776" s="108">
        <v>2021</v>
      </c>
      <c r="B3776" s="108">
        <v>69</v>
      </c>
      <c r="C3776" s="108" t="s">
        <v>138</v>
      </c>
      <c r="D3776" s="108">
        <v>7.68</v>
      </c>
      <c r="E3776" s="108">
        <v>0.14299999999999999</v>
      </c>
      <c r="F3776" s="108" t="s">
        <v>136</v>
      </c>
      <c r="G3776" s="108"/>
      <c r="H3776" s="108">
        <v>1</v>
      </c>
    </row>
    <row r="3777" spans="1:8" ht="14">
      <c r="A3777" s="108">
        <v>2021</v>
      </c>
      <c r="B3777" s="108">
        <v>69</v>
      </c>
      <c r="C3777" s="108" t="s">
        <v>138</v>
      </c>
      <c r="D3777" s="108">
        <v>9.4E-2</v>
      </c>
      <c r="E3777" s="108">
        <v>9.1999999999999998E-2</v>
      </c>
      <c r="F3777" s="108" t="s">
        <v>135</v>
      </c>
      <c r="G3777" s="108"/>
      <c r="H3777" s="108">
        <v>1</v>
      </c>
    </row>
    <row r="3778" spans="1:8" ht="14">
      <c r="A3778" s="108">
        <v>2021</v>
      </c>
      <c r="B3778" s="108">
        <v>69</v>
      </c>
      <c r="C3778" s="108" t="s">
        <v>139</v>
      </c>
      <c r="D3778" s="108">
        <v>12.966106060606</v>
      </c>
      <c r="E3778" s="108">
        <v>0.43110101010100998</v>
      </c>
      <c r="F3778" s="108" t="s">
        <v>136</v>
      </c>
      <c r="G3778" s="108"/>
      <c r="H3778" s="108">
        <v>1</v>
      </c>
    </row>
    <row r="3779" spans="1:8" ht="14">
      <c r="A3779" s="108">
        <v>2021</v>
      </c>
      <c r="B3779" s="108">
        <v>69</v>
      </c>
      <c r="C3779" s="108" t="s">
        <v>139</v>
      </c>
      <c r="D3779" s="108">
        <v>0.217893939393939</v>
      </c>
      <c r="E3779" s="108">
        <v>0.21689898989898901</v>
      </c>
      <c r="F3779" s="108" t="s">
        <v>135</v>
      </c>
      <c r="G3779" s="108"/>
      <c r="H3779" s="108">
        <v>1</v>
      </c>
    </row>
    <row r="3780" spans="1:8" ht="14">
      <c r="A3780" s="108">
        <v>2021</v>
      </c>
      <c r="B3780" s="108">
        <v>91</v>
      </c>
      <c r="C3780" s="108" t="s">
        <v>30</v>
      </c>
      <c r="D3780" s="108">
        <v>5496.3963504658896</v>
      </c>
      <c r="E3780" s="108">
        <v>0</v>
      </c>
      <c r="F3780" s="108" t="s">
        <v>136</v>
      </c>
      <c r="G3780" s="108"/>
      <c r="H3780" s="108">
        <v>1</v>
      </c>
    </row>
    <row r="3781" spans="1:8" ht="14">
      <c r="A3781" s="108">
        <v>2021</v>
      </c>
      <c r="B3781" s="108">
        <v>91</v>
      </c>
      <c r="C3781" s="108" t="s">
        <v>30</v>
      </c>
      <c r="D3781" s="108">
        <v>102.65900000000001</v>
      </c>
      <c r="E3781" s="108">
        <v>0</v>
      </c>
      <c r="F3781" s="108" t="s">
        <v>137</v>
      </c>
      <c r="G3781" s="108"/>
      <c r="H3781" s="108">
        <v>1</v>
      </c>
    </row>
    <row r="3782" spans="1:8" ht="14">
      <c r="A3782" s="108">
        <v>2021</v>
      </c>
      <c r="B3782" s="108">
        <v>91</v>
      </c>
      <c r="C3782" s="108" t="s">
        <v>30</v>
      </c>
      <c r="D3782" s="108">
        <v>50.030649534107198</v>
      </c>
      <c r="E3782" s="108">
        <v>0</v>
      </c>
      <c r="F3782" s="108" t="s">
        <v>135</v>
      </c>
      <c r="G3782" s="108"/>
      <c r="H3782" s="108">
        <v>1</v>
      </c>
    </row>
    <row r="3783" spans="1:8" ht="14">
      <c r="A3783" s="108">
        <v>2021</v>
      </c>
      <c r="B3783" s="108">
        <v>91</v>
      </c>
      <c r="C3783" s="108" t="s">
        <v>138</v>
      </c>
      <c r="D3783" s="108">
        <v>5455.5123504658904</v>
      </c>
      <c r="E3783" s="108">
        <v>0</v>
      </c>
      <c r="F3783" s="108" t="s">
        <v>136</v>
      </c>
      <c r="G3783" s="108"/>
      <c r="H3783" s="108">
        <v>1</v>
      </c>
    </row>
    <row r="3784" spans="1:8" ht="14">
      <c r="A3784" s="108">
        <v>2021</v>
      </c>
      <c r="B3784" s="108">
        <v>91</v>
      </c>
      <c r="C3784" s="108" t="s">
        <v>138</v>
      </c>
      <c r="D3784" s="108">
        <v>43.126649534107202</v>
      </c>
      <c r="E3784" s="108">
        <v>0</v>
      </c>
      <c r="F3784" s="108" t="s">
        <v>135</v>
      </c>
      <c r="G3784" s="108"/>
      <c r="H3784" s="108">
        <v>1</v>
      </c>
    </row>
    <row r="3785" spans="1:8" ht="14">
      <c r="A3785" s="108">
        <v>2021</v>
      </c>
      <c r="B3785" s="108">
        <v>91</v>
      </c>
      <c r="C3785" s="108" t="s">
        <v>138</v>
      </c>
      <c r="D3785" s="108">
        <v>102.65900000000001</v>
      </c>
      <c r="E3785" s="108">
        <v>0</v>
      </c>
      <c r="F3785" s="108" t="s">
        <v>137</v>
      </c>
      <c r="G3785" s="108"/>
      <c r="H3785" s="108">
        <v>1</v>
      </c>
    </row>
    <row r="3786" spans="1:8" ht="14">
      <c r="A3786" s="108">
        <v>2021</v>
      </c>
      <c r="B3786" s="108">
        <v>91</v>
      </c>
      <c r="C3786" s="108" t="s">
        <v>139</v>
      </c>
      <c r="D3786" s="108">
        <v>40.884</v>
      </c>
      <c r="E3786" s="108">
        <v>0</v>
      </c>
      <c r="F3786" s="108" t="s">
        <v>136</v>
      </c>
      <c r="G3786" s="108"/>
      <c r="H3786" s="108">
        <v>1</v>
      </c>
    </row>
    <row r="3787" spans="1:8" ht="14">
      <c r="A3787" s="108">
        <v>2021</v>
      </c>
      <c r="B3787" s="108">
        <v>91</v>
      </c>
      <c r="C3787" s="108" t="s">
        <v>139</v>
      </c>
      <c r="D3787" s="108">
        <v>6.9039999999999901</v>
      </c>
      <c r="E3787" s="108">
        <v>0</v>
      </c>
      <c r="F3787" s="108" t="s">
        <v>135</v>
      </c>
      <c r="G3787" s="108"/>
      <c r="H3787" s="108">
        <v>1</v>
      </c>
    </row>
    <row r="3788" spans="1:8" ht="14">
      <c r="A3788" s="108">
        <v>2021</v>
      </c>
      <c r="B3788" s="108">
        <v>92</v>
      </c>
      <c r="C3788" s="108" t="s">
        <v>30</v>
      </c>
      <c r="D3788" s="108">
        <v>6235.2104938093898</v>
      </c>
      <c r="E3788" s="108">
        <v>0</v>
      </c>
      <c r="F3788" s="108" t="s">
        <v>136</v>
      </c>
      <c r="G3788" s="108"/>
      <c r="H3788" s="108">
        <v>1</v>
      </c>
    </row>
    <row r="3789" spans="1:8" ht="14">
      <c r="A3789" s="108">
        <v>2021</v>
      </c>
      <c r="B3789" s="108">
        <v>92</v>
      </c>
      <c r="C3789" s="108" t="s">
        <v>30</v>
      </c>
      <c r="D3789" s="108">
        <v>393.29450619060498</v>
      </c>
      <c r="E3789" s="108">
        <v>0</v>
      </c>
      <c r="F3789" s="108" t="s">
        <v>135</v>
      </c>
      <c r="G3789" s="108"/>
      <c r="H3789" s="108">
        <v>1</v>
      </c>
    </row>
    <row r="3790" spans="1:8" ht="14">
      <c r="A3790" s="108">
        <v>2021</v>
      </c>
      <c r="B3790" s="108">
        <v>92</v>
      </c>
      <c r="C3790" s="108" t="s">
        <v>138</v>
      </c>
      <c r="D3790" s="108">
        <v>188.06136051962301</v>
      </c>
      <c r="E3790" s="108">
        <v>0</v>
      </c>
      <c r="F3790" s="108" t="s">
        <v>135</v>
      </c>
      <c r="G3790" s="108"/>
      <c r="H3790" s="108">
        <v>1</v>
      </c>
    </row>
    <row r="3791" spans="1:8" ht="14">
      <c r="A3791" s="108">
        <v>2021</v>
      </c>
      <c r="B3791" s="108">
        <v>92</v>
      </c>
      <c r="C3791" s="108" t="s">
        <v>138</v>
      </c>
      <c r="D3791" s="108">
        <v>4816.3836394803702</v>
      </c>
      <c r="E3791" s="108">
        <v>0</v>
      </c>
      <c r="F3791" s="108" t="s">
        <v>136</v>
      </c>
      <c r="G3791" s="108"/>
      <c r="H3791" s="108">
        <v>1</v>
      </c>
    </row>
    <row r="3792" spans="1:8" ht="14">
      <c r="A3792" s="108">
        <v>2021</v>
      </c>
      <c r="B3792" s="108">
        <v>92</v>
      </c>
      <c r="C3792" s="108" t="s">
        <v>139</v>
      </c>
      <c r="D3792" s="108">
        <v>1418.8268543290101</v>
      </c>
      <c r="E3792" s="108">
        <v>0</v>
      </c>
      <c r="F3792" s="108" t="s">
        <v>136</v>
      </c>
      <c r="G3792" s="108"/>
      <c r="H3792" s="108">
        <v>1</v>
      </c>
    </row>
    <row r="3793" spans="1:8" ht="14">
      <c r="A3793" s="108">
        <v>2021</v>
      </c>
      <c r="B3793" s="108">
        <v>92</v>
      </c>
      <c r="C3793" s="108" t="s">
        <v>139</v>
      </c>
      <c r="D3793" s="108">
        <v>205.233145670981</v>
      </c>
      <c r="E3793" s="108">
        <v>0</v>
      </c>
      <c r="F3793" s="108" t="s">
        <v>135</v>
      </c>
      <c r="G3793" s="108"/>
      <c r="H3793" s="108">
        <v>1</v>
      </c>
    </row>
    <row r="3794" spans="1:8" ht="14">
      <c r="A3794" s="108">
        <v>2021</v>
      </c>
      <c r="B3794" s="108">
        <v>99</v>
      </c>
      <c r="C3794" s="108" t="s">
        <v>30</v>
      </c>
      <c r="D3794" s="108">
        <v>2047.3707697191801</v>
      </c>
      <c r="E3794" s="108">
        <v>0</v>
      </c>
      <c r="F3794" s="108" t="s">
        <v>135</v>
      </c>
      <c r="G3794" s="108"/>
      <c r="H3794" s="108">
        <v>1</v>
      </c>
    </row>
    <row r="3795" spans="1:8" ht="14">
      <c r="A3795" s="108">
        <v>2021</v>
      </c>
      <c r="B3795" s="108">
        <v>99</v>
      </c>
      <c r="C3795" s="108" t="s">
        <v>30</v>
      </c>
      <c r="D3795" s="108">
        <v>0.25547523922327398</v>
      </c>
      <c r="E3795" s="108">
        <v>0</v>
      </c>
      <c r="F3795" s="108" t="s">
        <v>137</v>
      </c>
      <c r="G3795" s="108"/>
      <c r="H3795" s="108">
        <v>1</v>
      </c>
    </row>
    <row r="3796" spans="1:8" ht="14">
      <c r="A3796" s="108">
        <v>2021</v>
      </c>
      <c r="B3796" s="108">
        <v>99</v>
      </c>
      <c r="C3796" s="108" t="s">
        <v>30</v>
      </c>
      <c r="D3796" s="108">
        <v>4030.8777550415898</v>
      </c>
      <c r="E3796" s="108">
        <v>0</v>
      </c>
      <c r="F3796" s="108" t="s">
        <v>136</v>
      </c>
      <c r="G3796" s="108"/>
      <c r="H3796" s="108">
        <v>1</v>
      </c>
    </row>
    <row r="3797" spans="1:8" ht="14">
      <c r="A3797" s="108">
        <v>2021</v>
      </c>
      <c r="B3797" s="108">
        <v>99</v>
      </c>
      <c r="C3797" s="108" t="s">
        <v>138</v>
      </c>
      <c r="D3797" s="108">
        <v>0.22842895683956599</v>
      </c>
      <c r="E3797" s="108">
        <v>0</v>
      </c>
      <c r="F3797" s="108" t="s">
        <v>137</v>
      </c>
      <c r="G3797" s="108"/>
      <c r="H3797" s="108">
        <v>1</v>
      </c>
    </row>
    <row r="3798" spans="1:8" ht="14">
      <c r="A3798" s="108">
        <v>2021</v>
      </c>
      <c r="B3798" s="108">
        <v>99</v>
      </c>
      <c r="C3798" s="108" t="s">
        <v>138</v>
      </c>
      <c r="D3798" s="108">
        <v>2404.99761426449</v>
      </c>
      <c r="E3798" s="108">
        <v>0</v>
      </c>
      <c r="F3798" s="108" t="s">
        <v>136</v>
      </c>
      <c r="G3798" s="108"/>
      <c r="H3798" s="108">
        <v>1</v>
      </c>
    </row>
    <row r="3799" spans="1:8" ht="14">
      <c r="A3799" s="108">
        <v>2021</v>
      </c>
      <c r="B3799" s="108">
        <v>99</v>
      </c>
      <c r="C3799" s="108" t="s">
        <v>138</v>
      </c>
      <c r="D3799" s="108">
        <v>767.87995677866604</v>
      </c>
      <c r="E3799" s="108">
        <v>0</v>
      </c>
      <c r="F3799" s="108" t="s">
        <v>135</v>
      </c>
      <c r="G3799" s="108"/>
      <c r="H3799" s="108">
        <v>1</v>
      </c>
    </row>
    <row r="3800" spans="1:8" ht="14">
      <c r="A3800" s="108">
        <v>2021</v>
      </c>
      <c r="B3800" s="108">
        <v>99</v>
      </c>
      <c r="C3800" s="108" t="s">
        <v>139</v>
      </c>
      <c r="D3800" s="108">
        <v>2.7046282383708299E-2</v>
      </c>
      <c r="E3800" s="108">
        <v>0</v>
      </c>
      <c r="F3800" s="108" t="s">
        <v>137</v>
      </c>
      <c r="G3800" s="108"/>
      <c r="H3800" s="108">
        <v>1</v>
      </c>
    </row>
    <row r="3801" spans="1:8" ht="14">
      <c r="A3801" s="108">
        <v>2021</v>
      </c>
      <c r="B3801" s="108">
        <v>99</v>
      </c>
      <c r="C3801" s="108" t="s">
        <v>139</v>
      </c>
      <c r="D3801" s="108">
        <v>1625.88014077709</v>
      </c>
      <c r="E3801" s="108">
        <v>0</v>
      </c>
      <c r="F3801" s="108" t="s">
        <v>136</v>
      </c>
      <c r="G3801" s="108"/>
      <c r="H3801" s="108">
        <v>1</v>
      </c>
    </row>
    <row r="3802" spans="1:8" ht="14">
      <c r="A3802" s="108">
        <v>2021</v>
      </c>
      <c r="B3802" s="108">
        <v>99</v>
      </c>
      <c r="C3802" s="108" t="s">
        <v>139</v>
      </c>
      <c r="D3802" s="108">
        <v>1279.4908129405101</v>
      </c>
      <c r="E3802" s="108">
        <v>0</v>
      </c>
      <c r="F3802" s="108" t="s">
        <v>135</v>
      </c>
      <c r="G3802" s="108"/>
      <c r="H3802" s="108">
        <v>1</v>
      </c>
    </row>
    <row r="3803" spans="1:8" ht="14">
      <c r="A3803" s="108">
        <v>2022</v>
      </c>
      <c r="B3803" s="108">
        <v>11</v>
      </c>
      <c r="C3803" s="108" t="s">
        <v>30</v>
      </c>
      <c r="D3803" s="108">
        <v>764.01463260860601</v>
      </c>
      <c r="E3803" s="108">
        <v>0</v>
      </c>
      <c r="F3803" s="108" t="s">
        <v>135</v>
      </c>
      <c r="G3803" s="108"/>
      <c r="H3803" s="108">
        <v>1</v>
      </c>
    </row>
    <row r="3804" spans="1:8" ht="14">
      <c r="A3804" s="108">
        <v>2022</v>
      </c>
      <c r="B3804" s="108">
        <v>11</v>
      </c>
      <c r="C3804" s="108" t="s">
        <v>30</v>
      </c>
      <c r="D3804" s="108">
        <v>21497.3223673914</v>
      </c>
      <c r="E3804" s="108">
        <v>0</v>
      </c>
      <c r="F3804" s="108" t="s">
        <v>136</v>
      </c>
      <c r="G3804" s="108"/>
      <c r="H3804" s="108">
        <v>1</v>
      </c>
    </row>
    <row r="3805" spans="1:8" ht="14">
      <c r="A3805" s="108">
        <v>2022</v>
      </c>
      <c r="B3805" s="108">
        <v>11</v>
      </c>
      <c r="C3805" s="108" t="s">
        <v>138</v>
      </c>
      <c r="D3805" s="108">
        <v>18370.3579431047</v>
      </c>
      <c r="E3805" s="108">
        <v>0</v>
      </c>
      <c r="F3805" s="108" t="s">
        <v>136</v>
      </c>
      <c r="G3805" s="108"/>
      <c r="H3805" s="108">
        <v>1</v>
      </c>
    </row>
    <row r="3806" spans="1:8" ht="14">
      <c r="A3806" s="108">
        <v>2022</v>
      </c>
      <c r="B3806" s="108">
        <v>11</v>
      </c>
      <c r="C3806" s="108" t="s">
        <v>138</v>
      </c>
      <c r="D3806" s="108">
        <v>463.17205689528799</v>
      </c>
      <c r="E3806" s="108">
        <v>0</v>
      </c>
      <c r="F3806" s="108" t="s">
        <v>135</v>
      </c>
      <c r="G3806" s="108"/>
      <c r="H3806" s="108">
        <v>1</v>
      </c>
    </row>
    <row r="3807" spans="1:8" ht="14">
      <c r="A3807" s="108">
        <v>2022</v>
      </c>
      <c r="B3807" s="108">
        <v>11</v>
      </c>
      <c r="C3807" s="108" t="s">
        <v>139</v>
      </c>
      <c r="D3807" s="108">
        <v>300.84257571331699</v>
      </c>
      <c r="E3807" s="108">
        <v>0</v>
      </c>
      <c r="F3807" s="108" t="s">
        <v>135</v>
      </c>
      <c r="G3807" s="108"/>
      <c r="H3807" s="108">
        <v>1</v>
      </c>
    </row>
    <row r="3808" spans="1:8" ht="14">
      <c r="A3808" s="108">
        <v>2022</v>
      </c>
      <c r="B3808" s="108">
        <v>11</v>
      </c>
      <c r="C3808" s="108" t="s">
        <v>139</v>
      </c>
      <c r="D3808" s="108">
        <v>3126.9644242866798</v>
      </c>
      <c r="E3808" s="108">
        <v>0</v>
      </c>
      <c r="F3808" s="108" t="s">
        <v>136</v>
      </c>
      <c r="G3808" s="108"/>
      <c r="H3808" s="108">
        <v>1</v>
      </c>
    </row>
    <row r="3809" spans="1:8" ht="14">
      <c r="A3809" s="108">
        <v>2022</v>
      </c>
      <c r="B3809" s="108">
        <v>12</v>
      </c>
      <c r="C3809" s="108" t="s">
        <v>30</v>
      </c>
      <c r="D3809" s="108">
        <v>63020.515926227898</v>
      </c>
      <c r="E3809" s="108">
        <v>0</v>
      </c>
      <c r="F3809" s="108" t="s">
        <v>136</v>
      </c>
      <c r="G3809" s="108"/>
      <c r="H3809" s="108">
        <v>1</v>
      </c>
    </row>
    <row r="3810" spans="1:8" ht="14">
      <c r="A3810" s="108">
        <v>2022</v>
      </c>
      <c r="B3810" s="108">
        <v>12</v>
      </c>
      <c r="C3810" s="108" t="s">
        <v>30</v>
      </c>
      <c r="D3810" s="108">
        <v>90.5269452498937</v>
      </c>
      <c r="E3810" s="108">
        <v>0</v>
      </c>
      <c r="F3810" s="108" t="s">
        <v>137</v>
      </c>
      <c r="G3810" s="108"/>
      <c r="H3810" s="108">
        <v>1</v>
      </c>
    </row>
    <row r="3811" spans="1:8" ht="14">
      <c r="A3811" s="108">
        <v>2022</v>
      </c>
      <c r="B3811" s="108">
        <v>12</v>
      </c>
      <c r="C3811" s="108" t="s">
        <v>30</v>
      </c>
      <c r="D3811" s="108">
        <v>15405.6951285221</v>
      </c>
      <c r="E3811" s="108">
        <v>0</v>
      </c>
      <c r="F3811" s="108" t="s">
        <v>135</v>
      </c>
      <c r="G3811" s="108"/>
      <c r="H3811" s="108">
        <v>1</v>
      </c>
    </row>
    <row r="3812" spans="1:8" ht="14">
      <c r="A3812" s="108">
        <v>2022</v>
      </c>
      <c r="B3812" s="108">
        <v>12</v>
      </c>
      <c r="C3812" s="108" t="s">
        <v>138</v>
      </c>
      <c r="D3812" s="108">
        <v>39964.637700201703</v>
      </c>
      <c r="E3812" s="108">
        <v>0</v>
      </c>
      <c r="F3812" s="108" t="s">
        <v>136</v>
      </c>
      <c r="G3812" s="108"/>
      <c r="H3812" s="108">
        <v>1</v>
      </c>
    </row>
    <row r="3813" spans="1:8" ht="14">
      <c r="A3813" s="108">
        <v>2022</v>
      </c>
      <c r="B3813" s="108">
        <v>12</v>
      </c>
      <c r="C3813" s="108" t="s">
        <v>138</v>
      </c>
      <c r="D3813" s="108">
        <v>90.5269452498937</v>
      </c>
      <c r="E3813" s="108">
        <v>0</v>
      </c>
      <c r="F3813" s="108" t="s">
        <v>137</v>
      </c>
      <c r="G3813" s="108"/>
      <c r="H3813" s="108">
        <v>1</v>
      </c>
    </row>
    <row r="3814" spans="1:8" ht="14">
      <c r="A3814" s="108">
        <v>2022</v>
      </c>
      <c r="B3814" s="108">
        <v>12</v>
      </c>
      <c r="C3814" s="108" t="s">
        <v>138</v>
      </c>
      <c r="D3814" s="108">
        <v>8404.8303545483795</v>
      </c>
      <c r="E3814" s="108">
        <v>0</v>
      </c>
      <c r="F3814" s="108" t="s">
        <v>135</v>
      </c>
      <c r="G3814" s="108"/>
      <c r="H3814" s="108">
        <v>1</v>
      </c>
    </row>
    <row r="3815" spans="1:8" ht="14">
      <c r="A3815" s="108">
        <v>2022</v>
      </c>
      <c r="B3815" s="108">
        <v>12</v>
      </c>
      <c r="C3815" s="108" t="s">
        <v>139</v>
      </c>
      <c r="D3815" s="108">
        <v>23055.878226026201</v>
      </c>
      <c r="E3815" s="108">
        <v>0</v>
      </c>
      <c r="F3815" s="108" t="s">
        <v>136</v>
      </c>
      <c r="G3815" s="108"/>
      <c r="H3815" s="108">
        <v>1</v>
      </c>
    </row>
    <row r="3816" spans="1:8" ht="14">
      <c r="A3816" s="108">
        <v>2022</v>
      </c>
      <c r="B3816" s="108">
        <v>12</v>
      </c>
      <c r="C3816" s="108" t="s">
        <v>139</v>
      </c>
      <c r="D3816" s="108">
        <v>7000.8647739737498</v>
      </c>
      <c r="E3816" s="108">
        <v>0</v>
      </c>
      <c r="F3816" s="108" t="s">
        <v>135</v>
      </c>
      <c r="G3816" s="108"/>
      <c r="H3816" s="108">
        <v>1</v>
      </c>
    </row>
    <row r="3817" spans="1:8" ht="14">
      <c r="A3817" s="108">
        <v>2022</v>
      </c>
      <c r="B3817" s="108">
        <v>13</v>
      </c>
      <c r="C3817" s="108" t="s">
        <v>30</v>
      </c>
      <c r="D3817" s="108">
        <v>53713.704676287598</v>
      </c>
      <c r="E3817" s="108">
        <v>0</v>
      </c>
      <c r="F3817" s="108" t="s">
        <v>136</v>
      </c>
      <c r="G3817" s="108"/>
      <c r="H3817" s="108">
        <v>1</v>
      </c>
    </row>
    <row r="3818" spans="1:8" ht="14">
      <c r="A3818" s="108">
        <v>2022</v>
      </c>
      <c r="B3818" s="108">
        <v>13</v>
      </c>
      <c r="C3818" s="108" t="s">
        <v>30</v>
      </c>
      <c r="D3818" s="108">
        <v>16747.6533237123</v>
      </c>
      <c r="E3818" s="108">
        <v>0</v>
      </c>
      <c r="F3818" s="108" t="s">
        <v>135</v>
      </c>
      <c r="G3818" s="108"/>
      <c r="H3818" s="108">
        <v>1</v>
      </c>
    </row>
    <row r="3819" spans="1:8" ht="14">
      <c r="A3819" s="108">
        <v>2022</v>
      </c>
      <c r="B3819" s="108">
        <v>13</v>
      </c>
      <c r="C3819" s="108" t="s">
        <v>138</v>
      </c>
      <c r="D3819" s="108">
        <v>31948.8937269526</v>
      </c>
      <c r="E3819" s="108">
        <v>0</v>
      </c>
      <c r="F3819" s="108" t="s">
        <v>136</v>
      </c>
      <c r="G3819" s="108"/>
      <c r="H3819" s="108">
        <v>1</v>
      </c>
    </row>
    <row r="3820" spans="1:8" ht="14">
      <c r="A3820" s="108">
        <v>2022</v>
      </c>
      <c r="B3820" s="108">
        <v>13</v>
      </c>
      <c r="C3820" s="108" t="s">
        <v>138</v>
      </c>
      <c r="D3820" s="108">
        <v>8098.3192730474102</v>
      </c>
      <c r="E3820" s="108">
        <v>0</v>
      </c>
      <c r="F3820" s="108" t="s">
        <v>135</v>
      </c>
      <c r="G3820" s="108"/>
      <c r="H3820" s="108">
        <v>1</v>
      </c>
    </row>
    <row r="3821" spans="1:8" ht="14">
      <c r="A3821" s="108">
        <v>2022</v>
      </c>
      <c r="B3821" s="108">
        <v>13</v>
      </c>
      <c r="C3821" s="108" t="s">
        <v>139</v>
      </c>
      <c r="D3821" s="108">
        <v>8649.3340506649001</v>
      </c>
      <c r="E3821" s="108">
        <v>0</v>
      </c>
      <c r="F3821" s="108" t="s">
        <v>135</v>
      </c>
      <c r="G3821" s="108"/>
      <c r="H3821" s="108">
        <v>1</v>
      </c>
    </row>
    <row r="3822" spans="1:8" ht="14">
      <c r="A3822" s="108">
        <v>2022</v>
      </c>
      <c r="B3822" s="108">
        <v>13</v>
      </c>
      <c r="C3822" s="108" t="s">
        <v>139</v>
      </c>
      <c r="D3822" s="108">
        <v>21764.810949334998</v>
      </c>
      <c r="E3822" s="108">
        <v>0</v>
      </c>
      <c r="F3822" s="108" t="s">
        <v>136</v>
      </c>
      <c r="G3822" s="108"/>
      <c r="H3822" s="108">
        <v>1</v>
      </c>
    </row>
    <row r="3823" spans="1:8" ht="14">
      <c r="A3823" s="108">
        <v>2022</v>
      </c>
      <c r="B3823" s="108">
        <v>19</v>
      </c>
      <c r="C3823" s="108" t="s">
        <v>30</v>
      </c>
      <c r="D3823" s="108">
        <v>7446.5003020613303</v>
      </c>
      <c r="E3823" s="108">
        <v>0</v>
      </c>
      <c r="F3823" s="108" t="s">
        <v>136</v>
      </c>
      <c r="G3823" s="108"/>
      <c r="H3823" s="108">
        <v>1</v>
      </c>
    </row>
    <row r="3824" spans="1:8" ht="14">
      <c r="A3824" s="108">
        <v>2022</v>
      </c>
      <c r="B3824" s="108">
        <v>19</v>
      </c>
      <c r="C3824" s="108" t="s">
        <v>30</v>
      </c>
      <c r="D3824" s="108">
        <v>1340.45469793866</v>
      </c>
      <c r="E3824" s="108">
        <v>0</v>
      </c>
      <c r="F3824" s="108" t="s">
        <v>135</v>
      </c>
      <c r="G3824" s="108"/>
      <c r="H3824" s="108">
        <v>1</v>
      </c>
    </row>
    <row r="3825" spans="1:8" ht="14">
      <c r="A3825" s="108">
        <v>2022</v>
      </c>
      <c r="B3825" s="108">
        <v>19</v>
      </c>
      <c r="C3825" s="108" t="s">
        <v>138</v>
      </c>
      <c r="D3825" s="108">
        <v>5807.5017816300797</v>
      </c>
      <c r="E3825" s="108">
        <v>0</v>
      </c>
      <c r="F3825" s="108" t="s">
        <v>136</v>
      </c>
      <c r="G3825" s="108"/>
      <c r="H3825" s="108">
        <v>1</v>
      </c>
    </row>
    <row r="3826" spans="1:8" ht="14">
      <c r="A3826" s="108">
        <v>2022</v>
      </c>
      <c r="B3826" s="108">
        <v>19</v>
      </c>
      <c r="C3826" s="108" t="s">
        <v>138</v>
      </c>
      <c r="D3826" s="108">
        <v>550.54821836991403</v>
      </c>
      <c r="E3826" s="108">
        <v>0</v>
      </c>
      <c r="F3826" s="108" t="s">
        <v>135</v>
      </c>
      <c r="G3826" s="108"/>
      <c r="H3826" s="108">
        <v>1</v>
      </c>
    </row>
    <row r="3827" spans="1:8" ht="14">
      <c r="A3827" s="108">
        <v>2022</v>
      </c>
      <c r="B3827" s="108">
        <v>19</v>
      </c>
      <c r="C3827" s="108" t="s">
        <v>139</v>
      </c>
      <c r="D3827" s="108">
        <v>1638.99852043124</v>
      </c>
      <c r="E3827" s="108">
        <v>0</v>
      </c>
      <c r="F3827" s="108" t="s">
        <v>136</v>
      </c>
      <c r="G3827" s="108"/>
      <c r="H3827" s="108">
        <v>1</v>
      </c>
    </row>
    <row r="3828" spans="1:8" ht="14">
      <c r="A3828" s="108">
        <v>2022</v>
      </c>
      <c r="B3828" s="108">
        <v>19</v>
      </c>
      <c r="C3828" s="108" t="s">
        <v>139</v>
      </c>
      <c r="D3828" s="108">
        <v>789.90647956875205</v>
      </c>
      <c r="E3828" s="108">
        <v>0</v>
      </c>
      <c r="F3828" s="108" t="s">
        <v>135</v>
      </c>
      <c r="G3828" s="108"/>
      <c r="H3828" s="108">
        <v>1</v>
      </c>
    </row>
    <row r="3829" spans="1:8" ht="14">
      <c r="A3829" s="108">
        <v>2022</v>
      </c>
      <c r="B3829" s="108">
        <v>21</v>
      </c>
      <c r="C3829" s="108" t="s">
        <v>30</v>
      </c>
      <c r="D3829" s="108">
        <v>14643.6153253517</v>
      </c>
      <c r="E3829" s="108">
        <v>0</v>
      </c>
      <c r="F3829" s="108" t="s">
        <v>136</v>
      </c>
      <c r="G3829" s="108"/>
      <c r="H3829" s="108">
        <v>1</v>
      </c>
    </row>
    <row r="3830" spans="1:8" ht="14">
      <c r="A3830" s="108">
        <v>2022</v>
      </c>
      <c r="B3830" s="108">
        <v>21</v>
      </c>
      <c r="C3830" s="108" t="s">
        <v>30</v>
      </c>
      <c r="D3830" s="108">
        <v>549.16467464826701</v>
      </c>
      <c r="E3830" s="108">
        <v>0</v>
      </c>
      <c r="F3830" s="108" t="s">
        <v>135</v>
      </c>
      <c r="G3830" s="108"/>
      <c r="H3830" s="108">
        <v>1</v>
      </c>
    </row>
    <row r="3831" spans="1:8" ht="14">
      <c r="A3831" s="108">
        <v>2022</v>
      </c>
      <c r="B3831" s="108">
        <v>21</v>
      </c>
      <c r="C3831" s="108" t="s">
        <v>138</v>
      </c>
      <c r="D3831" s="108">
        <v>9093.0812932054505</v>
      </c>
      <c r="E3831" s="108">
        <v>0</v>
      </c>
      <c r="F3831" s="108" t="s">
        <v>136</v>
      </c>
      <c r="G3831" s="108"/>
      <c r="H3831" s="108">
        <v>1</v>
      </c>
    </row>
    <row r="3832" spans="1:8" ht="14">
      <c r="A3832" s="108">
        <v>2022</v>
      </c>
      <c r="B3832" s="108">
        <v>21</v>
      </c>
      <c r="C3832" s="108" t="s">
        <v>138</v>
      </c>
      <c r="D3832" s="108">
        <v>244.74570679454001</v>
      </c>
      <c r="E3832" s="108">
        <v>0</v>
      </c>
      <c r="F3832" s="108" t="s">
        <v>135</v>
      </c>
      <c r="G3832" s="108"/>
      <c r="H3832" s="108">
        <v>1</v>
      </c>
    </row>
    <row r="3833" spans="1:8" ht="14">
      <c r="A3833" s="108">
        <v>2022</v>
      </c>
      <c r="B3833" s="108">
        <v>21</v>
      </c>
      <c r="C3833" s="108" t="s">
        <v>139</v>
      </c>
      <c r="D3833" s="108">
        <v>5550.53403214627</v>
      </c>
      <c r="E3833" s="108">
        <v>0</v>
      </c>
      <c r="F3833" s="108" t="s">
        <v>136</v>
      </c>
      <c r="G3833" s="108"/>
      <c r="H3833" s="108">
        <v>1</v>
      </c>
    </row>
    <row r="3834" spans="1:8" ht="14">
      <c r="A3834" s="108">
        <v>2022</v>
      </c>
      <c r="B3834" s="108">
        <v>21</v>
      </c>
      <c r="C3834" s="108" t="s">
        <v>139</v>
      </c>
      <c r="D3834" s="108">
        <v>304.41896785372597</v>
      </c>
      <c r="E3834" s="108">
        <v>0</v>
      </c>
      <c r="F3834" s="108" t="s">
        <v>135</v>
      </c>
      <c r="G3834" s="108"/>
      <c r="H3834" s="108">
        <v>1</v>
      </c>
    </row>
    <row r="3835" spans="1:8" ht="14">
      <c r="A3835" s="108">
        <v>2022</v>
      </c>
      <c r="B3835" s="108">
        <v>22</v>
      </c>
      <c r="C3835" s="108" t="s">
        <v>30</v>
      </c>
      <c r="D3835" s="108">
        <v>807.46728421014302</v>
      </c>
      <c r="E3835" s="108">
        <v>0</v>
      </c>
      <c r="F3835" s="108" t="s">
        <v>135</v>
      </c>
      <c r="G3835" s="108"/>
      <c r="H3835" s="108">
        <v>1</v>
      </c>
    </row>
    <row r="3836" spans="1:8" ht="14">
      <c r="A3836" s="108">
        <v>2022</v>
      </c>
      <c r="B3836" s="108">
        <v>22</v>
      </c>
      <c r="C3836" s="108" t="s">
        <v>30</v>
      </c>
      <c r="D3836" s="108">
        <v>9366.6237157898504</v>
      </c>
      <c r="E3836" s="108">
        <v>0</v>
      </c>
      <c r="F3836" s="108" t="s">
        <v>136</v>
      </c>
      <c r="G3836" s="108"/>
      <c r="H3836" s="108">
        <v>1</v>
      </c>
    </row>
    <row r="3837" spans="1:8" ht="14">
      <c r="A3837" s="108">
        <v>2022</v>
      </c>
      <c r="B3837" s="108">
        <v>22</v>
      </c>
      <c r="C3837" s="108" t="s">
        <v>138</v>
      </c>
      <c r="D3837" s="108">
        <v>398.619697601403</v>
      </c>
      <c r="E3837" s="108">
        <v>0</v>
      </c>
      <c r="F3837" s="108" t="s">
        <v>135</v>
      </c>
      <c r="G3837" s="108"/>
      <c r="H3837" s="108">
        <v>1</v>
      </c>
    </row>
    <row r="3838" spans="1:8" ht="14">
      <c r="A3838" s="108">
        <v>2022</v>
      </c>
      <c r="B3838" s="108">
        <v>22</v>
      </c>
      <c r="C3838" s="108" t="s">
        <v>138</v>
      </c>
      <c r="D3838" s="108">
        <v>8263.73230239859</v>
      </c>
      <c r="E3838" s="108">
        <v>0</v>
      </c>
      <c r="F3838" s="108" t="s">
        <v>136</v>
      </c>
      <c r="G3838" s="108"/>
      <c r="H3838" s="108">
        <v>1</v>
      </c>
    </row>
    <row r="3839" spans="1:8" ht="14">
      <c r="A3839" s="108">
        <v>2022</v>
      </c>
      <c r="B3839" s="108">
        <v>22</v>
      </c>
      <c r="C3839" s="108" t="s">
        <v>139</v>
      </c>
      <c r="D3839" s="108">
        <v>408.84758660873899</v>
      </c>
      <c r="E3839" s="108">
        <v>0</v>
      </c>
      <c r="F3839" s="108" t="s">
        <v>135</v>
      </c>
      <c r="G3839" s="108"/>
      <c r="H3839" s="108">
        <v>1</v>
      </c>
    </row>
    <row r="3840" spans="1:8" ht="14">
      <c r="A3840" s="108">
        <v>2022</v>
      </c>
      <c r="B3840" s="108">
        <v>22</v>
      </c>
      <c r="C3840" s="108" t="s">
        <v>139</v>
      </c>
      <c r="D3840" s="108">
        <v>1102.8914133912599</v>
      </c>
      <c r="E3840" s="108">
        <v>0</v>
      </c>
      <c r="F3840" s="108" t="s">
        <v>136</v>
      </c>
      <c r="G3840" s="108"/>
      <c r="H3840" s="108">
        <v>1</v>
      </c>
    </row>
    <row r="3841" spans="1:8" ht="14">
      <c r="A3841" s="108">
        <v>2022</v>
      </c>
      <c r="B3841" s="108">
        <v>23</v>
      </c>
      <c r="C3841" s="108" t="s">
        <v>30</v>
      </c>
      <c r="D3841" s="108">
        <v>1312.6765996003401</v>
      </c>
      <c r="E3841" s="108">
        <v>0</v>
      </c>
      <c r="F3841" s="108" t="s">
        <v>135</v>
      </c>
      <c r="G3841" s="108"/>
      <c r="H3841" s="108">
        <v>1</v>
      </c>
    </row>
    <row r="3842" spans="1:8" ht="14">
      <c r="A3842" s="108">
        <v>2022</v>
      </c>
      <c r="B3842" s="108">
        <v>23</v>
      </c>
      <c r="C3842" s="108" t="s">
        <v>30</v>
      </c>
      <c r="D3842" s="108">
        <v>9200.6144003996596</v>
      </c>
      <c r="E3842" s="108">
        <v>0</v>
      </c>
      <c r="F3842" s="108" t="s">
        <v>136</v>
      </c>
      <c r="G3842" s="108"/>
      <c r="H3842" s="108">
        <v>1</v>
      </c>
    </row>
    <row r="3843" spans="1:8" ht="14">
      <c r="A3843" s="108">
        <v>2022</v>
      </c>
      <c r="B3843" s="108">
        <v>23</v>
      </c>
      <c r="C3843" s="108" t="s">
        <v>138</v>
      </c>
      <c r="D3843" s="108">
        <v>7103.8265228717801</v>
      </c>
      <c r="E3843" s="108">
        <v>0</v>
      </c>
      <c r="F3843" s="108" t="s">
        <v>136</v>
      </c>
      <c r="G3843" s="108"/>
      <c r="H3843" s="108">
        <v>1</v>
      </c>
    </row>
    <row r="3844" spans="1:8" ht="14">
      <c r="A3844" s="108">
        <v>2022</v>
      </c>
      <c r="B3844" s="108">
        <v>23</v>
      </c>
      <c r="C3844" s="108" t="s">
        <v>138</v>
      </c>
      <c r="D3844" s="108">
        <v>716.66047712821205</v>
      </c>
      <c r="E3844" s="108">
        <v>0</v>
      </c>
      <c r="F3844" s="108" t="s">
        <v>135</v>
      </c>
      <c r="G3844" s="108"/>
      <c r="H3844" s="108">
        <v>1</v>
      </c>
    </row>
    <row r="3845" spans="1:8" ht="14">
      <c r="A3845" s="108">
        <v>2022</v>
      </c>
      <c r="B3845" s="108">
        <v>23</v>
      </c>
      <c r="C3845" s="108" t="s">
        <v>139</v>
      </c>
      <c r="D3845" s="108">
        <v>2096.78787752787</v>
      </c>
      <c r="E3845" s="108">
        <v>0</v>
      </c>
      <c r="F3845" s="108" t="s">
        <v>136</v>
      </c>
      <c r="G3845" s="108"/>
      <c r="H3845" s="108">
        <v>1</v>
      </c>
    </row>
    <row r="3846" spans="1:8" ht="14">
      <c r="A3846" s="108">
        <v>2022</v>
      </c>
      <c r="B3846" s="108">
        <v>23</v>
      </c>
      <c r="C3846" s="108" t="s">
        <v>139</v>
      </c>
      <c r="D3846" s="108">
        <v>596.01612247212904</v>
      </c>
      <c r="E3846" s="108">
        <v>0</v>
      </c>
      <c r="F3846" s="108" t="s">
        <v>135</v>
      </c>
      <c r="G3846" s="108"/>
      <c r="H3846" s="108">
        <v>1</v>
      </c>
    </row>
    <row r="3847" spans="1:8" ht="14">
      <c r="A3847" s="108">
        <v>2022</v>
      </c>
      <c r="B3847" s="108">
        <v>29</v>
      </c>
      <c r="C3847" s="108" t="s">
        <v>30</v>
      </c>
      <c r="D3847" s="108">
        <v>24241.640843435402</v>
      </c>
      <c r="E3847" s="108">
        <v>0</v>
      </c>
      <c r="F3847" s="108" t="s">
        <v>135</v>
      </c>
      <c r="G3847" s="108"/>
      <c r="H3847" s="108">
        <v>1</v>
      </c>
    </row>
    <row r="3848" spans="1:8" ht="14">
      <c r="A3848" s="108">
        <v>2022</v>
      </c>
      <c r="B3848" s="108">
        <v>29</v>
      </c>
      <c r="C3848" s="108" t="s">
        <v>30</v>
      </c>
      <c r="D3848" s="108">
        <v>33190.7311565645</v>
      </c>
      <c r="E3848" s="108">
        <v>0</v>
      </c>
      <c r="F3848" s="108" t="s">
        <v>136</v>
      </c>
      <c r="G3848" s="108"/>
      <c r="H3848" s="108">
        <v>1</v>
      </c>
    </row>
    <row r="3849" spans="1:8" ht="14">
      <c r="A3849" s="108">
        <v>2022</v>
      </c>
      <c r="B3849" s="108">
        <v>29</v>
      </c>
      <c r="C3849" s="108" t="s">
        <v>138</v>
      </c>
      <c r="D3849" s="108">
        <v>18916.658662727001</v>
      </c>
      <c r="E3849" s="108">
        <v>0</v>
      </c>
      <c r="F3849" s="108" t="s">
        <v>135</v>
      </c>
      <c r="G3849" s="108"/>
      <c r="H3849" s="108">
        <v>1</v>
      </c>
    </row>
    <row r="3850" spans="1:8" ht="14">
      <c r="A3850" s="108">
        <v>2022</v>
      </c>
      <c r="B3850" s="108">
        <v>29</v>
      </c>
      <c r="C3850" s="108" t="s">
        <v>138</v>
      </c>
      <c r="D3850" s="108">
        <v>26675.242337272899</v>
      </c>
      <c r="E3850" s="108">
        <v>0</v>
      </c>
      <c r="F3850" s="108" t="s">
        <v>136</v>
      </c>
      <c r="G3850" s="108"/>
      <c r="H3850" s="108">
        <v>1</v>
      </c>
    </row>
    <row r="3851" spans="1:8" ht="14">
      <c r="A3851" s="108">
        <v>2022</v>
      </c>
      <c r="B3851" s="108">
        <v>29</v>
      </c>
      <c r="C3851" s="108" t="s">
        <v>139</v>
      </c>
      <c r="D3851" s="108">
        <v>5324.98218070845</v>
      </c>
      <c r="E3851" s="108">
        <v>0</v>
      </c>
      <c r="F3851" s="108" t="s">
        <v>135</v>
      </c>
      <c r="G3851" s="108"/>
      <c r="H3851" s="108">
        <v>1</v>
      </c>
    </row>
    <row r="3852" spans="1:8" ht="14">
      <c r="A3852" s="108">
        <v>2022</v>
      </c>
      <c r="B3852" s="108">
        <v>29</v>
      </c>
      <c r="C3852" s="108" t="s">
        <v>139</v>
      </c>
      <c r="D3852" s="108">
        <v>6515.4888192915396</v>
      </c>
      <c r="E3852" s="108">
        <v>0</v>
      </c>
      <c r="F3852" s="108" t="s">
        <v>136</v>
      </c>
      <c r="G3852" s="108"/>
      <c r="H3852" s="108">
        <v>1</v>
      </c>
    </row>
    <row r="3853" spans="1:8" ht="14">
      <c r="A3853" s="108">
        <v>2022</v>
      </c>
      <c r="B3853" s="108">
        <v>31</v>
      </c>
      <c r="C3853" s="108" t="s">
        <v>30</v>
      </c>
      <c r="D3853" s="108">
        <v>391.548268896813</v>
      </c>
      <c r="E3853" s="108">
        <v>55.514408800076197</v>
      </c>
      <c r="F3853" s="108" t="s">
        <v>135</v>
      </c>
      <c r="G3853" s="108">
        <v>55.514408800106999</v>
      </c>
      <c r="H3853" s="108">
        <v>1</v>
      </c>
    </row>
    <row r="3854" spans="1:8" ht="14">
      <c r="A3854" s="108">
        <v>2022</v>
      </c>
      <c r="B3854" s="108">
        <v>31</v>
      </c>
      <c r="C3854" s="108" t="s">
        <v>30</v>
      </c>
      <c r="D3854" s="108">
        <v>4.9955316729906398</v>
      </c>
      <c r="E3854" s="108">
        <v>1.2242655741963</v>
      </c>
      <c r="F3854" s="108" t="s">
        <v>137</v>
      </c>
      <c r="G3854" s="108">
        <v>1.224265574203</v>
      </c>
      <c r="H3854" s="108">
        <v>1</v>
      </c>
    </row>
    <row r="3855" spans="1:8" ht="14">
      <c r="A3855" s="108">
        <v>2022</v>
      </c>
      <c r="B3855" s="108">
        <v>31</v>
      </c>
      <c r="C3855" s="108" t="s">
        <v>30</v>
      </c>
      <c r="D3855" s="108">
        <v>16216.7401994301</v>
      </c>
      <c r="E3855" s="108">
        <v>1232.2773256257201</v>
      </c>
      <c r="F3855" s="108" t="s">
        <v>136</v>
      </c>
      <c r="G3855" s="108">
        <v>1232.2773256258699</v>
      </c>
      <c r="H3855" s="108">
        <v>1</v>
      </c>
    </row>
    <row r="3856" spans="1:8" ht="14">
      <c r="A3856" s="108">
        <v>2022</v>
      </c>
      <c r="B3856" s="108">
        <v>31</v>
      </c>
      <c r="C3856" s="108" t="s">
        <v>138</v>
      </c>
      <c r="D3856" s="108">
        <v>10511.518888844999</v>
      </c>
      <c r="E3856" s="108">
        <v>635.12902508748198</v>
      </c>
      <c r="F3856" s="108" t="s">
        <v>136</v>
      </c>
      <c r="G3856" s="108">
        <v>635.129025087184</v>
      </c>
      <c r="H3856" s="108">
        <v>1</v>
      </c>
    </row>
    <row r="3857" spans="1:8" ht="14">
      <c r="A3857" s="108">
        <v>2022</v>
      </c>
      <c r="B3857" s="108">
        <v>31</v>
      </c>
      <c r="C3857" s="108" t="s">
        <v>138</v>
      </c>
      <c r="D3857" s="108">
        <v>153.85757948197701</v>
      </c>
      <c r="E3857" s="108">
        <v>27.377410472200602</v>
      </c>
      <c r="F3857" s="108" t="s">
        <v>135</v>
      </c>
      <c r="G3857" s="108">
        <v>27.377410472190999</v>
      </c>
      <c r="H3857" s="108">
        <v>1</v>
      </c>
    </row>
    <row r="3858" spans="1:8" ht="14">
      <c r="A3858" s="108">
        <v>2022</v>
      </c>
      <c r="B3858" s="108">
        <v>31</v>
      </c>
      <c r="C3858" s="108" t="s">
        <v>138</v>
      </c>
      <c r="D3858" s="108">
        <v>4.98553167299064</v>
      </c>
      <c r="E3858" s="108">
        <v>0.48656444031580598</v>
      </c>
      <c r="F3858" s="108" t="s">
        <v>137</v>
      </c>
      <c r="G3858" s="108">
        <v>0.48656444032500001</v>
      </c>
      <c r="H3858" s="108">
        <v>1</v>
      </c>
    </row>
    <row r="3859" spans="1:8" ht="14">
      <c r="A3859" s="108">
        <v>2022</v>
      </c>
      <c r="B3859" s="108">
        <v>31</v>
      </c>
      <c r="C3859" s="108" t="s">
        <v>139</v>
      </c>
      <c r="D3859" s="108">
        <v>5705.2213105851597</v>
      </c>
      <c r="E3859" s="108">
        <v>597.14830053824301</v>
      </c>
      <c r="F3859" s="108" t="s">
        <v>136</v>
      </c>
      <c r="G3859" s="108">
        <v>597.148300538694</v>
      </c>
      <c r="H3859" s="108">
        <v>1</v>
      </c>
    </row>
    <row r="3860" spans="1:8" ht="14">
      <c r="A3860" s="108">
        <v>2022</v>
      </c>
      <c r="B3860" s="108">
        <v>31</v>
      </c>
      <c r="C3860" s="108" t="s">
        <v>139</v>
      </c>
      <c r="D3860" s="108">
        <v>237.69068941483499</v>
      </c>
      <c r="E3860" s="108">
        <v>28.136998327875599</v>
      </c>
      <c r="F3860" s="108" t="s">
        <v>135</v>
      </c>
      <c r="G3860" s="108">
        <v>28.136998327916</v>
      </c>
      <c r="H3860" s="108">
        <v>1</v>
      </c>
    </row>
    <row r="3861" spans="1:8" ht="14">
      <c r="A3861" s="108">
        <v>2022</v>
      </c>
      <c r="B3861" s="108">
        <v>31</v>
      </c>
      <c r="C3861" s="108" t="s">
        <v>139</v>
      </c>
      <c r="D3861" s="108">
        <v>0.01</v>
      </c>
      <c r="E3861" s="108">
        <v>0.73770113388050096</v>
      </c>
      <c r="F3861" s="108" t="s">
        <v>137</v>
      </c>
      <c r="G3861" s="108">
        <v>0.73770113387799996</v>
      </c>
      <c r="H3861" s="108">
        <v>1</v>
      </c>
    </row>
    <row r="3862" spans="1:8" ht="14">
      <c r="A3862" s="108">
        <v>2022</v>
      </c>
      <c r="B3862" s="108">
        <v>32</v>
      </c>
      <c r="C3862" s="108" t="s">
        <v>30</v>
      </c>
      <c r="D3862" s="108">
        <v>11.165875268552</v>
      </c>
      <c r="E3862" s="108">
        <v>5.0345264271549102</v>
      </c>
      <c r="F3862" s="108" t="s">
        <v>137</v>
      </c>
      <c r="G3862" s="108">
        <v>10.069052854311</v>
      </c>
      <c r="H3862" s="108">
        <v>1</v>
      </c>
    </row>
    <row r="3863" spans="1:8" ht="14">
      <c r="A3863" s="108">
        <v>2022</v>
      </c>
      <c r="B3863" s="108">
        <v>32</v>
      </c>
      <c r="C3863" s="108" t="s">
        <v>30</v>
      </c>
      <c r="D3863" s="108">
        <v>34358.662107143697</v>
      </c>
      <c r="E3863" s="108">
        <v>3527.3398080063698</v>
      </c>
      <c r="F3863" s="108" t="s">
        <v>136</v>
      </c>
      <c r="G3863" s="108">
        <v>7054.6796160125696</v>
      </c>
      <c r="H3863" s="108">
        <v>1</v>
      </c>
    </row>
    <row r="3864" spans="1:8" ht="14">
      <c r="A3864" s="108">
        <v>2022</v>
      </c>
      <c r="B3864" s="108">
        <v>32</v>
      </c>
      <c r="C3864" s="108" t="s">
        <v>30</v>
      </c>
      <c r="D3864" s="108">
        <v>1145.61901758768</v>
      </c>
      <c r="E3864" s="108">
        <v>129.91766556647701</v>
      </c>
      <c r="F3864" s="108" t="s">
        <v>135</v>
      </c>
      <c r="G3864" s="108">
        <v>259.83533113292799</v>
      </c>
      <c r="H3864" s="108">
        <v>1</v>
      </c>
    </row>
    <row r="3865" spans="1:8" ht="14">
      <c r="A3865" s="108">
        <v>2022</v>
      </c>
      <c r="B3865" s="108">
        <v>32</v>
      </c>
      <c r="C3865" s="108" t="s">
        <v>138</v>
      </c>
      <c r="D3865" s="108">
        <v>11.165875268552</v>
      </c>
      <c r="E3865" s="108">
        <v>1.9667861174755401</v>
      </c>
      <c r="F3865" s="108" t="s">
        <v>137</v>
      </c>
      <c r="G3865" s="108">
        <v>3.9335722349440001</v>
      </c>
      <c r="H3865" s="108">
        <v>1</v>
      </c>
    </row>
    <row r="3866" spans="1:8" ht="14">
      <c r="A3866" s="108">
        <v>2022</v>
      </c>
      <c r="B3866" s="108">
        <v>32</v>
      </c>
      <c r="C3866" s="108" t="s">
        <v>138</v>
      </c>
      <c r="D3866" s="108">
        <v>592.800082267574</v>
      </c>
      <c r="E3866" s="108">
        <v>66.004627741335796</v>
      </c>
      <c r="F3866" s="108" t="s">
        <v>135</v>
      </c>
      <c r="G3866" s="108">
        <v>132.00925548260901</v>
      </c>
      <c r="H3866" s="108">
        <v>1</v>
      </c>
    </row>
    <row r="3867" spans="1:8" ht="14">
      <c r="A3867" s="108">
        <v>2022</v>
      </c>
      <c r="B3867" s="108">
        <v>32</v>
      </c>
      <c r="C3867" s="108" t="s">
        <v>138</v>
      </c>
      <c r="D3867" s="108">
        <v>22532.719042463799</v>
      </c>
      <c r="E3867" s="108">
        <v>1745.0755861411801</v>
      </c>
      <c r="F3867" s="108" t="s">
        <v>136</v>
      </c>
      <c r="G3867" s="108">
        <v>3490.1511722812402</v>
      </c>
      <c r="H3867" s="108">
        <v>1</v>
      </c>
    </row>
    <row r="3868" spans="1:8" ht="14">
      <c r="A3868" s="108">
        <v>2022</v>
      </c>
      <c r="B3868" s="108">
        <v>32</v>
      </c>
      <c r="C3868" s="108" t="s">
        <v>139</v>
      </c>
      <c r="D3868" s="108">
        <v>552.81893532010804</v>
      </c>
      <c r="E3868" s="108">
        <v>63.913037825141899</v>
      </c>
      <c r="F3868" s="108" t="s">
        <v>135</v>
      </c>
      <c r="G3868" s="108">
        <v>127.826075650319</v>
      </c>
      <c r="H3868" s="108">
        <v>1</v>
      </c>
    </row>
    <row r="3869" spans="1:8" ht="14">
      <c r="A3869" s="108">
        <v>2022</v>
      </c>
      <c r="B3869" s="108">
        <v>32</v>
      </c>
      <c r="C3869" s="108" t="s">
        <v>139</v>
      </c>
      <c r="D3869" s="108">
        <v>0</v>
      </c>
      <c r="E3869" s="108">
        <v>3.0677403096793601</v>
      </c>
      <c r="F3869" s="108" t="s">
        <v>137</v>
      </c>
      <c r="G3869" s="108">
        <v>6.13548061936699</v>
      </c>
      <c r="H3869" s="108">
        <v>1</v>
      </c>
    </row>
    <row r="3870" spans="1:8" ht="14">
      <c r="A3870" s="108">
        <v>2022</v>
      </c>
      <c r="B3870" s="108">
        <v>32</v>
      </c>
      <c r="C3870" s="108" t="s">
        <v>139</v>
      </c>
      <c r="D3870" s="108">
        <v>11825.943064679799</v>
      </c>
      <c r="E3870" s="108">
        <v>1782.2642218651699</v>
      </c>
      <c r="F3870" s="108" t="s">
        <v>136</v>
      </c>
      <c r="G3870" s="108">
        <v>3564.5284437313098</v>
      </c>
      <c r="H3870" s="108">
        <v>1</v>
      </c>
    </row>
    <row r="3871" spans="1:8" ht="14">
      <c r="A3871" s="108">
        <v>2022</v>
      </c>
      <c r="B3871" s="108">
        <v>33</v>
      </c>
      <c r="C3871" s="108" t="s">
        <v>30</v>
      </c>
      <c r="D3871" s="108">
        <v>2291.62155808937</v>
      </c>
      <c r="E3871" s="108">
        <v>92.442463654205895</v>
      </c>
      <c r="F3871" s="108" t="s">
        <v>136</v>
      </c>
      <c r="G3871" s="108">
        <v>138.663695481357</v>
      </c>
      <c r="H3871" s="108">
        <v>1</v>
      </c>
    </row>
    <row r="3872" spans="1:8" ht="14">
      <c r="A3872" s="108">
        <v>2022</v>
      </c>
      <c r="B3872" s="108">
        <v>33</v>
      </c>
      <c r="C3872" s="108" t="s">
        <v>30</v>
      </c>
      <c r="D3872" s="108">
        <v>11.362054628544399</v>
      </c>
      <c r="E3872" s="108">
        <v>0.78051518025219402</v>
      </c>
      <c r="F3872" s="108" t="s">
        <v>135</v>
      </c>
      <c r="G3872" s="108">
        <v>1.1707727703790001</v>
      </c>
      <c r="H3872" s="108">
        <v>1</v>
      </c>
    </row>
    <row r="3873" spans="1:8" ht="14">
      <c r="A3873" s="108">
        <v>2022</v>
      </c>
      <c r="B3873" s="108">
        <v>33</v>
      </c>
      <c r="C3873" s="108" t="s">
        <v>30</v>
      </c>
      <c r="D3873" s="108">
        <v>0.36438728208045601</v>
      </c>
      <c r="E3873" s="108">
        <v>5.0211655418591601E-3</v>
      </c>
      <c r="F3873" s="108" t="s">
        <v>137</v>
      </c>
      <c r="G3873" s="108">
        <v>7.5317483129999996E-3</v>
      </c>
      <c r="H3873" s="108">
        <v>1</v>
      </c>
    </row>
    <row r="3874" spans="1:8" ht="14">
      <c r="A3874" s="108">
        <v>2022</v>
      </c>
      <c r="B3874" s="108">
        <v>33</v>
      </c>
      <c r="C3874" s="108" t="s">
        <v>138</v>
      </c>
      <c r="D3874" s="108">
        <v>0.36438728208045601</v>
      </c>
      <c r="E3874" s="108">
        <v>5.0211655418591601E-3</v>
      </c>
      <c r="F3874" s="108" t="s">
        <v>137</v>
      </c>
      <c r="G3874" s="108">
        <v>7.5317483129999996E-3</v>
      </c>
      <c r="H3874" s="108">
        <v>1</v>
      </c>
    </row>
    <row r="3875" spans="1:8" ht="14">
      <c r="A3875" s="108">
        <v>2022</v>
      </c>
      <c r="B3875" s="108">
        <v>33</v>
      </c>
      <c r="C3875" s="108" t="s">
        <v>138</v>
      </c>
      <c r="D3875" s="108">
        <v>1310.52602986135</v>
      </c>
      <c r="E3875" s="108">
        <v>47.037018620129999</v>
      </c>
      <c r="F3875" s="108" t="s">
        <v>136</v>
      </c>
      <c r="G3875" s="108">
        <v>70.555527930208896</v>
      </c>
      <c r="H3875" s="108">
        <v>1</v>
      </c>
    </row>
    <row r="3876" spans="1:8" ht="14">
      <c r="A3876" s="108">
        <v>2022</v>
      </c>
      <c r="B3876" s="108">
        <v>33</v>
      </c>
      <c r="C3876" s="108" t="s">
        <v>138</v>
      </c>
      <c r="D3876" s="108">
        <v>6.4875828565658997</v>
      </c>
      <c r="E3876" s="108">
        <v>0.53696021432810004</v>
      </c>
      <c r="F3876" s="108" t="s">
        <v>135</v>
      </c>
      <c r="G3876" s="108">
        <v>0.80544032149199996</v>
      </c>
      <c r="H3876" s="108">
        <v>1</v>
      </c>
    </row>
    <row r="3877" spans="1:8" ht="14">
      <c r="A3877" s="108">
        <v>2022</v>
      </c>
      <c r="B3877" s="108">
        <v>33</v>
      </c>
      <c r="C3877" s="108" t="s">
        <v>139</v>
      </c>
      <c r="D3877" s="108">
        <v>4.8744717719784898</v>
      </c>
      <c r="E3877" s="108">
        <v>0.24355496592409301</v>
      </c>
      <c r="F3877" s="108" t="s">
        <v>135</v>
      </c>
      <c r="G3877" s="108">
        <v>0.36533244888700001</v>
      </c>
      <c r="H3877" s="108">
        <v>1</v>
      </c>
    </row>
    <row r="3878" spans="1:8" ht="14">
      <c r="A3878" s="108">
        <v>2022</v>
      </c>
      <c r="B3878" s="108">
        <v>33</v>
      </c>
      <c r="C3878" s="108" t="s">
        <v>139</v>
      </c>
      <c r="D3878" s="108">
        <v>981.09552822802095</v>
      </c>
      <c r="E3878" s="108">
        <v>45.405445034075903</v>
      </c>
      <c r="F3878" s="108" t="s">
        <v>136</v>
      </c>
      <c r="G3878" s="108">
        <v>68.108167551148</v>
      </c>
      <c r="H3878" s="108">
        <v>1</v>
      </c>
    </row>
    <row r="3879" spans="1:8" ht="14">
      <c r="A3879" s="108">
        <v>2022</v>
      </c>
      <c r="B3879" s="108">
        <v>34</v>
      </c>
      <c r="C3879" s="108" t="s">
        <v>30</v>
      </c>
      <c r="D3879" s="108">
        <v>0.77781433389256904</v>
      </c>
      <c r="E3879" s="108">
        <v>0.36356397058649997</v>
      </c>
      <c r="F3879" s="108" t="s">
        <v>137</v>
      </c>
      <c r="G3879" s="108">
        <v>0.81801893382099899</v>
      </c>
      <c r="H3879" s="108">
        <v>1</v>
      </c>
    </row>
    <row r="3880" spans="1:8" ht="14">
      <c r="A3880" s="108">
        <v>2022</v>
      </c>
      <c r="B3880" s="108">
        <v>34</v>
      </c>
      <c r="C3880" s="108" t="s">
        <v>30</v>
      </c>
      <c r="D3880" s="108">
        <v>54.935357883392797</v>
      </c>
      <c r="E3880" s="108">
        <v>6.2908078337528899</v>
      </c>
      <c r="F3880" s="108" t="s">
        <v>135</v>
      </c>
      <c r="G3880" s="108">
        <v>14.1543176259469</v>
      </c>
      <c r="H3880" s="108">
        <v>1</v>
      </c>
    </row>
    <row r="3881" spans="1:8" ht="14">
      <c r="A3881" s="108">
        <v>2022</v>
      </c>
      <c r="B3881" s="108">
        <v>34</v>
      </c>
      <c r="C3881" s="108" t="s">
        <v>30</v>
      </c>
      <c r="D3881" s="108">
        <v>4601.84882778271</v>
      </c>
      <c r="E3881" s="108">
        <v>403.38162819566099</v>
      </c>
      <c r="F3881" s="108" t="s">
        <v>136</v>
      </c>
      <c r="G3881" s="108">
        <v>907.60866344069302</v>
      </c>
      <c r="H3881" s="108">
        <v>1</v>
      </c>
    </row>
    <row r="3882" spans="1:8" ht="14">
      <c r="A3882" s="108">
        <v>2022</v>
      </c>
      <c r="B3882" s="108">
        <v>34</v>
      </c>
      <c r="C3882" s="108" t="s">
        <v>138</v>
      </c>
      <c r="D3882" s="108">
        <v>3782.2786297264602</v>
      </c>
      <c r="E3882" s="108">
        <v>202.50066979968901</v>
      </c>
      <c r="F3882" s="108" t="s">
        <v>136</v>
      </c>
      <c r="G3882" s="108">
        <v>455.62650704981598</v>
      </c>
      <c r="H3882" s="108">
        <v>1</v>
      </c>
    </row>
    <row r="3883" spans="1:8" ht="14">
      <c r="A3883" s="108">
        <v>2022</v>
      </c>
      <c r="B3883" s="108">
        <v>34</v>
      </c>
      <c r="C3883" s="108" t="s">
        <v>138</v>
      </c>
      <c r="D3883" s="108">
        <v>24.8855559396412</v>
      </c>
      <c r="E3883" s="108">
        <v>2.9662376001905701</v>
      </c>
      <c r="F3883" s="108" t="s">
        <v>135</v>
      </c>
      <c r="G3883" s="108">
        <v>6.6740346004239903</v>
      </c>
      <c r="H3883" s="108">
        <v>1</v>
      </c>
    </row>
    <row r="3884" spans="1:8" ht="14">
      <c r="A3884" s="108">
        <v>2022</v>
      </c>
      <c r="B3884" s="108">
        <v>34</v>
      </c>
      <c r="C3884" s="108" t="s">
        <v>138</v>
      </c>
      <c r="D3884" s="108">
        <v>0.77781433389256904</v>
      </c>
      <c r="E3884" s="108">
        <v>0.26809260011939701</v>
      </c>
      <c r="F3884" s="108" t="s">
        <v>137</v>
      </c>
      <c r="G3884" s="108">
        <v>0.60320835026899999</v>
      </c>
      <c r="H3884" s="108">
        <v>1</v>
      </c>
    </row>
    <row r="3885" spans="1:8" ht="14">
      <c r="A3885" s="108">
        <v>2022</v>
      </c>
      <c r="B3885" s="108">
        <v>34</v>
      </c>
      <c r="C3885" s="108" t="s">
        <v>139</v>
      </c>
      <c r="D3885" s="108">
        <v>30.0498019437516</v>
      </c>
      <c r="E3885" s="108">
        <v>3.32457023356231</v>
      </c>
      <c r="F3885" s="108" t="s">
        <v>135</v>
      </c>
      <c r="G3885" s="108">
        <v>7.4802830255229997</v>
      </c>
      <c r="H3885" s="108">
        <v>1</v>
      </c>
    </row>
    <row r="3886" spans="1:8" ht="14">
      <c r="A3886" s="108">
        <v>2022</v>
      </c>
      <c r="B3886" s="108">
        <v>34</v>
      </c>
      <c r="C3886" s="108" t="s">
        <v>139</v>
      </c>
      <c r="D3886" s="108">
        <v>0</v>
      </c>
      <c r="E3886" s="108">
        <v>9.5471370467102398E-2</v>
      </c>
      <c r="F3886" s="108" t="s">
        <v>137</v>
      </c>
      <c r="G3886" s="108">
        <v>0.214810583552</v>
      </c>
      <c r="H3886" s="108">
        <v>1</v>
      </c>
    </row>
    <row r="3887" spans="1:8" ht="14">
      <c r="A3887" s="108">
        <v>2022</v>
      </c>
      <c r="B3887" s="108">
        <v>34</v>
      </c>
      <c r="C3887" s="108" t="s">
        <v>139</v>
      </c>
      <c r="D3887" s="108">
        <v>819.57019805624805</v>
      </c>
      <c r="E3887" s="108">
        <v>200.88095839597</v>
      </c>
      <c r="F3887" s="108" t="s">
        <v>136</v>
      </c>
      <c r="G3887" s="108">
        <v>451.98215639087601</v>
      </c>
      <c r="H3887" s="108">
        <v>1</v>
      </c>
    </row>
    <row r="3888" spans="1:8" ht="14">
      <c r="A3888" s="108">
        <v>2022</v>
      </c>
      <c r="B3888" s="108">
        <v>51</v>
      </c>
      <c r="C3888" s="108" t="s">
        <v>30</v>
      </c>
      <c r="D3888" s="108">
        <v>25890.737985019801</v>
      </c>
      <c r="E3888" s="108">
        <v>2684.51530015446</v>
      </c>
      <c r="F3888" s="108" t="s">
        <v>136</v>
      </c>
      <c r="G3888" s="108"/>
      <c r="H3888" s="108">
        <v>1</v>
      </c>
    </row>
    <row r="3889" spans="1:8" ht="14">
      <c r="A3889" s="108">
        <v>2022</v>
      </c>
      <c r="B3889" s="108">
        <v>51</v>
      </c>
      <c r="C3889" s="108" t="s">
        <v>30</v>
      </c>
      <c r="D3889" s="108">
        <v>9397.8850149801201</v>
      </c>
      <c r="E3889" s="108">
        <v>680.98469984553606</v>
      </c>
      <c r="F3889" s="108" t="s">
        <v>135</v>
      </c>
      <c r="G3889" s="108"/>
      <c r="H3889" s="108">
        <v>1</v>
      </c>
    </row>
    <row r="3890" spans="1:8" ht="14">
      <c r="A3890" s="108">
        <v>2022</v>
      </c>
      <c r="B3890" s="108">
        <v>51</v>
      </c>
      <c r="C3890" s="108" t="s">
        <v>138</v>
      </c>
      <c r="D3890" s="108">
        <v>16234.197549028</v>
      </c>
      <c r="E3890" s="108">
        <v>1328.4613177302999</v>
      </c>
      <c r="F3890" s="108" t="s">
        <v>136</v>
      </c>
      <c r="G3890" s="108"/>
      <c r="H3890" s="108">
        <v>1</v>
      </c>
    </row>
    <row r="3891" spans="1:8" ht="14">
      <c r="A3891" s="108">
        <v>2022</v>
      </c>
      <c r="B3891" s="108">
        <v>51</v>
      </c>
      <c r="C3891" s="108" t="s">
        <v>138</v>
      </c>
      <c r="D3891" s="108">
        <v>4665.7284509719302</v>
      </c>
      <c r="E3891" s="108">
        <v>338.01868226969498</v>
      </c>
      <c r="F3891" s="108" t="s">
        <v>135</v>
      </c>
      <c r="G3891" s="108"/>
      <c r="H3891" s="108">
        <v>1</v>
      </c>
    </row>
    <row r="3892" spans="1:8" ht="14">
      <c r="A3892" s="108">
        <v>2022</v>
      </c>
      <c r="B3892" s="108">
        <v>51</v>
      </c>
      <c r="C3892" s="108" t="s">
        <v>139</v>
      </c>
      <c r="D3892" s="108">
        <v>9656.5404359918193</v>
      </c>
      <c r="E3892" s="108">
        <v>1356.05398242415</v>
      </c>
      <c r="F3892" s="108" t="s">
        <v>136</v>
      </c>
      <c r="G3892" s="108"/>
      <c r="H3892" s="108">
        <v>1</v>
      </c>
    </row>
    <row r="3893" spans="1:8" ht="14">
      <c r="A3893" s="108">
        <v>2022</v>
      </c>
      <c r="B3893" s="108">
        <v>51</v>
      </c>
      <c r="C3893" s="108" t="s">
        <v>139</v>
      </c>
      <c r="D3893" s="108">
        <v>4732.1565640081799</v>
      </c>
      <c r="E3893" s="108">
        <v>342.96601757584102</v>
      </c>
      <c r="F3893" s="108" t="s">
        <v>135</v>
      </c>
      <c r="G3893" s="108"/>
      <c r="H3893" s="108">
        <v>1</v>
      </c>
    </row>
    <row r="3894" spans="1:8" ht="14">
      <c r="A3894" s="108">
        <v>2022</v>
      </c>
      <c r="B3894" s="108">
        <v>52</v>
      </c>
      <c r="C3894" s="108" t="s">
        <v>30</v>
      </c>
      <c r="D3894" s="108">
        <v>0</v>
      </c>
      <c r="E3894" s="108">
        <v>3061.9927178224202</v>
      </c>
      <c r="F3894" s="108" t="s">
        <v>136</v>
      </c>
      <c r="G3894" s="108"/>
      <c r="H3894" s="108">
        <v>1</v>
      </c>
    </row>
    <row r="3895" spans="1:8" ht="14">
      <c r="A3895" s="108">
        <v>2022</v>
      </c>
      <c r="B3895" s="108">
        <v>52</v>
      </c>
      <c r="C3895" s="108" t="s">
        <v>30</v>
      </c>
      <c r="D3895" s="108">
        <v>0</v>
      </c>
      <c r="E3895" s="108">
        <v>1534.08428217757</v>
      </c>
      <c r="F3895" s="108" t="s">
        <v>135</v>
      </c>
      <c r="G3895" s="108"/>
      <c r="H3895" s="108">
        <v>1</v>
      </c>
    </row>
    <row r="3896" spans="1:8" ht="14">
      <c r="A3896" s="108">
        <v>2022</v>
      </c>
      <c r="B3896" s="108">
        <v>52</v>
      </c>
      <c r="C3896" s="108" t="s">
        <v>138</v>
      </c>
      <c r="D3896" s="108">
        <v>0</v>
      </c>
      <c r="E3896" s="108">
        <v>763.82931259142799</v>
      </c>
      <c r="F3896" s="108" t="s">
        <v>135</v>
      </c>
      <c r="G3896" s="108"/>
      <c r="H3896" s="108">
        <v>1</v>
      </c>
    </row>
    <row r="3897" spans="1:8" ht="14">
      <c r="A3897" s="108">
        <v>2022</v>
      </c>
      <c r="B3897" s="108">
        <v>52</v>
      </c>
      <c r="C3897" s="108" t="s">
        <v>138</v>
      </c>
      <c r="D3897" s="108">
        <v>0</v>
      </c>
      <c r="E3897" s="108">
        <v>1506.77768740857</v>
      </c>
      <c r="F3897" s="108" t="s">
        <v>136</v>
      </c>
      <c r="G3897" s="108"/>
      <c r="H3897" s="108">
        <v>1</v>
      </c>
    </row>
    <row r="3898" spans="1:8" ht="14">
      <c r="A3898" s="108">
        <v>2022</v>
      </c>
      <c r="B3898" s="108">
        <v>52</v>
      </c>
      <c r="C3898" s="108" t="s">
        <v>139</v>
      </c>
      <c r="D3898" s="108">
        <v>0</v>
      </c>
      <c r="E3898" s="108">
        <v>1555.2150304138499</v>
      </c>
      <c r="F3898" s="108" t="s">
        <v>136</v>
      </c>
      <c r="G3898" s="108"/>
      <c r="H3898" s="108">
        <v>1</v>
      </c>
    </row>
    <row r="3899" spans="1:8" ht="14">
      <c r="A3899" s="108">
        <v>2022</v>
      </c>
      <c r="B3899" s="108">
        <v>52</v>
      </c>
      <c r="C3899" s="108" t="s">
        <v>139</v>
      </c>
      <c r="D3899" s="108">
        <v>0</v>
      </c>
      <c r="E3899" s="108">
        <v>770.25496958614701</v>
      </c>
      <c r="F3899" s="108" t="s">
        <v>135</v>
      </c>
      <c r="G3899" s="108"/>
      <c r="H3899" s="108">
        <v>1</v>
      </c>
    </row>
    <row r="3900" spans="1:8" ht="14">
      <c r="A3900" s="108">
        <v>2022</v>
      </c>
      <c r="B3900" s="108">
        <v>53</v>
      </c>
      <c r="C3900" s="108" t="s">
        <v>30</v>
      </c>
      <c r="D3900" s="108">
        <v>0</v>
      </c>
      <c r="E3900" s="108">
        <v>20.751000000000001</v>
      </c>
      <c r="F3900" s="108" t="s">
        <v>135</v>
      </c>
      <c r="G3900" s="108"/>
      <c r="H3900" s="108">
        <v>1</v>
      </c>
    </row>
    <row r="3901" spans="1:8" ht="14">
      <c r="A3901" s="108">
        <v>2022</v>
      </c>
      <c r="B3901" s="108">
        <v>53</v>
      </c>
      <c r="C3901" s="108" t="s">
        <v>30</v>
      </c>
      <c r="D3901" s="108">
        <v>0</v>
      </c>
      <c r="E3901" s="108">
        <v>43.966000000000001</v>
      </c>
      <c r="F3901" s="108" t="s">
        <v>136</v>
      </c>
      <c r="G3901" s="108"/>
      <c r="H3901" s="108">
        <v>1</v>
      </c>
    </row>
    <row r="3902" spans="1:8" ht="14">
      <c r="A3902" s="108">
        <v>2022</v>
      </c>
      <c r="B3902" s="108">
        <v>53</v>
      </c>
      <c r="C3902" s="108" t="s">
        <v>138</v>
      </c>
      <c r="D3902" s="108">
        <v>0</v>
      </c>
      <c r="E3902" s="108">
        <v>21.867000000000001</v>
      </c>
      <c r="F3902" s="108" t="s">
        <v>136</v>
      </c>
      <c r="G3902" s="108"/>
      <c r="H3902" s="108">
        <v>1</v>
      </c>
    </row>
    <row r="3903" spans="1:8" ht="14">
      <c r="A3903" s="108">
        <v>2022</v>
      </c>
      <c r="B3903" s="108">
        <v>53</v>
      </c>
      <c r="C3903" s="108" t="s">
        <v>138</v>
      </c>
      <c r="D3903" s="108">
        <v>0</v>
      </c>
      <c r="E3903" s="108">
        <v>10.457000000000001</v>
      </c>
      <c r="F3903" s="108" t="s">
        <v>135</v>
      </c>
      <c r="G3903" s="108"/>
      <c r="H3903" s="108">
        <v>1</v>
      </c>
    </row>
    <row r="3904" spans="1:8" ht="14">
      <c r="A3904" s="108">
        <v>2022</v>
      </c>
      <c r="B3904" s="108">
        <v>53</v>
      </c>
      <c r="C3904" s="108" t="s">
        <v>139</v>
      </c>
      <c r="D3904" s="108">
        <v>0</v>
      </c>
      <c r="E3904" s="108">
        <v>22.098999999999901</v>
      </c>
      <c r="F3904" s="108" t="s">
        <v>136</v>
      </c>
      <c r="G3904" s="108"/>
      <c r="H3904" s="108">
        <v>1</v>
      </c>
    </row>
    <row r="3905" spans="1:8" ht="14">
      <c r="A3905" s="108">
        <v>2022</v>
      </c>
      <c r="B3905" s="108">
        <v>53</v>
      </c>
      <c r="C3905" s="108" t="s">
        <v>139</v>
      </c>
      <c r="D3905" s="108">
        <v>0</v>
      </c>
      <c r="E3905" s="108">
        <v>10.293999999999899</v>
      </c>
      <c r="F3905" s="108" t="s">
        <v>135</v>
      </c>
      <c r="G3905" s="108"/>
      <c r="H3905" s="108">
        <v>1</v>
      </c>
    </row>
    <row r="3906" spans="1:8" ht="14">
      <c r="A3906" s="108">
        <v>2022</v>
      </c>
      <c r="B3906" s="108">
        <v>54</v>
      </c>
      <c r="C3906" s="108" t="s">
        <v>30</v>
      </c>
      <c r="D3906" s="108">
        <v>78.473415314737196</v>
      </c>
      <c r="E3906" s="108">
        <v>60.483422305636502</v>
      </c>
      <c r="F3906" s="108" t="s">
        <v>135</v>
      </c>
      <c r="G3906" s="108"/>
      <c r="H3906" s="108">
        <v>1</v>
      </c>
    </row>
    <row r="3907" spans="1:8" ht="14">
      <c r="A3907" s="108">
        <v>2022</v>
      </c>
      <c r="B3907" s="108">
        <v>54</v>
      </c>
      <c r="C3907" s="108" t="s">
        <v>30</v>
      </c>
      <c r="D3907" s="108">
        <v>4874.91558468526</v>
      </c>
      <c r="E3907" s="108">
        <v>2522.2875776943602</v>
      </c>
      <c r="F3907" s="108" t="s">
        <v>136</v>
      </c>
      <c r="G3907" s="108"/>
      <c r="H3907" s="108">
        <v>1</v>
      </c>
    </row>
    <row r="3908" spans="1:8" ht="14">
      <c r="A3908" s="108">
        <v>2022</v>
      </c>
      <c r="B3908" s="108">
        <v>54</v>
      </c>
      <c r="C3908" s="108" t="s">
        <v>138</v>
      </c>
      <c r="D3908" s="108">
        <v>3146.1763966528401</v>
      </c>
      <c r="E3908" s="108">
        <v>1853.6976197343399</v>
      </c>
      <c r="F3908" s="108" t="s">
        <v>136</v>
      </c>
      <c r="G3908" s="108"/>
      <c r="H3908" s="108">
        <v>1</v>
      </c>
    </row>
    <row r="3909" spans="1:8" ht="14">
      <c r="A3909" s="108">
        <v>2022</v>
      </c>
      <c r="B3909" s="108">
        <v>54</v>
      </c>
      <c r="C3909" s="108" t="s">
        <v>138</v>
      </c>
      <c r="D3909" s="108">
        <v>39.329603347157303</v>
      </c>
      <c r="E3909" s="108">
        <v>28.7973802656525</v>
      </c>
      <c r="F3909" s="108" t="s">
        <v>135</v>
      </c>
      <c r="G3909" s="108"/>
      <c r="H3909" s="108">
        <v>1</v>
      </c>
    </row>
    <row r="3910" spans="1:8" ht="14">
      <c r="A3910" s="108">
        <v>2022</v>
      </c>
      <c r="B3910" s="108">
        <v>54</v>
      </c>
      <c r="C3910" s="108" t="s">
        <v>139</v>
      </c>
      <c r="D3910" s="108">
        <v>1728.7391880324201</v>
      </c>
      <c r="E3910" s="108">
        <v>668.58995796001602</v>
      </c>
      <c r="F3910" s="108" t="s">
        <v>136</v>
      </c>
      <c r="G3910" s="108"/>
      <c r="H3910" s="108">
        <v>1</v>
      </c>
    </row>
    <row r="3911" spans="1:8" ht="14">
      <c r="A3911" s="108">
        <v>2022</v>
      </c>
      <c r="B3911" s="108">
        <v>54</v>
      </c>
      <c r="C3911" s="108" t="s">
        <v>139</v>
      </c>
      <c r="D3911" s="108">
        <v>39.1438119675799</v>
      </c>
      <c r="E3911" s="108">
        <v>31.686042039983999</v>
      </c>
      <c r="F3911" s="108" t="s">
        <v>135</v>
      </c>
      <c r="G3911" s="108"/>
      <c r="H3911" s="108">
        <v>1</v>
      </c>
    </row>
    <row r="3912" spans="1:8" ht="14">
      <c r="A3912" s="108">
        <v>2022</v>
      </c>
      <c r="B3912" s="108">
        <v>59</v>
      </c>
      <c r="C3912" s="108" t="s">
        <v>30</v>
      </c>
      <c r="D3912" s="108">
        <v>191.89344628099099</v>
      </c>
      <c r="E3912" s="108">
        <v>19.309749999999902</v>
      </c>
      <c r="F3912" s="108" t="s">
        <v>136</v>
      </c>
      <c r="G3912" s="108"/>
      <c r="H3912" s="108">
        <v>1</v>
      </c>
    </row>
    <row r="3913" spans="1:8" ht="14">
      <c r="A3913" s="108">
        <v>2022</v>
      </c>
      <c r="B3913" s="108">
        <v>59</v>
      </c>
      <c r="C3913" s="108" t="s">
        <v>30</v>
      </c>
      <c r="D3913" s="108">
        <v>3.5553719008264401E-2</v>
      </c>
      <c r="E3913" s="108">
        <v>0.79525000000000001</v>
      </c>
      <c r="F3913" s="108" t="s">
        <v>135</v>
      </c>
      <c r="G3913" s="108"/>
      <c r="H3913" s="108">
        <v>1</v>
      </c>
    </row>
    <row r="3914" spans="1:8" ht="14">
      <c r="A3914" s="108">
        <v>2022</v>
      </c>
      <c r="B3914" s="108">
        <v>59</v>
      </c>
      <c r="C3914" s="108" t="s">
        <v>138</v>
      </c>
      <c r="D3914" s="108">
        <v>0</v>
      </c>
      <c r="E3914" s="108">
        <v>0.39299999999999902</v>
      </c>
      <c r="F3914" s="108" t="s">
        <v>135</v>
      </c>
      <c r="G3914" s="108"/>
      <c r="H3914" s="108">
        <v>1</v>
      </c>
    </row>
    <row r="3915" spans="1:8" ht="14">
      <c r="A3915" s="108">
        <v>2022</v>
      </c>
      <c r="B3915" s="108">
        <v>59</v>
      </c>
      <c r="C3915" s="108" t="s">
        <v>138</v>
      </c>
      <c r="D3915" s="108">
        <v>103.967</v>
      </c>
      <c r="E3915" s="108">
        <v>12.706999999999899</v>
      </c>
      <c r="F3915" s="108" t="s">
        <v>136</v>
      </c>
      <c r="G3915" s="108"/>
      <c r="H3915" s="108">
        <v>1</v>
      </c>
    </row>
    <row r="3916" spans="1:8" ht="14">
      <c r="A3916" s="108">
        <v>2022</v>
      </c>
      <c r="B3916" s="108">
        <v>59</v>
      </c>
      <c r="C3916" s="108" t="s">
        <v>139</v>
      </c>
      <c r="D3916" s="108">
        <v>87.926446280991698</v>
      </c>
      <c r="E3916" s="108">
        <v>6.6027500000000003</v>
      </c>
      <c r="F3916" s="108" t="s">
        <v>136</v>
      </c>
      <c r="G3916" s="108"/>
      <c r="H3916" s="108">
        <v>1</v>
      </c>
    </row>
    <row r="3917" spans="1:8" ht="14">
      <c r="A3917" s="108">
        <v>2022</v>
      </c>
      <c r="B3917" s="108">
        <v>59</v>
      </c>
      <c r="C3917" s="108" t="s">
        <v>139</v>
      </c>
      <c r="D3917" s="108">
        <v>3.5553719008264401E-2</v>
      </c>
      <c r="E3917" s="108">
        <v>0.402249999999999</v>
      </c>
      <c r="F3917" s="108" t="s">
        <v>135</v>
      </c>
      <c r="G3917" s="108"/>
      <c r="H3917" s="108">
        <v>1</v>
      </c>
    </row>
    <row r="3918" spans="1:8" ht="14">
      <c r="A3918" s="108">
        <v>2022</v>
      </c>
      <c r="B3918" s="108">
        <v>61</v>
      </c>
      <c r="C3918" s="108" t="s">
        <v>30</v>
      </c>
      <c r="D3918" s="108">
        <v>20042.7582066287</v>
      </c>
      <c r="E3918" s="108">
        <v>1261.52465367387</v>
      </c>
      <c r="F3918" s="108" t="s">
        <v>135</v>
      </c>
      <c r="G3918" s="108"/>
      <c r="H3918" s="108">
        <v>1</v>
      </c>
    </row>
    <row r="3919" spans="1:8" ht="14">
      <c r="A3919" s="108">
        <v>2022</v>
      </c>
      <c r="B3919" s="108">
        <v>61</v>
      </c>
      <c r="C3919" s="108" t="s">
        <v>30</v>
      </c>
      <c r="D3919" s="108">
        <v>30991.905793371199</v>
      </c>
      <c r="E3919" s="108">
        <v>2233.2463463261201</v>
      </c>
      <c r="F3919" s="108" t="s">
        <v>136</v>
      </c>
      <c r="G3919" s="108"/>
      <c r="H3919" s="108">
        <v>1</v>
      </c>
    </row>
    <row r="3920" spans="1:8" ht="14">
      <c r="A3920" s="108">
        <v>2022</v>
      </c>
      <c r="B3920" s="108">
        <v>61</v>
      </c>
      <c r="C3920" s="108" t="s">
        <v>138</v>
      </c>
      <c r="D3920" s="108">
        <v>10033.996557574301</v>
      </c>
      <c r="E3920" s="108">
        <v>621.83688732436804</v>
      </c>
      <c r="F3920" s="108" t="s">
        <v>135</v>
      </c>
      <c r="G3920" s="108"/>
      <c r="H3920" s="108">
        <v>1</v>
      </c>
    </row>
    <row r="3921" spans="1:8" ht="14">
      <c r="A3921" s="108">
        <v>2022</v>
      </c>
      <c r="B3921" s="108">
        <v>61</v>
      </c>
      <c r="C3921" s="108" t="s">
        <v>138</v>
      </c>
      <c r="D3921" s="108">
        <v>20393.1934424256</v>
      </c>
      <c r="E3921" s="108">
        <v>1132.8951126756299</v>
      </c>
      <c r="F3921" s="108" t="s">
        <v>136</v>
      </c>
      <c r="G3921" s="108"/>
      <c r="H3921" s="108">
        <v>1</v>
      </c>
    </row>
    <row r="3922" spans="1:8" ht="14">
      <c r="A3922" s="108">
        <v>2022</v>
      </c>
      <c r="B3922" s="108">
        <v>61</v>
      </c>
      <c r="C3922" s="108" t="s">
        <v>139</v>
      </c>
      <c r="D3922" s="108">
        <v>10598.7123509455</v>
      </c>
      <c r="E3922" s="108">
        <v>1100.35123365049</v>
      </c>
      <c r="F3922" s="108" t="s">
        <v>136</v>
      </c>
      <c r="G3922" s="108"/>
      <c r="H3922" s="108">
        <v>1</v>
      </c>
    </row>
    <row r="3923" spans="1:8" ht="14">
      <c r="A3923" s="108">
        <v>2022</v>
      </c>
      <c r="B3923" s="108">
        <v>61</v>
      </c>
      <c r="C3923" s="108" t="s">
        <v>139</v>
      </c>
      <c r="D3923" s="108">
        <v>10008.761649054401</v>
      </c>
      <c r="E3923" s="108">
        <v>639.68776634950495</v>
      </c>
      <c r="F3923" s="108" t="s">
        <v>135</v>
      </c>
      <c r="G3923" s="108"/>
      <c r="H3923" s="108">
        <v>1</v>
      </c>
    </row>
    <row r="3924" spans="1:8" ht="14">
      <c r="A3924" s="108">
        <v>2022</v>
      </c>
      <c r="B3924" s="108">
        <v>62</v>
      </c>
      <c r="C3924" s="108" t="s">
        <v>30</v>
      </c>
      <c r="D3924" s="108">
        <v>8.8313030248780606</v>
      </c>
      <c r="E3924" s="108">
        <v>2.3717225419024999</v>
      </c>
      <c r="F3924" s="108" t="s">
        <v>135</v>
      </c>
      <c r="G3924" s="108"/>
      <c r="H3924" s="108">
        <v>1</v>
      </c>
    </row>
    <row r="3925" spans="1:8" ht="14">
      <c r="A3925" s="108">
        <v>2022</v>
      </c>
      <c r="B3925" s="108">
        <v>62</v>
      </c>
      <c r="C3925" s="108" t="s">
        <v>30</v>
      </c>
      <c r="D3925" s="108">
        <v>212.78969697512099</v>
      </c>
      <c r="E3925" s="108">
        <v>31.601277458097499</v>
      </c>
      <c r="F3925" s="108" t="s">
        <v>136</v>
      </c>
      <c r="G3925" s="108"/>
      <c r="H3925" s="108">
        <v>1</v>
      </c>
    </row>
    <row r="3926" spans="1:8" ht="14">
      <c r="A3926" s="108">
        <v>2022</v>
      </c>
      <c r="B3926" s="108">
        <v>62</v>
      </c>
      <c r="C3926" s="108" t="s">
        <v>138</v>
      </c>
      <c r="D3926" s="108">
        <v>3.7739659090908999</v>
      </c>
      <c r="E3926" s="108">
        <v>0.99773913043478202</v>
      </c>
      <c r="F3926" s="108" t="s">
        <v>135</v>
      </c>
      <c r="G3926" s="108"/>
      <c r="H3926" s="108">
        <v>1</v>
      </c>
    </row>
    <row r="3927" spans="1:8" ht="14">
      <c r="A3927" s="108">
        <v>2022</v>
      </c>
      <c r="B3927" s="108">
        <v>62</v>
      </c>
      <c r="C3927" s="108" t="s">
        <v>138</v>
      </c>
      <c r="D3927" s="108">
        <v>155.95603409090899</v>
      </c>
      <c r="E3927" s="108">
        <v>16.647260869565201</v>
      </c>
      <c r="F3927" s="108" t="s">
        <v>136</v>
      </c>
      <c r="G3927" s="108"/>
      <c r="H3927" s="108">
        <v>1</v>
      </c>
    </row>
    <row r="3928" spans="1:8" ht="14">
      <c r="A3928" s="108">
        <v>2022</v>
      </c>
      <c r="B3928" s="108">
        <v>62</v>
      </c>
      <c r="C3928" s="108" t="s">
        <v>139</v>
      </c>
      <c r="D3928" s="108">
        <v>5.0573371157871501</v>
      </c>
      <c r="E3928" s="108">
        <v>1.3739834114677201</v>
      </c>
      <c r="F3928" s="108" t="s">
        <v>135</v>
      </c>
      <c r="G3928" s="108"/>
      <c r="H3928" s="108">
        <v>1</v>
      </c>
    </row>
    <row r="3929" spans="1:8" ht="14">
      <c r="A3929" s="108">
        <v>2022</v>
      </c>
      <c r="B3929" s="108">
        <v>62</v>
      </c>
      <c r="C3929" s="108" t="s">
        <v>139</v>
      </c>
      <c r="D3929" s="108">
        <v>56.833662884212799</v>
      </c>
      <c r="E3929" s="108">
        <v>14.9540165885322</v>
      </c>
      <c r="F3929" s="108" t="s">
        <v>136</v>
      </c>
      <c r="G3929" s="108"/>
      <c r="H3929" s="108">
        <v>1</v>
      </c>
    </row>
    <row r="3930" spans="1:8" ht="14">
      <c r="A3930" s="108">
        <v>2022</v>
      </c>
      <c r="B3930" s="108">
        <v>63</v>
      </c>
      <c r="C3930" s="108" t="s">
        <v>30</v>
      </c>
      <c r="D3930" s="108">
        <v>10071.7249999999</v>
      </c>
      <c r="E3930" s="108">
        <v>591.62900000000002</v>
      </c>
      <c r="F3930" s="108" t="s">
        <v>136</v>
      </c>
      <c r="G3930" s="108"/>
      <c r="H3930" s="108">
        <v>1</v>
      </c>
    </row>
    <row r="3931" spans="1:8" ht="14">
      <c r="A3931" s="108">
        <v>2022</v>
      </c>
      <c r="B3931" s="108">
        <v>63</v>
      </c>
      <c r="C3931" s="108" t="s">
        <v>30</v>
      </c>
      <c r="D3931" s="108">
        <v>32.503999999999998</v>
      </c>
      <c r="E3931" s="108">
        <v>7.9550000000000001</v>
      </c>
      <c r="F3931" s="108" t="s">
        <v>135</v>
      </c>
      <c r="G3931" s="108"/>
      <c r="H3931" s="108">
        <v>1</v>
      </c>
    </row>
    <row r="3932" spans="1:8" ht="14">
      <c r="A3932" s="108">
        <v>2022</v>
      </c>
      <c r="B3932" s="108">
        <v>63</v>
      </c>
      <c r="C3932" s="108" t="s">
        <v>138</v>
      </c>
      <c r="D3932" s="108">
        <v>17.916</v>
      </c>
      <c r="E3932" s="108">
        <v>3.9789999999999899</v>
      </c>
      <c r="F3932" s="108" t="s">
        <v>135</v>
      </c>
      <c r="G3932" s="108"/>
      <c r="H3932" s="108">
        <v>1</v>
      </c>
    </row>
    <row r="3933" spans="1:8" ht="14">
      <c r="A3933" s="108">
        <v>2022</v>
      </c>
      <c r="B3933" s="108">
        <v>63</v>
      </c>
      <c r="C3933" s="108" t="s">
        <v>138</v>
      </c>
      <c r="D3933" s="108">
        <v>7647.0820000000003</v>
      </c>
      <c r="E3933" s="108">
        <v>306.67599999999999</v>
      </c>
      <c r="F3933" s="108" t="s">
        <v>136</v>
      </c>
      <c r="G3933" s="108"/>
      <c r="H3933" s="108">
        <v>1</v>
      </c>
    </row>
    <row r="3934" spans="1:8" ht="14">
      <c r="A3934" s="108">
        <v>2022</v>
      </c>
      <c r="B3934" s="108">
        <v>63</v>
      </c>
      <c r="C3934" s="108" t="s">
        <v>139</v>
      </c>
      <c r="D3934" s="108">
        <v>2424.643</v>
      </c>
      <c r="E3934" s="108">
        <v>284.95299999999997</v>
      </c>
      <c r="F3934" s="108" t="s">
        <v>136</v>
      </c>
      <c r="G3934" s="108"/>
      <c r="H3934" s="108">
        <v>1</v>
      </c>
    </row>
    <row r="3935" spans="1:8" ht="14">
      <c r="A3935" s="108">
        <v>2022</v>
      </c>
      <c r="B3935" s="108">
        <v>63</v>
      </c>
      <c r="C3935" s="108" t="s">
        <v>139</v>
      </c>
      <c r="D3935" s="108">
        <v>14.587999999999999</v>
      </c>
      <c r="E3935" s="108">
        <v>3.976</v>
      </c>
      <c r="F3935" s="108" t="s">
        <v>135</v>
      </c>
      <c r="G3935" s="108"/>
      <c r="H3935" s="108">
        <v>1</v>
      </c>
    </row>
    <row r="3936" spans="1:8" ht="14">
      <c r="A3936" s="108">
        <v>2022</v>
      </c>
      <c r="B3936" s="108">
        <v>69</v>
      </c>
      <c r="C3936" s="108" t="s">
        <v>30</v>
      </c>
      <c r="D3936" s="108">
        <v>1.37499999999999</v>
      </c>
      <c r="E3936" s="108">
        <v>1.278</v>
      </c>
      <c r="F3936" s="108" t="s">
        <v>136</v>
      </c>
      <c r="G3936" s="108"/>
      <c r="H3936" s="108">
        <v>1</v>
      </c>
    </row>
    <row r="3937" spans="1:8" ht="14">
      <c r="A3937" s="108">
        <v>2022</v>
      </c>
      <c r="B3937" s="108">
        <v>69</v>
      </c>
      <c r="C3937" s="108" t="s">
        <v>30</v>
      </c>
      <c r="D3937" s="108">
        <v>0.28399999999999898</v>
      </c>
      <c r="E3937" s="108">
        <v>0.28199999999999997</v>
      </c>
      <c r="F3937" s="108" t="s">
        <v>135</v>
      </c>
      <c r="G3937" s="108"/>
      <c r="H3937" s="108">
        <v>1</v>
      </c>
    </row>
    <row r="3938" spans="1:8" ht="14">
      <c r="A3938" s="108">
        <v>2022</v>
      </c>
      <c r="B3938" s="108">
        <v>69</v>
      </c>
      <c r="C3938" s="108" t="s">
        <v>138</v>
      </c>
      <c r="D3938" s="108">
        <v>0.317</v>
      </c>
      <c r="E3938" s="108">
        <v>8.1000000000000003E-2</v>
      </c>
      <c r="F3938" s="108" t="s">
        <v>136</v>
      </c>
      <c r="G3938" s="108"/>
      <c r="H3938" s="108">
        <v>1</v>
      </c>
    </row>
    <row r="3939" spans="1:8" ht="14">
      <c r="A3939" s="108">
        <v>2022</v>
      </c>
      <c r="B3939" s="108">
        <v>69</v>
      </c>
      <c r="C3939" s="108" t="s">
        <v>138</v>
      </c>
      <c r="D3939" s="108">
        <v>9.3999999999999903E-2</v>
      </c>
      <c r="E3939" s="108">
        <v>9.2999999999999999E-2</v>
      </c>
      <c r="F3939" s="108" t="s">
        <v>135</v>
      </c>
      <c r="G3939" s="108"/>
      <c r="H3939" s="108">
        <v>1</v>
      </c>
    </row>
    <row r="3940" spans="1:8" ht="14">
      <c r="A3940" s="108">
        <v>2022</v>
      </c>
      <c r="B3940" s="108">
        <v>69</v>
      </c>
      <c r="C3940" s="108" t="s">
        <v>139</v>
      </c>
      <c r="D3940" s="108">
        <v>1.0580000000000001</v>
      </c>
      <c r="E3940" s="108">
        <v>1.1970000000000001</v>
      </c>
      <c r="F3940" s="108" t="s">
        <v>136</v>
      </c>
      <c r="G3940" s="108"/>
      <c r="H3940" s="108">
        <v>1</v>
      </c>
    </row>
    <row r="3941" spans="1:8" ht="14">
      <c r="A3941" s="108">
        <v>2022</v>
      </c>
      <c r="B3941" s="108">
        <v>69</v>
      </c>
      <c r="C3941" s="108" t="s">
        <v>139</v>
      </c>
      <c r="D3941" s="108">
        <v>0.19</v>
      </c>
      <c r="E3941" s="108">
        <v>0.189</v>
      </c>
      <c r="F3941" s="108" t="s">
        <v>135</v>
      </c>
      <c r="G3941" s="108"/>
      <c r="H3941" s="108">
        <v>1</v>
      </c>
    </row>
    <row r="3942" spans="1:8" ht="14">
      <c r="A3942" s="108">
        <v>2022</v>
      </c>
      <c r="B3942" s="108">
        <v>91</v>
      </c>
      <c r="C3942" s="108" t="s">
        <v>30</v>
      </c>
      <c r="D3942" s="108">
        <v>4577.5799706535699</v>
      </c>
      <c r="E3942" s="108">
        <v>0</v>
      </c>
      <c r="F3942" s="108" t="s">
        <v>136</v>
      </c>
      <c r="G3942" s="108"/>
      <c r="H3942" s="108">
        <v>1</v>
      </c>
    </row>
    <row r="3943" spans="1:8" ht="14">
      <c r="A3943" s="108">
        <v>2022</v>
      </c>
      <c r="B3943" s="108">
        <v>91</v>
      </c>
      <c r="C3943" s="108" t="s">
        <v>30</v>
      </c>
      <c r="D3943" s="108">
        <v>157.246029346424</v>
      </c>
      <c r="E3943" s="108">
        <v>0</v>
      </c>
      <c r="F3943" s="108" t="s">
        <v>135</v>
      </c>
      <c r="G3943" s="108"/>
      <c r="H3943" s="108">
        <v>1</v>
      </c>
    </row>
    <row r="3944" spans="1:8" ht="14">
      <c r="A3944" s="108">
        <v>2022</v>
      </c>
      <c r="B3944" s="108">
        <v>91</v>
      </c>
      <c r="C3944" s="108" t="s">
        <v>138</v>
      </c>
      <c r="D3944" s="108">
        <v>4465.81650945809</v>
      </c>
      <c r="E3944" s="108">
        <v>0</v>
      </c>
      <c r="F3944" s="108" t="s">
        <v>136</v>
      </c>
      <c r="G3944" s="108"/>
      <c r="H3944" s="108">
        <v>1</v>
      </c>
    </row>
    <row r="3945" spans="1:8" ht="14">
      <c r="A3945" s="108">
        <v>2022</v>
      </c>
      <c r="B3945" s="108">
        <v>91</v>
      </c>
      <c r="C3945" s="108" t="s">
        <v>138</v>
      </c>
      <c r="D3945" s="108">
        <v>92.171490541900695</v>
      </c>
      <c r="E3945" s="108">
        <v>0</v>
      </c>
      <c r="F3945" s="108" t="s">
        <v>135</v>
      </c>
      <c r="G3945" s="108"/>
      <c r="H3945" s="108">
        <v>1</v>
      </c>
    </row>
    <row r="3946" spans="1:8" ht="14">
      <c r="A3946" s="108">
        <v>2022</v>
      </c>
      <c r="B3946" s="108">
        <v>91</v>
      </c>
      <c r="C3946" s="108" t="s">
        <v>139</v>
      </c>
      <c r="D3946" s="108">
        <v>111.763461195476</v>
      </c>
      <c r="E3946" s="108">
        <v>0</v>
      </c>
      <c r="F3946" s="108" t="s">
        <v>136</v>
      </c>
      <c r="G3946" s="108"/>
      <c r="H3946" s="108">
        <v>1</v>
      </c>
    </row>
    <row r="3947" spans="1:8" ht="14">
      <c r="A3947" s="108">
        <v>2022</v>
      </c>
      <c r="B3947" s="108">
        <v>91</v>
      </c>
      <c r="C3947" s="108" t="s">
        <v>139</v>
      </c>
      <c r="D3947" s="108">
        <v>65.074538804523499</v>
      </c>
      <c r="E3947" s="108">
        <v>0</v>
      </c>
      <c r="F3947" s="108" t="s">
        <v>135</v>
      </c>
      <c r="G3947" s="108"/>
      <c r="H3947" s="108">
        <v>1</v>
      </c>
    </row>
    <row r="3948" spans="1:8" ht="14">
      <c r="A3948" s="108">
        <v>2022</v>
      </c>
      <c r="B3948" s="108">
        <v>92</v>
      </c>
      <c r="C3948" s="108" t="s">
        <v>30</v>
      </c>
      <c r="D3948" s="108">
        <v>203.22887741643899</v>
      </c>
      <c r="E3948" s="108">
        <v>0</v>
      </c>
      <c r="F3948" s="108" t="s">
        <v>135</v>
      </c>
      <c r="G3948" s="108"/>
      <c r="H3948" s="108">
        <v>1</v>
      </c>
    </row>
    <row r="3949" spans="1:8" ht="14">
      <c r="A3949" s="108">
        <v>2022</v>
      </c>
      <c r="B3949" s="108">
        <v>92</v>
      </c>
      <c r="C3949" s="108" t="s">
        <v>30</v>
      </c>
      <c r="D3949" s="108">
        <v>5458.2101225835604</v>
      </c>
      <c r="E3949" s="108">
        <v>0</v>
      </c>
      <c r="F3949" s="108" t="s">
        <v>136</v>
      </c>
      <c r="G3949" s="108"/>
      <c r="H3949" s="108">
        <v>1</v>
      </c>
    </row>
    <row r="3950" spans="1:8" ht="14">
      <c r="A3950" s="108">
        <v>2022</v>
      </c>
      <c r="B3950" s="108">
        <v>92</v>
      </c>
      <c r="C3950" s="108" t="s">
        <v>138</v>
      </c>
      <c r="D3950" s="108">
        <v>4235.9662361646397</v>
      </c>
      <c r="E3950" s="108">
        <v>0</v>
      </c>
      <c r="F3950" s="108" t="s">
        <v>136</v>
      </c>
      <c r="G3950" s="108"/>
      <c r="H3950" s="108">
        <v>1</v>
      </c>
    </row>
    <row r="3951" spans="1:8" ht="14">
      <c r="A3951" s="108">
        <v>2022</v>
      </c>
      <c r="B3951" s="108">
        <v>92</v>
      </c>
      <c r="C3951" s="108" t="s">
        <v>138</v>
      </c>
      <c r="D3951" s="108">
        <v>94.649763835352005</v>
      </c>
      <c r="E3951" s="108">
        <v>0</v>
      </c>
      <c r="F3951" s="108" t="s">
        <v>135</v>
      </c>
      <c r="G3951" s="108"/>
      <c r="H3951" s="108">
        <v>1</v>
      </c>
    </row>
    <row r="3952" spans="1:8" ht="14">
      <c r="A3952" s="108">
        <v>2022</v>
      </c>
      <c r="B3952" s="108">
        <v>92</v>
      </c>
      <c r="C3952" s="108" t="s">
        <v>139</v>
      </c>
      <c r="D3952" s="108">
        <v>108.579113581087</v>
      </c>
      <c r="E3952" s="108">
        <v>0</v>
      </c>
      <c r="F3952" s="108" t="s">
        <v>135</v>
      </c>
      <c r="G3952" s="108"/>
      <c r="H3952" s="108">
        <v>1</v>
      </c>
    </row>
    <row r="3953" spans="1:8" ht="14">
      <c r="A3953" s="108">
        <v>2022</v>
      </c>
      <c r="B3953" s="108">
        <v>92</v>
      </c>
      <c r="C3953" s="108" t="s">
        <v>139</v>
      </c>
      <c r="D3953" s="108">
        <v>1222.2438864189101</v>
      </c>
      <c r="E3953" s="108">
        <v>0</v>
      </c>
      <c r="F3953" s="108" t="s">
        <v>136</v>
      </c>
      <c r="G3953" s="108"/>
      <c r="H3953" s="108">
        <v>1</v>
      </c>
    </row>
    <row r="3954" spans="1:8" ht="14">
      <c r="A3954" s="108">
        <v>2022</v>
      </c>
      <c r="B3954" s="108">
        <v>99</v>
      </c>
      <c r="C3954" s="108" t="s">
        <v>30</v>
      </c>
      <c r="D3954" s="108">
        <v>1689.2542598856501</v>
      </c>
      <c r="E3954" s="108">
        <v>0</v>
      </c>
      <c r="F3954" s="108" t="s">
        <v>135</v>
      </c>
      <c r="G3954" s="108"/>
      <c r="H3954" s="108">
        <v>1</v>
      </c>
    </row>
    <row r="3955" spans="1:8" ht="14">
      <c r="A3955" s="108">
        <v>2022</v>
      </c>
      <c r="B3955" s="108">
        <v>99</v>
      </c>
      <c r="C3955" s="108" t="s">
        <v>30</v>
      </c>
      <c r="D3955" s="108">
        <v>3340.6317401143401</v>
      </c>
      <c r="E3955" s="108">
        <v>0</v>
      </c>
      <c r="F3955" s="108" t="s">
        <v>136</v>
      </c>
      <c r="G3955" s="108"/>
      <c r="H3955" s="108">
        <v>1</v>
      </c>
    </row>
    <row r="3956" spans="1:8" ht="14">
      <c r="A3956" s="108">
        <v>2022</v>
      </c>
      <c r="B3956" s="108">
        <v>99</v>
      </c>
      <c r="C3956" s="108" t="s">
        <v>138</v>
      </c>
      <c r="D3956" s="108">
        <v>1833.5691154195699</v>
      </c>
      <c r="E3956" s="108">
        <v>0</v>
      </c>
      <c r="F3956" s="108" t="s">
        <v>136</v>
      </c>
      <c r="G3956" s="108"/>
      <c r="H3956" s="108">
        <v>1</v>
      </c>
    </row>
    <row r="3957" spans="1:8" ht="14">
      <c r="A3957" s="108">
        <v>2022</v>
      </c>
      <c r="B3957" s="108">
        <v>99</v>
      </c>
      <c r="C3957" s="108" t="s">
        <v>138</v>
      </c>
      <c r="D3957" s="108">
        <v>592.681884580428</v>
      </c>
      <c r="E3957" s="108">
        <v>0</v>
      </c>
      <c r="F3957" s="108" t="s">
        <v>135</v>
      </c>
      <c r="G3957" s="108"/>
      <c r="H3957" s="108">
        <v>1</v>
      </c>
    </row>
    <row r="3958" spans="1:8" ht="14">
      <c r="A3958" s="108">
        <v>2022</v>
      </c>
      <c r="B3958" s="108">
        <v>99</v>
      </c>
      <c r="C3958" s="108" t="s">
        <v>139</v>
      </c>
      <c r="D3958" s="108">
        <v>1096.57237530522</v>
      </c>
      <c r="E3958" s="108">
        <v>0</v>
      </c>
      <c r="F3958" s="108" t="s">
        <v>135</v>
      </c>
      <c r="G3958" s="108"/>
      <c r="H3958" s="108">
        <v>1</v>
      </c>
    </row>
    <row r="3959" spans="1:8" ht="14">
      <c r="A3959" s="108">
        <v>2022</v>
      </c>
      <c r="B3959" s="108">
        <v>99</v>
      </c>
      <c r="C3959" s="108" t="s">
        <v>139</v>
      </c>
      <c r="D3959" s="108">
        <v>1507.06262469477</v>
      </c>
      <c r="E3959" s="108">
        <v>0</v>
      </c>
      <c r="F3959" s="108" t="s">
        <v>136</v>
      </c>
      <c r="G3959" s="108"/>
      <c r="H3959" s="108">
        <v>1</v>
      </c>
    </row>
    <row r="3960" spans="1:8" ht="14">
      <c r="A3960" s="108">
        <v>2023</v>
      </c>
      <c r="B3960" s="108">
        <v>11</v>
      </c>
      <c r="C3960" s="108" t="s">
        <v>30</v>
      </c>
      <c r="D3960" s="108">
        <v>584.80752329679603</v>
      </c>
      <c r="E3960" s="108">
        <v>0</v>
      </c>
      <c r="F3960" s="108" t="s">
        <v>135</v>
      </c>
      <c r="G3960" s="108"/>
      <c r="H3960" s="108">
        <v>1</v>
      </c>
    </row>
    <row r="3961" spans="1:8" ht="14">
      <c r="A3961" s="108">
        <v>2023</v>
      </c>
      <c r="B3961" s="108">
        <v>11</v>
      </c>
      <c r="C3961" s="108" t="s">
        <v>30</v>
      </c>
      <c r="D3961" s="108">
        <v>1.2096315591498901</v>
      </c>
      <c r="E3961" s="108">
        <v>0</v>
      </c>
      <c r="F3961" s="108" t="s">
        <v>137</v>
      </c>
      <c r="G3961" s="108"/>
      <c r="H3961" s="108">
        <v>1</v>
      </c>
    </row>
    <row r="3962" spans="1:8" ht="14">
      <c r="A3962" s="108">
        <v>2023</v>
      </c>
      <c r="B3962" s="108">
        <v>11</v>
      </c>
      <c r="C3962" s="108" t="s">
        <v>30</v>
      </c>
      <c r="D3962" s="108">
        <v>17368.934845143998</v>
      </c>
      <c r="E3962" s="108">
        <v>0</v>
      </c>
      <c r="F3962" s="108" t="s">
        <v>136</v>
      </c>
      <c r="G3962" s="108"/>
      <c r="H3962" s="108">
        <v>1</v>
      </c>
    </row>
    <row r="3963" spans="1:8" ht="14">
      <c r="A3963" s="108">
        <v>2023</v>
      </c>
      <c r="B3963" s="108">
        <v>11</v>
      </c>
      <c r="C3963" s="108" t="s">
        <v>138</v>
      </c>
      <c r="D3963" s="108">
        <v>270.53143640792803</v>
      </c>
      <c r="E3963" s="108">
        <v>0</v>
      </c>
      <c r="F3963" s="108" t="s">
        <v>135</v>
      </c>
      <c r="G3963" s="108"/>
      <c r="H3963" s="108">
        <v>1</v>
      </c>
    </row>
    <row r="3964" spans="1:8" ht="14">
      <c r="A3964" s="108">
        <v>2023</v>
      </c>
      <c r="B3964" s="108">
        <v>11</v>
      </c>
      <c r="C3964" s="108" t="s">
        <v>138</v>
      </c>
      <c r="D3964" s="108">
        <v>14734.104563592</v>
      </c>
      <c r="E3964" s="108">
        <v>0</v>
      </c>
      <c r="F3964" s="108" t="s">
        <v>136</v>
      </c>
      <c r="G3964" s="108"/>
      <c r="H3964" s="108">
        <v>1</v>
      </c>
    </row>
    <row r="3965" spans="1:8" ht="14">
      <c r="A3965" s="108">
        <v>2023</v>
      </c>
      <c r="B3965" s="108">
        <v>11</v>
      </c>
      <c r="C3965" s="108" t="s">
        <v>139</v>
      </c>
      <c r="D3965" s="108">
        <v>314.27608688886801</v>
      </c>
      <c r="E3965" s="108">
        <v>0</v>
      </c>
      <c r="F3965" s="108" t="s">
        <v>135</v>
      </c>
      <c r="G3965" s="108"/>
      <c r="H3965" s="108">
        <v>1</v>
      </c>
    </row>
    <row r="3966" spans="1:8" ht="14">
      <c r="A3966" s="108">
        <v>2023</v>
      </c>
      <c r="B3966" s="108">
        <v>11</v>
      </c>
      <c r="C3966" s="108" t="s">
        <v>139</v>
      </c>
      <c r="D3966" s="108">
        <v>2634.8302815519801</v>
      </c>
      <c r="E3966" s="108">
        <v>0</v>
      </c>
      <c r="F3966" s="108" t="s">
        <v>136</v>
      </c>
      <c r="G3966" s="108"/>
      <c r="H3966" s="108">
        <v>1</v>
      </c>
    </row>
    <row r="3967" spans="1:8" ht="14">
      <c r="A3967" s="108">
        <v>2023</v>
      </c>
      <c r="B3967" s="108">
        <v>11</v>
      </c>
      <c r="C3967" s="108" t="s">
        <v>139</v>
      </c>
      <c r="D3967" s="108">
        <v>1.2096315591498901</v>
      </c>
      <c r="E3967" s="108">
        <v>0</v>
      </c>
      <c r="F3967" s="108" t="s">
        <v>137</v>
      </c>
      <c r="G3967" s="108"/>
      <c r="H3967" s="108">
        <v>1</v>
      </c>
    </row>
    <row r="3968" spans="1:8" ht="14">
      <c r="A3968" s="108">
        <v>2023</v>
      </c>
      <c r="B3968" s="108">
        <v>12</v>
      </c>
      <c r="C3968" s="108" t="s">
        <v>30</v>
      </c>
      <c r="D3968" s="108">
        <v>14696.1400855422</v>
      </c>
      <c r="E3968" s="108">
        <v>0</v>
      </c>
      <c r="F3968" s="108" t="s">
        <v>135</v>
      </c>
      <c r="G3968" s="108"/>
      <c r="H3968" s="108">
        <v>1</v>
      </c>
    </row>
    <row r="3969" spans="1:8" ht="14">
      <c r="A3969" s="108">
        <v>2023</v>
      </c>
      <c r="B3969" s="108">
        <v>12</v>
      </c>
      <c r="C3969" s="108" t="s">
        <v>30</v>
      </c>
      <c r="D3969" s="108">
        <v>58987.946914457701</v>
      </c>
      <c r="E3969" s="108">
        <v>0</v>
      </c>
      <c r="F3969" s="108" t="s">
        <v>136</v>
      </c>
      <c r="G3969" s="108"/>
      <c r="H3969" s="108">
        <v>1</v>
      </c>
    </row>
    <row r="3970" spans="1:8" ht="14">
      <c r="A3970" s="108">
        <v>2023</v>
      </c>
      <c r="B3970" s="108">
        <v>12</v>
      </c>
      <c r="C3970" s="108" t="s">
        <v>138</v>
      </c>
      <c r="D3970" s="108">
        <v>38342.085530461802</v>
      </c>
      <c r="E3970" s="108">
        <v>0</v>
      </c>
      <c r="F3970" s="108" t="s">
        <v>136</v>
      </c>
      <c r="G3970" s="108"/>
      <c r="H3970" s="108">
        <v>1</v>
      </c>
    </row>
    <row r="3971" spans="1:8" ht="14">
      <c r="A3971" s="108">
        <v>2023</v>
      </c>
      <c r="B3971" s="108">
        <v>12</v>
      </c>
      <c r="C3971" s="108" t="s">
        <v>138</v>
      </c>
      <c r="D3971" s="108">
        <v>8083.1204695381803</v>
      </c>
      <c r="E3971" s="108">
        <v>0</v>
      </c>
      <c r="F3971" s="108" t="s">
        <v>135</v>
      </c>
      <c r="G3971" s="108"/>
      <c r="H3971" s="108">
        <v>1</v>
      </c>
    </row>
    <row r="3972" spans="1:8" ht="14">
      <c r="A3972" s="108">
        <v>2023</v>
      </c>
      <c r="B3972" s="108">
        <v>12</v>
      </c>
      <c r="C3972" s="108" t="s">
        <v>139</v>
      </c>
      <c r="D3972" s="108">
        <v>6613.0196160040996</v>
      </c>
      <c r="E3972" s="108">
        <v>0</v>
      </c>
      <c r="F3972" s="108" t="s">
        <v>135</v>
      </c>
      <c r="G3972" s="108"/>
      <c r="H3972" s="108">
        <v>1</v>
      </c>
    </row>
    <row r="3973" spans="1:8" ht="14">
      <c r="A3973" s="108">
        <v>2023</v>
      </c>
      <c r="B3973" s="108">
        <v>12</v>
      </c>
      <c r="C3973" s="108" t="s">
        <v>139</v>
      </c>
      <c r="D3973" s="108">
        <v>20645.8613839959</v>
      </c>
      <c r="E3973" s="108">
        <v>0</v>
      </c>
      <c r="F3973" s="108" t="s">
        <v>136</v>
      </c>
      <c r="G3973" s="108"/>
      <c r="H3973" s="108">
        <v>1</v>
      </c>
    </row>
    <row r="3974" spans="1:8" ht="14">
      <c r="A3974" s="108">
        <v>2023</v>
      </c>
      <c r="B3974" s="108">
        <v>13</v>
      </c>
      <c r="C3974" s="108" t="s">
        <v>30</v>
      </c>
      <c r="D3974" s="108">
        <v>53016.168714821797</v>
      </c>
      <c r="E3974" s="108">
        <v>0</v>
      </c>
      <c r="F3974" s="108" t="s">
        <v>136</v>
      </c>
      <c r="G3974" s="108"/>
      <c r="H3974" s="108">
        <v>1</v>
      </c>
    </row>
    <row r="3975" spans="1:8" ht="14">
      <c r="A3975" s="108">
        <v>2023</v>
      </c>
      <c r="B3975" s="108">
        <v>13</v>
      </c>
      <c r="C3975" s="108" t="s">
        <v>30</v>
      </c>
      <c r="D3975" s="108">
        <v>2.0513521427327701</v>
      </c>
      <c r="E3975" s="108">
        <v>0</v>
      </c>
      <c r="F3975" s="108" t="s">
        <v>137</v>
      </c>
      <c r="G3975" s="108"/>
      <c r="H3975" s="108">
        <v>1</v>
      </c>
    </row>
    <row r="3976" spans="1:8" ht="14">
      <c r="A3976" s="108">
        <v>2023</v>
      </c>
      <c r="B3976" s="108">
        <v>13</v>
      </c>
      <c r="C3976" s="108" t="s">
        <v>30</v>
      </c>
      <c r="D3976" s="108">
        <v>16082.3379330354</v>
      </c>
      <c r="E3976" s="108">
        <v>0</v>
      </c>
      <c r="F3976" s="108" t="s">
        <v>135</v>
      </c>
      <c r="G3976" s="108"/>
      <c r="H3976" s="108">
        <v>1</v>
      </c>
    </row>
    <row r="3977" spans="1:8" ht="14">
      <c r="A3977" s="108">
        <v>2023</v>
      </c>
      <c r="B3977" s="108">
        <v>13</v>
      </c>
      <c r="C3977" s="108" t="s">
        <v>138</v>
      </c>
      <c r="D3977" s="108">
        <v>8166.5480421213297</v>
      </c>
      <c r="E3977" s="108">
        <v>0</v>
      </c>
      <c r="F3977" s="108" t="s">
        <v>135</v>
      </c>
      <c r="G3977" s="108"/>
      <c r="H3977" s="108">
        <v>1</v>
      </c>
    </row>
    <row r="3978" spans="1:8" ht="14">
      <c r="A3978" s="108">
        <v>2023</v>
      </c>
      <c r="B3978" s="108">
        <v>13</v>
      </c>
      <c r="C3978" s="108" t="s">
        <v>138</v>
      </c>
      <c r="D3978" s="108">
        <v>32559.8986057359</v>
      </c>
      <c r="E3978" s="108">
        <v>0</v>
      </c>
      <c r="F3978" s="108" t="s">
        <v>136</v>
      </c>
      <c r="G3978" s="108"/>
      <c r="H3978" s="108">
        <v>1</v>
      </c>
    </row>
    <row r="3979" spans="1:8" ht="14">
      <c r="A3979" s="108">
        <v>2023</v>
      </c>
      <c r="B3979" s="108">
        <v>13</v>
      </c>
      <c r="C3979" s="108" t="s">
        <v>138</v>
      </c>
      <c r="D3979" s="108">
        <v>1.2303521427327699</v>
      </c>
      <c r="E3979" s="108">
        <v>0</v>
      </c>
      <c r="F3979" s="108" t="s">
        <v>137</v>
      </c>
      <c r="G3979" s="108"/>
      <c r="H3979" s="108">
        <v>1</v>
      </c>
    </row>
    <row r="3980" spans="1:8" ht="14">
      <c r="A3980" s="108">
        <v>2023</v>
      </c>
      <c r="B3980" s="108">
        <v>13</v>
      </c>
      <c r="C3980" s="108" t="s">
        <v>139</v>
      </c>
      <c r="D3980" s="108">
        <v>7915.7898909141204</v>
      </c>
      <c r="E3980" s="108">
        <v>0</v>
      </c>
      <c r="F3980" s="108" t="s">
        <v>135</v>
      </c>
      <c r="G3980" s="108"/>
      <c r="H3980" s="108">
        <v>1</v>
      </c>
    </row>
    <row r="3981" spans="1:8" ht="14">
      <c r="A3981" s="108">
        <v>2023</v>
      </c>
      <c r="B3981" s="108">
        <v>13</v>
      </c>
      <c r="C3981" s="108" t="s">
        <v>139</v>
      </c>
      <c r="D3981" s="108">
        <v>20456.270109085799</v>
      </c>
      <c r="E3981" s="108">
        <v>0</v>
      </c>
      <c r="F3981" s="108" t="s">
        <v>136</v>
      </c>
      <c r="G3981" s="108"/>
      <c r="H3981" s="108">
        <v>1</v>
      </c>
    </row>
    <row r="3982" spans="1:8" ht="14">
      <c r="A3982" s="108">
        <v>2023</v>
      </c>
      <c r="B3982" s="108">
        <v>13</v>
      </c>
      <c r="C3982" s="108" t="s">
        <v>139</v>
      </c>
      <c r="D3982" s="108">
        <v>0.82099999999999995</v>
      </c>
      <c r="E3982" s="108">
        <v>0</v>
      </c>
      <c r="F3982" s="108" t="s">
        <v>137</v>
      </c>
      <c r="G3982" s="108"/>
      <c r="H3982" s="108">
        <v>1</v>
      </c>
    </row>
    <row r="3983" spans="1:8" ht="14">
      <c r="A3983" s="108">
        <v>2023</v>
      </c>
      <c r="B3983" s="108">
        <v>19</v>
      </c>
      <c r="C3983" s="108" t="s">
        <v>30</v>
      </c>
      <c r="D3983" s="108">
        <v>1528.64611852958</v>
      </c>
      <c r="E3983" s="108">
        <v>0</v>
      </c>
      <c r="F3983" s="108" t="s">
        <v>135</v>
      </c>
      <c r="G3983" s="108"/>
      <c r="H3983" s="108">
        <v>1</v>
      </c>
    </row>
    <row r="3984" spans="1:8" ht="14">
      <c r="A3984" s="108">
        <v>2023</v>
      </c>
      <c r="B3984" s="108">
        <v>19</v>
      </c>
      <c r="C3984" s="108" t="s">
        <v>30</v>
      </c>
      <c r="D3984" s="108">
        <v>6996.5218814704103</v>
      </c>
      <c r="E3984" s="108">
        <v>0</v>
      </c>
      <c r="F3984" s="108" t="s">
        <v>136</v>
      </c>
      <c r="G3984" s="108"/>
      <c r="H3984" s="108">
        <v>1</v>
      </c>
    </row>
    <row r="3985" spans="1:8" ht="14">
      <c r="A3985" s="108">
        <v>2023</v>
      </c>
      <c r="B3985" s="108">
        <v>19</v>
      </c>
      <c r="C3985" s="108" t="s">
        <v>138</v>
      </c>
      <c r="D3985" s="108">
        <v>681.52412239620901</v>
      </c>
      <c r="E3985" s="108">
        <v>0</v>
      </c>
      <c r="F3985" s="108" t="s">
        <v>135</v>
      </c>
      <c r="G3985" s="108"/>
      <c r="H3985" s="108">
        <v>1</v>
      </c>
    </row>
    <row r="3986" spans="1:8" ht="14">
      <c r="A3986" s="108">
        <v>2023</v>
      </c>
      <c r="B3986" s="108">
        <v>19</v>
      </c>
      <c r="C3986" s="108" t="s">
        <v>138</v>
      </c>
      <c r="D3986" s="108">
        <v>5698.6048776037896</v>
      </c>
      <c r="E3986" s="108">
        <v>0</v>
      </c>
      <c r="F3986" s="108" t="s">
        <v>136</v>
      </c>
      <c r="G3986" s="108"/>
      <c r="H3986" s="108">
        <v>1</v>
      </c>
    </row>
    <row r="3987" spans="1:8" ht="14">
      <c r="A3987" s="108">
        <v>2023</v>
      </c>
      <c r="B3987" s="108">
        <v>19</v>
      </c>
      <c r="C3987" s="108" t="s">
        <v>139</v>
      </c>
      <c r="D3987" s="108">
        <v>1297.91700386662</v>
      </c>
      <c r="E3987" s="108">
        <v>0</v>
      </c>
      <c r="F3987" s="108" t="s">
        <v>136</v>
      </c>
      <c r="G3987" s="108"/>
      <c r="H3987" s="108">
        <v>1</v>
      </c>
    </row>
    <row r="3988" spans="1:8" ht="14">
      <c r="A3988" s="108">
        <v>2023</v>
      </c>
      <c r="B3988" s="108">
        <v>19</v>
      </c>
      <c r="C3988" s="108" t="s">
        <v>139</v>
      </c>
      <c r="D3988" s="108">
        <v>847.121996133371</v>
      </c>
      <c r="E3988" s="108">
        <v>0</v>
      </c>
      <c r="F3988" s="108" t="s">
        <v>135</v>
      </c>
      <c r="G3988" s="108"/>
      <c r="H3988" s="108">
        <v>1</v>
      </c>
    </row>
    <row r="3989" spans="1:8" ht="14">
      <c r="A3989" s="108">
        <v>2023</v>
      </c>
      <c r="B3989" s="108">
        <v>21</v>
      </c>
      <c r="C3989" s="108" t="s">
        <v>30</v>
      </c>
      <c r="D3989" s="108">
        <v>12754.5744913814</v>
      </c>
      <c r="E3989" s="108">
        <v>0</v>
      </c>
      <c r="F3989" s="108" t="s">
        <v>136</v>
      </c>
      <c r="G3989" s="108"/>
      <c r="H3989" s="108">
        <v>1</v>
      </c>
    </row>
    <row r="3990" spans="1:8" ht="14">
      <c r="A3990" s="108">
        <v>2023</v>
      </c>
      <c r="B3990" s="108">
        <v>21</v>
      </c>
      <c r="C3990" s="108" t="s">
        <v>30</v>
      </c>
      <c r="D3990" s="108">
        <v>504.15050861851</v>
      </c>
      <c r="E3990" s="108">
        <v>0</v>
      </c>
      <c r="F3990" s="108" t="s">
        <v>135</v>
      </c>
      <c r="G3990" s="108"/>
      <c r="H3990" s="108">
        <v>1</v>
      </c>
    </row>
    <row r="3991" spans="1:8" ht="14">
      <c r="A3991" s="108">
        <v>2023</v>
      </c>
      <c r="B3991" s="108">
        <v>21</v>
      </c>
      <c r="C3991" s="108" t="s">
        <v>30</v>
      </c>
      <c r="D3991" s="108">
        <v>6.7160000000000002</v>
      </c>
      <c r="E3991" s="108">
        <v>0</v>
      </c>
      <c r="F3991" s="108" t="s">
        <v>137</v>
      </c>
      <c r="G3991" s="108"/>
      <c r="H3991" s="108">
        <v>1</v>
      </c>
    </row>
    <row r="3992" spans="1:8" ht="14">
      <c r="A3992" s="108">
        <v>2023</v>
      </c>
      <c r="B3992" s="108">
        <v>21</v>
      </c>
      <c r="C3992" s="108" t="s">
        <v>138</v>
      </c>
      <c r="D3992" s="108">
        <v>343.19584472247197</v>
      </c>
      <c r="E3992" s="108">
        <v>0</v>
      </c>
      <c r="F3992" s="108" t="s">
        <v>135</v>
      </c>
      <c r="G3992" s="108"/>
      <c r="H3992" s="108">
        <v>1</v>
      </c>
    </row>
    <row r="3993" spans="1:8" ht="14">
      <c r="A3993" s="108">
        <v>2023</v>
      </c>
      <c r="B3993" s="108">
        <v>21</v>
      </c>
      <c r="C3993" s="108" t="s">
        <v>138</v>
      </c>
      <c r="D3993" s="108">
        <v>8799.7501552775193</v>
      </c>
      <c r="E3993" s="108">
        <v>0</v>
      </c>
      <c r="F3993" s="108" t="s">
        <v>136</v>
      </c>
      <c r="G3993" s="108"/>
      <c r="H3993" s="108">
        <v>1</v>
      </c>
    </row>
    <row r="3994" spans="1:8" ht="14">
      <c r="A3994" s="108">
        <v>2023</v>
      </c>
      <c r="B3994" s="108">
        <v>21</v>
      </c>
      <c r="C3994" s="108" t="s">
        <v>139</v>
      </c>
      <c r="D3994" s="108">
        <v>6.7160000000000002</v>
      </c>
      <c r="E3994" s="108">
        <v>0</v>
      </c>
      <c r="F3994" s="108" t="s">
        <v>137</v>
      </c>
      <c r="G3994" s="108"/>
      <c r="H3994" s="108">
        <v>1</v>
      </c>
    </row>
    <row r="3995" spans="1:8" ht="14">
      <c r="A3995" s="108">
        <v>2023</v>
      </c>
      <c r="B3995" s="108">
        <v>21</v>
      </c>
      <c r="C3995" s="108" t="s">
        <v>139</v>
      </c>
      <c r="D3995" s="108">
        <v>160.954663896037</v>
      </c>
      <c r="E3995" s="108">
        <v>0</v>
      </c>
      <c r="F3995" s="108" t="s">
        <v>135</v>
      </c>
      <c r="G3995" s="108"/>
      <c r="H3995" s="108">
        <v>1</v>
      </c>
    </row>
    <row r="3996" spans="1:8" ht="14">
      <c r="A3996" s="108">
        <v>2023</v>
      </c>
      <c r="B3996" s="108">
        <v>21</v>
      </c>
      <c r="C3996" s="108" t="s">
        <v>139</v>
      </c>
      <c r="D3996" s="108">
        <v>3954.8243361039599</v>
      </c>
      <c r="E3996" s="108">
        <v>0</v>
      </c>
      <c r="F3996" s="108" t="s">
        <v>136</v>
      </c>
      <c r="G3996" s="108"/>
      <c r="H3996" s="108">
        <v>1</v>
      </c>
    </row>
    <row r="3997" spans="1:8" ht="14">
      <c r="A3997" s="108">
        <v>2023</v>
      </c>
      <c r="B3997" s="108">
        <v>22</v>
      </c>
      <c r="C3997" s="108" t="s">
        <v>30</v>
      </c>
      <c r="D3997" s="108">
        <v>293.73548139596801</v>
      </c>
      <c r="E3997" s="108">
        <v>0</v>
      </c>
      <c r="F3997" s="108" t="s">
        <v>135</v>
      </c>
      <c r="G3997" s="108"/>
      <c r="H3997" s="108">
        <v>1</v>
      </c>
    </row>
    <row r="3998" spans="1:8" ht="14">
      <c r="A3998" s="108">
        <v>2023</v>
      </c>
      <c r="B3998" s="108">
        <v>22</v>
      </c>
      <c r="C3998" s="108" t="s">
        <v>30</v>
      </c>
      <c r="D3998" s="108">
        <v>6425.7345186040302</v>
      </c>
      <c r="E3998" s="108">
        <v>0</v>
      </c>
      <c r="F3998" s="108" t="s">
        <v>136</v>
      </c>
      <c r="G3998" s="108"/>
      <c r="H3998" s="108">
        <v>1</v>
      </c>
    </row>
    <row r="3999" spans="1:8" ht="14">
      <c r="A3999" s="108">
        <v>2023</v>
      </c>
      <c r="B3999" s="108">
        <v>22</v>
      </c>
      <c r="C3999" s="108" t="s">
        <v>138</v>
      </c>
      <c r="D3999" s="108">
        <v>5360.2492980259503</v>
      </c>
      <c r="E3999" s="108">
        <v>0</v>
      </c>
      <c r="F3999" s="108" t="s">
        <v>136</v>
      </c>
      <c r="G3999" s="108"/>
      <c r="H3999" s="108">
        <v>1</v>
      </c>
    </row>
    <row r="4000" spans="1:8" ht="14">
      <c r="A4000" s="108">
        <v>2023</v>
      </c>
      <c r="B4000" s="108">
        <v>22</v>
      </c>
      <c r="C4000" s="108" t="s">
        <v>138</v>
      </c>
      <c r="D4000" s="108">
        <v>106.10670197404799</v>
      </c>
      <c r="E4000" s="108">
        <v>0</v>
      </c>
      <c r="F4000" s="108" t="s">
        <v>135</v>
      </c>
      <c r="G4000" s="108"/>
      <c r="H4000" s="108">
        <v>1</v>
      </c>
    </row>
    <row r="4001" spans="1:8" ht="14">
      <c r="A4001" s="108">
        <v>2023</v>
      </c>
      <c r="B4001" s="108">
        <v>22</v>
      </c>
      <c r="C4001" s="108" t="s">
        <v>139</v>
      </c>
      <c r="D4001" s="108">
        <v>187.62877942192</v>
      </c>
      <c r="E4001" s="108">
        <v>0</v>
      </c>
      <c r="F4001" s="108" t="s">
        <v>135</v>
      </c>
      <c r="G4001" s="108"/>
      <c r="H4001" s="108">
        <v>1</v>
      </c>
    </row>
    <row r="4002" spans="1:8" ht="14">
      <c r="A4002" s="108">
        <v>2023</v>
      </c>
      <c r="B4002" s="108">
        <v>22</v>
      </c>
      <c r="C4002" s="108" t="s">
        <v>139</v>
      </c>
      <c r="D4002" s="108">
        <v>1065.4852205780801</v>
      </c>
      <c r="E4002" s="108">
        <v>0</v>
      </c>
      <c r="F4002" s="108" t="s">
        <v>136</v>
      </c>
      <c r="G4002" s="108"/>
      <c r="H4002" s="108">
        <v>1</v>
      </c>
    </row>
    <row r="4003" spans="1:8" ht="14">
      <c r="A4003" s="108">
        <v>2023</v>
      </c>
      <c r="B4003" s="108">
        <v>23</v>
      </c>
      <c r="C4003" s="108" t="s">
        <v>30</v>
      </c>
      <c r="D4003" s="108">
        <v>9438.0857155638896</v>
      </c>
      <c r="E4003" s="108">
        <v>0</v>
      </c>
      <c r="F4003" s="108" t="s">
        <v>136</v>
      </c>
      <c r="G4003" s="108"/>
      <c r="H4003" s="108">
        <v>1</v>
      </c>
    </row>
    <row r="4004" spans="1:8" ht="14">
      <c r="A4004" s="108">
        <v>2023</v>
      </c>
      <c r="B4004" s="108">
        <v>23</v>
      </c>
      <c r="C4004" s="108" t="s">
        <v>30</v>
      </c>
      <c r="D4004" s="108">
        <v>1399.1412844361</v>
      </c>
      <c r="E4004" s="108">
        <v>0</v>
      </c>
      <c r="F4004" s="108" t="s">
        <v>135</v>
      </c>
      <c r="G4004" s="108"/>
      <c r="H4004" s="108">
        <v>1</v>
      </c>
    </row>
    <row r="4005" spans="1:8" ht="14">
      <c r="A4005" s="108">
        <v>2023</v>
      </c>
      <c r="B4005" s="108">
        <v>23</v>
      </c>
      <c r="C4005" s="108" t="s">
        <v>138</v>
      </c>
      <c r="D4005" s="108">
        <v>7316.89911967028</v>
      </c>
      <c r="E4005" s="108">
        <v>0</v>
      </c>
      <c r="F4005" s="108" t="s">
        <v>136</v>
      </c>
      <c r="G4005" s="108"/>
      <c r="H4005" s="108">
        <v>1</v>
      </c>
    </row>
    <row r="4006" spans="1:8" ht="14">
      <c r="A4006" s="108">
        <v>2023</v>
      </c>
      <c r="B4006" s="108">
        <v>23</v>
      </c>
      <c r="C4006" s="108" t="s">
        <v>138</v>
      </c>
      <c r="D4006" s="108">
        <v>755.62388032971705</v>
      </c>
      <c r="E4006" s="108">
        <v>0</v>
      </c>
      <c r="F4006" s="108" t="s">
        <v>135</v>
      </c>
      <c r="G4006" s="108"/>
      <c r="H4006" s="108">
        <v>1</v>
      </c>
    </row>
    <row r="4007" spans="1:8" ht="14">
      <c r="A4007" s="108">
        <v>2023</v>
      </c>
      <c r="B4007" s="108">
        <v>23</v>
      </c>
      <c r="C4007" s="108" t="s">
        <v>139</v>
      </c>
      <c r="D4007" s="108">
        <v>643.51740410638604</v>
      </c>
      <c r="E4007" s="108">
        <v>0</v>
      </c>
      <c r="F4007" s="108" t="s">
        <v>135</v>
      </c>
      <c r="G4007" s="108"/>
      <c r="H4007" s="108">
        <v>1</v>
      </c>
    </row>
    <row r="4008" spans="1:8" ht="14">
      <c r="A4008" s="108">
        <v>2023</v>
      </c>
      <c r="B4008" s="108">
        <v>23</v>
      </c>
      <c r="C4008" s="108" t="s">
        <v>139</v>
      </c>
      <c r="D4008" s="108">
        <v>2121.18659589361</v>
      </c>
      <c r="E4008" s="108">
        <v>0</v>
      </c>
      <c r="F4008" s="108" t="s">
        <v>136</v>
      </c>
      <c r="G4008" s="108"/>
      <c r="H4008" s="108">
        <v>1</v>
      </c>
    </row>
    <row r="4009" spans="1:8" ht="14">
      <c r="A4009" s="108">
        <v>2023</v>
      </c>
      <c r="B4009" s="108">
        <v>29</v>
      </c>
      <c r="C4009" s="108" t="s">
        <v>30</v>
      </c>
      <c r="D4009" s="108">
        <v>24121.8520965387</v>
      </c>
      <c r="E4009" s="108">
        <v>0</v>
      </c>
      <c r="F4009" s="108" t="s">
        <v>135</v>
      </c>
      <c r="G4009" s="108"/>
      <c r="H4009" s="108">
        <v>1</v>
      </c>
    </row>
    <row r="4010" spans="1:8" ht="14">
      <c r="A4010" s="108">
        <v>2023</v>
      </c>
      <c r="B4010" s="108">
        <v>29</v>
      </c>
      <c r="C4010" s="108" t="s">
        <v>30</v>
      </c>
      <c r="D4010" s="108">
        <v>20.0997805127585</v>
      </c>
      <c r="E4010" s="108">
        <v>0</v>
      </c>
      <c r="F4010" s="108" t="s">
        <v>137</v>
      </c>
      <c r="G4010" s="108"/>
      <c r="H4010" s="108">
        <v>1</v>
      </c>
    </row>
    <row r="4011" spans="1:8" ht="14">
      <c r="A4011" s="108">
        <v>2023</v>
      </c>
      <c r="B4011" s="108">
        <v>29</v>
      </c>
      <c r="C4011" s="108" t="s">
        <v>30</v>
      </c>
      <c r="D4011" s="108">
        <v>29445.483402948499</v>
      </c>
      <c r="E4011" s="108">
        <v>0</v>
      </c>
      <c r="F4011" s="108" t="s">
        <v>136</v>
      </c>
      <c r="G4011" s="108"/>
      <c r="H4011" s="108">
        <v>1</v>
      </c>
    </row>
    <row r="4012" spans="1:8" ht="14">
      <c r="A4012" s="108">
        <v>2023</v>
      </c>
      <c r="B4012" s="108">
        <v>29</v>
      </c>
      <c r="C4012" s="108" t="s">
        <v>138</v>
      </c>
      <c r="D4012" s="108">
        <v>18466.7876214686</v>
      </c>
      <c r="E4012" s="108">
        <v>0</v>
      </c>
      <c r="F4012" s="108" t="s">
        <v>135</v>
      </c>
      <c r="G4012" s="108"/>
      <c r="H4012" s="108">
        <v>1</v>
      </c>
    </row>
    <row r="4013" spans="1:8" ht="14">
      <c r="A4013" s="108">
        <v>2023</v>
      </c>
      <c r="B4013" s="108">
        <v>29</v>
      </c>
      <c r="C4013" s="108" t="s">
        <v>138</v>
      </c>
      <c r="D4013" s="108">
        <v>19.939780512758499</v>
      </c>
      <c r="E4013" s="108">
        <v>0</v>
      </c>
      <c r="F4013" s="108" t="s">
        <v>137</v>
      </c>
      <c r="G4013" s="108"/>
      <c r="H4013" s="108">
        <v>1</v>
      </c>
    </row>
    <row r="4014" spans="1:8" ht="14">
      <c r="A4014" s="108">
        <v>2023</v>
      </c>
      <c r="B4014" s="108">
        <v>29</v>
      </c>
      <c r="C4014" s="108" t="s">
        <v>138</v>
      </c>
      <c r="D4014" s="108">
        <v>23743.017878018502</v>
      </c>
      <c r="E4014" s="108">
        <v>0</v>
      </c>
      <c r="F4014" s="108" t="s">
        <v>136</v>
      </c>
      <c r="G4014" s="108"/>
      <c r="H4014" s="108">
        <v>1</v>
      </c>
    </row>
    <row r="4015" spans="1:8" ht="14">
      <c r="A4015" s="108">
        <v>2023</v>
      </c>
      <c r="B4015" s="108">
        <v>29</v>
      </c>
      <c r="C4015" s="108" t="s">
        <v>139</v>
      </c>
      <c r="D4015" s="108">
        <v>0.16</v>
      </c>
      <c r="E4015" s="108">
        <v>0</v>
      </c>
      <c r="F4015" s="108" t="s">
        <v>137</v>
      </c>
      <c r="G4015" s="108"/>
      <c r="H4015" s="108">
        <v>1</v>
      </c>
    </row>
    <row r="4016" spans="1:8" ht="14">
      <c r="A4016" s="108">
        <v>2023</v>
      </c>
      <c r="B4016" s="108">
        <v>29</v>
      </c>
      <c r="C4016" s="108" t="s">
        <v>139</v>
      </c>
      <c r="D4016" s="108">
        <v>5655.0644750700403</v>
      </c>
      <c r="E4016" s="108">
        <v>0</v>
      </c>
      <c r="F4016" s="108" t="s">
        <v>135</v>
      </c>
      <c r="G4016" s="108"/>
      <c r="H4016" s="108">
        <v>1</v>
      </c>
    </row>
    <row r="4017" spans="1:8" ht="14">
      <c r="A4017" s="108">
        <v>2023</v>
      </c>
      <c r="B4017" s="108">
        <v>29</v>
      </c>
      <c r="C4017" s="108" t="s">
        <v>139</v>
      </c>
      <c r="D4017" s="108">
        <v>5702.4655249299503</v>
      </c>
      <c r="E4017" s="108">
        <v>0</v>
      </c>
      <c r="F4017" s="108" t="s">
        <v>136</v>
      </c>
      <c r="G4017" s="108"/>
      <c r="H4017" s="108">
        <v>1</v>
      </c>
    </row>
    <row r="4018" spans="1:8" ht="14">
      <c r="A4018" s="108">
        <v>2023</v>
      </c>
      <c r="B4018" s="108">
        <v>31</v>
      </c>
      <c r="C4018" s="108" t="s">
        <v>30</v>
      </c>
      <c r="D4018" s="108">
        <v>16263.6214627666</v>
      </c>
      <c r="E4018" s="108">
        <v>1186.80722476543</v>
      </c>
      <c r="F4018" s="108" t="s">
        <v>136</v>
      </c>
      <c r="G4018" s="108">
        <v>1186.8072247653399</v>
      </c>
      <c r="H4018" s="108">
        <v>1</v>
      </c>
    </row>
    <row r="4019" spans="1:8" ht="14">
      <c r="A4019" s="108">
        <v>2023</v>
      </c>
      <c r="B4019" s="108">
        <v>31</v>
      </c>
      <c r="C4019" s="108" t="s">
        <v>30</v>
      </c>
      <c r="D4019" s="108">
        <v>297.29295952720702</v>
      </c>
      <c r="E4019" s="108">
        <v>43.983393983902999</v>
      </c>
      <c r="F4019" s="108" t="s">
        <v>135</v>
      </c>
      <c r="G4019" s="108">
        <v>43.983393983912002</v>
      </c>
      <c r="H4019" s="108">
        <v>1</v>
      </c>
    </row>
    <row r="4020" spans="1:8" ht="14">
      <c r="A4020" s="108">
        <v>2023</v>
      </c>
      <c r="B4020" s="108">
        <v>31</v>
      </c>
      <c r="C4020" s="108" t="s">
        <v>30</v>
      </c>
      <c r="D4020" s="108">
        <v>5.6965777061227802</v>
      </c>
      <c r="E4020" s="108">
        <v>0.52838125065961195</v>
      </c>
      <c r="F4020" s="108" t="s">
        <v>137</v>
      </c>
      <c r="G4020" s="108">
        <v>0.52838125066199904</v>
      </c>
      <c r="H4020" s="108">
        <v>1</v>
      </c>
    </row>
    <row r="4021" spans="1:8" ht="14">
      <c r="A4021" s="108">
        <v>2023</v>
      </c>
      <c r="B4021" s="108">
        <v>31</v>
      </c>
      <c r="C4021" s="108" t="s">
        <v>138</v>
      </c>
      <c r="D4021" s="108">
        <v>10538.067323069999</v>
      </c>
      <c r="E4021" s="108">
        <v>617.73279867036297</v>
      </c>
      <c r="F4021" s="108" t="s">
        <v>136</v>
      </c>
      <c r="G4021" s="108">
        <v>617.73279866951896</v>
      </c>
      <c r="H4021" s="108">
        <v>1</v>
      </c>
    </row>
    <row r="4022" spans="1:8" ht="14">
      <c r="A4022" s="108">
        <v>2023</v>
      </c>
      <c r="B4022" s="108">
        <v>31</v>
      </c>
      <c r="C4022" s="108" t="s">
        <v>138</v>
      </c>
      <c r="D4022" s="108">
        <v>5.6612872674555401</v>
      </c>
      <c r="E4022" s="108">
        <v>0.220962539090518</v>
      </c>
      <c r="F4022" s="108" t="s">
        <v>137</v>
      </c>
      <c r="G4022" s="108">
        <v>0.220962539091</v>
      </c>
      <c r="H4022" s="108">
        <v>1</v>
      </c>
    </row>
    <row r="4023" spans="1:8" ht="14">
      <c r="A4023" s="108">
        <v>2023</v>
      </c>
      <c r="B4023" s="108">
        <v>31</v>
      </c>
      <c r="C4023" s="108" t="s">
        <v>138</v>
      </c>
      <c r="D4023" s="108">
        <v>135.99538966245399</v>
      </c>
      <c r="E4023" s="108">
        <v>21.669238790545599</v>
      </c>
      <c r="F4023" s="108" t="s">
        <v>135</v>
      </c>
      <c r="G4023" s="108">
        <v>21.6692387905419</v>
      </c>
      <c r="H4023" s="108">
        <v>1</v>
      </c>
    </row>
    <row r="4024" spans="1:8" ht="14">
      <c r="A4024" s="108">
        <v>2023</v>
      </c>
      <c r="B4024" s="108">
        <v>31</v>
      </c>
      <c r="C4024" s="108" t="s">
        <v>139</v>
      </c>
      <c r="D4024" s="108">
        <v>161.297569864753</v>
      </c>
      <c r="E4024" s="108">
        <v>22.314155193357401</v>
      </c>
      <c r="F4024" s="108" t="s">
        <v>135</v>
      </c>
      <c r="G4024" s="108">
        <v>22.314155193369999</v>
      </c>
      <c r="H4024" s="108">
        <v>1</v>
      </c>
    </row>
    <row r="4025" spans="1:8" ht="14">
      <c r="A4025" s="108">
        <v>2023</v>
      </c>
      <c r="B4025" s="108">
        <v>31</v>
      </c>
      <c r="C4025" s="108" t="s">
        <v>139</v>
      </c>
      <c r="D4025" s="108">
        <v>5725.55413969658</v>
      </c>
      <c r="E4025" s="108">
        <v>569.07442609507302</v>
      </c>
      <c r="F4025" s="108" t="s">
        <v>136</v>
      </c>
      <c r="G4025" s="108">
        <v>569.07442609582802</v>
      </c>
      <c r="H4025" s="108">
        <v>1</v>
      </c>
    </row>
    <row r="4026" spans="1:8" ht="14">
      <c r="A4026" s="108">
        <v>2023</v>
      </c>
      <c r="B4026" s="108">
        <v>31</v>
      </c>
      <c r="C4026" s="108" t="s">
        <v>139</v>
      </c>
      <c r="D4026" s="108">
        <v>3.5290438667245697E-2</v>
      </c>
      <c r="E4026" s="108">
        <v>0.30741871156909301</v>
      </c>
      <c r="F4026" s="108" t="s">
        <v>137</v>
      </c>
      <c r="G4026" s="108">
        <v>0.30741871157099998</v>
      </c>
      <c r="H4026" s="108">
        <v>1</v>
      </c>
    </row>
    <row r="4027" spans="1:8" ht="14">
      <c r="A4027" s="108">
        <v>2023</v>
      </c>
      <c r="B4027" s="108">
        <v>32</v>
      </c>
      <c r="C4027" s="108" t="s">
        <v>30</v>
      </c>
      <c r="D4027" s="108">
        <v>35442.923595344197</v>
      </c>
      <c r="E4027" s="108">
        <v>3328.02399252347</v>
      </c>
      <c r="F4027" s="108" t="s">
        <v>136</v>
      </c>
      <c r="G4027" s="108">
        <v>6656.0479850477204</v>
      </c>
      <c r="H4027" s="108">
        <v>1</v>
      </c>
    </row>
    <row r="4028" spans="1:8" ht="14">
      <c r="A4028" s="108">
        <v>2023</v>
      </c>
      <c r="B4028" s="108">
        <v>32</v>
      </c>
      <c r="C4028" s="108" t="s">
        <v>30</v>
      </c>
      <c r="D4028" s="108">
        <v>12.903999623065699</v>
      </c>
      <c r="E4028" s="108">
        <v>2.00426947763399</v>
      </c>
      <c r="F4028" s="108" t="s">
        <v>137</v>
      </c>
      <c r="G4028" s="108">
        <v>4.0085389552650001</v>
      </c>
      <c r="H4028" s="108">
        <v>1</v>
      </c>
    </row>
    <row r="4029" spans="1:8" ht="14">
      <c r="A4029" s="108">
        <v>2023</v>
      </c>
      <c r="B4029" s="108">
        <v>32</v>
      </c>
      <c r="C4029" s="108" t="s">
        <v>30</v>
      </c>
      <c r="D4029" s="108">
        <v>723.31140503264999</v>
      </c>
      <c r="E4029" s="108">
        <v>88.768737998894807</v>
      </c>
      <c r="F4029" s="108" t="s">
        <v>135</v>
      </c>
      <c r="G4029" s="108">
        <v>177.53747599787201</v>
      </c>
      <c r="H4029" s="108">
        <v>1</v>
      </c>
    </row>
    <row r="4030" spans="1:8" ht="14">
      <c r="A4030" s="108">
        <v>2023</v>
      </c>
      <c r="B4030" s="108">
        <v>32</v>
      </c>
      <c r="C4030" s="108" t="s">
        <v>138</v>
      </c>
      <c r="D4030" s="108">
        <v>349.37008428760902</v>
      </c>
      <c r="E4030" s="108">
        <v>42.616484998659097</v>
      </c>
      <c r="F4030" s="108" t="s">
        <v>135</v>
      </c>
      <c r="G4030" s="108">
        <v>85.232969997352001</v>
      </c>
      <c r="H4030" s="108">
        <v>1</v>
      </c>
    </row>
    <row r="4031" spans="1:8" ht="14">
      <c r="A4031" s="108">
        <v>2023</v>
      </c>
      <c r="B4031" s="108">
        <v>32</v>
      </c>
      <c r="C4031" s="108" t="s">
        <v>138</v>
      </c>
      <c r="D4031" s="108">
        <v>23242.2160960478</v>
      </c>
      <c r="E4031" s="108">
        <v>1666.4321189519501</v>
      </c>
      <c r="F4031" s="108" t="s">
        <v>136</v>
      </c>
      <c r="G4031" s="108">
        <v>3332.8642379042499</v>
      </c>
      <c r="H4031" s="108">
        <v>1</v>
      </c>
    </row>
    <row r="4032" spans="1:8" ht="14">
      <c r="A4032" s="108">
        <v>2023</v>
      </c>
      <c r="B4032" s="108">
        <v>32</v>
      </c>
      <c r="C4032" s="108" t="s">
        <v>138</v>
      </c>
      <c r="D4032" s="108">
        <v>12.2168196645599</v>
      </c>
      <c r="E4032" s="108">
        <v>0.425396049386498</v>
      </c>
      <c r="F4032" s="108" t="s">
        <v>137</v>
      </c>
      <c r="G4032" s="108">
        <v>0.85079209876799999</v>
      </c>
      <c r="H4032" s="108">
        <v>1</v>
      </c>
    </row>
    <row r="4033" spans="1:8" ht="14">
      <c r="A4033" s="108">
        <v>2023</v>
      </c>
      <c r="B4033" s="108">
        <v>32</v>
      </c>
      <c r="C4033" s="108" t="s">
        <v>139</v>
      </c>
      <c r="D4033" s="108">
        <v>373.94132074504</v>
      </c>
      <c r="E4033" s="108">
        <v>46.152253000235703</v>
      </c>
      <c r="F4033" s="108" t="s">
        <v>135</v>
      </c>
      <c r="G4033" s="108">
        <v>92.304506000519893</v>
      </c>
      <c r="H4033" s="108">
        <v>1</v>
      </c>
    </row>
    <row r="4034" spans="1:8" ht="14">
      <c r="A4034" s="108">
        <v>2023</v>
      </c>
      <c r="B4034" s="108">
        <v>32</v>
      </c>
      <c r="C4034" s="108" t="s">
        <v>139</v>
      </c>
      <c r="D4034" s="108">
        <v>0.68717995850580804</v>
      </c>
      <c r="E4034" s="108">
        <v>1.5788734282474901</v>
      </c>
      <c r="F4034" s="108" t="s">
        <v>137</v>
      </c>
      <c r="G4034" s="108">
        <v>3.1577468564969902</v>
      </c>
      <c r="H4034" s="108">
        <v>1</v>
      </c>
    </row>
    <row r="4035" spans="1:8" ht="14">
      <c r="A4035" s="108">
        <v>2023</v>
      </c>
      <c r="B4035" s="108">
        <v>32</v>
      </c>
      <c r="C4035" s="108" t="s">
        <v>139</v>
      </c>
      <c r="D4035" s="108">
        <v>12200.707499296401</v>
      </c>
      <c r="E4035" s="108">
        <v>1661.59187357151</v>
      </c>
      <c r="F4035" s="108" t="s">
        <v>136</v>
      </c>
      <c r="G4035" s="108">
        <v>3323.1837471434601</v>
      </c>
      <c r="H4035" s="108">
        <v>1</v>
      </c>
    </row>
    <row r="4036" spans="1:8" ht="14">
      <c r="A4036" s="108">
        <v>2023</v>
      </c>
      <c r="B4036" s="108">
        <v>33</v>
      </c>
      <c r="C4036" s="108" t="s">
        <v>30</v>
      </c>
      <c r="D4036" s="108">
        <v>0</v>
      </c>
      <c r="E4036" s="108">
        <v>9.9930289299407396E-4</v>
      </c>
      <c r="F4036" s="108" t="s">
        <v>137</v>
      </c>
      <c r="G4036" s="108">
        <v>1.498954339E-3</v>
      </c>
      <c r="H4036" s="108">
        <v>1</v>
      </c>
    </row>
    <row r="4037" spans="1:8" ht="14">
      <c r="A4037" s="108">
        <v>2023</v>
      </c>
      <c r="B4037" s="108">
        <v>33</v>
      </c>
      <c r="C4037" s="108" t="s">
        <v>30</v>
      </c>
      <c r="D4037" s="108">
        <v>1180.3363314195301</v>
      </c>
      <c r="E4037" s="108">
        <v>91.659553732037807</v>
      </c>
      <c r="F4037" s="108" t="s">
        <v>136</v>
      </c>
      <c r="G4037" s="108">
        <v>137.48933059801701</v>
      </c>
      <c r="H4037" s="108">
        <v>1</v>
      </c>
    </row>
    <row r="4038" spans="1:8" ht="14">
      <c r="A4038" s="108">
        <v>2023</v>
      </c>
      <c r="B4038" s="108">
        <v>33</v>
      </c>
      <c r="C4038" s="108" t="s">
        <v>30</v>
      </c>
      <c r="D4038" s="108">
        <v>10.0536685804614</v>
      </c>
      <c r="E4038" s="108">
        <v>0.98744696506910401</v>
      </c>
      <c r="F4038" s="108" t="s">
        <v>135</v>
      </c>
      <c r="G4038" s="108">
        <v>1.4811704476029901</v>
      </c>
      <c r="H4038" s="108">
        <v>1</v>
      </c>
    </row>
    <row r="4039" spans="1:8" ht="14">
      <c r="A4039" s="108">
        <v>2023</v>
      </c>
      <c r="B4039" s="108">
        <v>33</v>
      </c>
      <c r="C4039" s="108" t="s">
        <v>138</v>
      </c>
      <c r="D4039" s="108">
        <v>949.80340395894405</v>
      </c>
      <c r="E4039" s="108">
        <v>46.421694240176798</v>
      </c>
      <c r="F4039" s="108" t="s">
        <v>136</v>
      </c>
      <c r="G4039" s="108">
        <v>69.632541360217004</v>
      </c>
      <c r="H4039" s="108">
        <v>1</v>
      </c>
    </row>
    <row r="4040" spans="1:8" ht="14">
      <c r="A4040" s="108">
        <v>2023</v>
      </c>
      <c r="B4040" s="108">
        <v>33</v>
      </c>
      <c r="C4040" s="108" t="s">
        <v>138</v>
      </c>
      <c r="D4040" s="108">
        <v>5.8185960410555104</v>
      </c>
      <c r="E4040" s="108">
        <v>0.56730575982313902</v>
      </c>
      <c r="F4040" s="108" t="s">
        <v>135</v>
      </c>
      <c r="G4040" s="108">
        <v>0.85095863973200003</v>
      </c>
      <c r="H4040" s="108">
        <v>1</v>
      </c>
    </row>
    <row r="4041" spans="1:8" ht="14">
      <c r="A4041" s="108">
        <v>2023</v>
      </c>
      <c r="B4041" s="108">
        <v>33</v>
      </c>
      <c r="C4041" s="108" t="s">
        <v>139</v>
      </c>
      <c r="D4041" s="108">
        <v>230.53292746059401</v>
      </c>
      <c r="E4041" s="108">
        <v>45.237859491861002</v>
      </c>
      <c r="F4041" s="108" t="s">
        <v>136</v>
      </c>
      <c r="G4041" s="108">
        <v>67.856789237800001</v>
      </c>
      <c r="H4041" s="108">
        <v>1</v>
      </c>
    </row>
    <row r="4042" spans="1:8" ht="14">
      <c r="A4042" s="108">
        <v>2023</v>
      </c>
      <c r="B4042" s="108">
        <v>33</v>
      </c>
      <c r="C4042" s="108" t="s">
        <v>139</v>
      </c>
      <c r="D4042" s="108">
        <v>4.2350725394059801</v>
      </c>
      <c r="E4042" s="108">
        <v>0.42014120524596499</v>
      </c>
      <c r="F4042" s="108" t="s">
        <v>135</v>
      </c>
      <c r="G4042" s="108">
        <v>0.63021180787099995</v>
      </c>
      <c r="H4042" s="108">
        <v>1</v>
      </c>
    </row>
    <row r="4043" spans="1:8" ht="14">
      <c r="A4043" s="108">
        <v>2023</v>
      </c>
      <c r="B4043" s="108">
        <v>33</v>
      </c>
      <c r="C4043" s="108" t="s">
        <v>139</v>
      </c>
      <c r="D4043" s="108">
        <v>0</v>
      </c>
      <c r="E4043" s="108">
        <v>9.9930289299407396E-4</v>
      </c>
      <c r="F4043" s="108" t="s">
        <v>137</v>
      </c>
      <c r="G4043" s="108">
        <v>1.498954339E-3</v>
      </c>
      <c r="H4043" s="108">
        <v>1</v>
      </c>
    </row>
    <row r="4044" spans="1:8" ht="14">
      <c r="A4044" s="108">
        <v>2023</v>
      </c>
      <c r="B4044" s="108">
        <v>34</v>
      </c>
      <c r="C4044" s="108" t="s">
        <v>30</v>
      </c>
      <c r="D4044" s="108">
        <v>4520.9035588901497</v>
      </c>
      <c r="E4044" s="108">
        <v>379.56438390414502</v>
      </c>
      <c r="F4044" s="108" t="s">
        <v>136</v>
      </c>
      <c r="G4044" s="108">
        <v>854.019863786364</v>
      </c>
      <c r="H4044" s="108">
        <v>1</v>
      </c>
    </row>
    <row r="4045" spans="1:8" ht="14">
      <c r="A4045" s="108">
        <v>2023</v>
      </c>
      <c r="B4045" s="108">
        <v>34</v>
      </c>
      <c r="C4045" s="108" t="s">
        <v>30</v>
      </c>
      <c r="D4045" s="108">
        <v>11.3631418570478</v>
      </c>
      <c r="E4045" s="108">
        <v>0.49261146938807399</v>
      </c>
      <c r="F4045" s="108" t="s">
        <v>137</v>
      </c>
      <c r="G4045" s="108">
        <v>1.1083758061239899</v>
      </c>
      <c r="H4045" s="108">
        <v>1</v>
      </c>
    </row>
    <row r="4046" spans="1:8" ht="14">
      <c r="A4046" s="108">
        <v>2023</v>
      </c>
      <c r="B4046" s="108">
        <v>34</v>
      </c>
      <c r="C4046" s="108" t="s">
        <v>30</v>
      </c>
      <c r="D4046" s="108">
        <v>78.171299252798605</v>
      </c>
      <c r="E4046" s="108">
        <v>13.290004626465601</v>
      </c>
      <c r="F4046" s="108" t="s">
        <v>135</v>
      </c>
      <c r="G4046" s="108">
        <v>29.902510409603</v>
      </c>
      <c r="H4046" s="108">
        <v>1</v>
      </c>
    </row>
    <row r="4047" spans="1:8" ht="14">
      <c r="A4047" s="108">
        <v>2023</v>
      </c>
      <c r="B4047" s="108">
        <v>34</v>
      </c>
      <c r="C4047" s="108" t="s">
        <v>138</v>
      </c>
      <c r="D4047" s="108">
        <v>3677.1052184598002</v>
      </c>
      <c r="E4047" s="108">
        <v>190.10390395827099</v>
      </c>
      <c r="F4047" s="108" t="s">
        <v>136</v>
      </c>
      <c r="G4047" s="108">
        <v>427.73378390792499</v>
      </c>
      <c r="H4047" s="108">
        <v>1</v>
      </c>
    </row>
    <row r="4048" spans="1:8" ht="14">
      <c r="A4048" s="108">
        <v>2023</v>
      </c>
      <c r="B4048" s="108">
        <v>34</v>
      </c>
      <c r="C4048" s="108" t="s">
        <v>138</v>
      </c>
      <c r="D4048" s="108">
        <v>41.935639683142902</v>
      </c>
      <c r="E4048" s="108">
        <v>6.6005830948346897</v>
      </c>
      <c r="F4048" s="108" t="s">
        <v>135</v>
      </c>
      <c r="G4048" s="108">
        <v>14.851311963411</v>
      </c>
      <c r="H4048" s="108">
        <v>1</v>
      </c>
    </row>
    <row r="4049" spans="1:8" ht="14">
      <c r="A4049" s="108">
        <v>2023</v>
      </c>
      <c r="B4049" s="108">
        <v>34</v>
      </c>
      <c r="C4049" s="108" t="s">
        <v>138</v>
      </c>
      <c r="D4049" s="108">
        <v>11.3631418570478</v>
      </c>
      <c r="E4049" s="108">
        <v>0.29351294689407398</v>
      </c>
      <c r="F4049" s="108" t="s">
        <v>137</v>
      </c>
      <c r="G4049" s="108">
        <v>0.66040413051399904</v>
      </c>
      <c r="H4049" s="108">
        <v>1</v>
      </c>
    </row>
    <row r="4050" spans="1:8" ht="14">
      <c r="A4050" s="108">
        <v>2023</v>
      </c>
      <c r="B4050" s="108">
        <v>34</v>
      </c>
      <c r="C4050" s="108" t="s">
        <v>139</v>
      </c>
      <c r="D4050" s="108">
        <v>36.235659569655603</v>
      </c>
      <c r="E4050" s="108">
        <v>6.6894215316309804</v>
      </c>
      <c r="F4050" s="108" t="s">
        <v>135</v>
      </c>
      <c r="G4050" s="108">
        <v>15.051198446191901</v>
      </c>
      <c r="H4050" s="108">
        <v>1</v>
      </c>
    </row>
    <row r="4051" spans="1:8" ht="14">
      <c r="A4051" s="108">
        <v>2023</v>
      </c>
      <c r="B4051" s="108">
        <v>34</v>
      </c>
      <c r="C4051" s="108" t="s">
        <v>139</v>
      </c>
      <c r="D4051" s="108">
        <v>843.79834043034396</v>
      </c>
      <c r="E4051" s="108">
        <v>189.46047994587499</v>
      </c>
      <c r="F4051" s="108" t="s">
        <v>136</v>
      </c>
      <c r="G4051" s="108">
        <v>426.28607987843702</v>
      </c>
      <c r="H4051" s="108">
        <v>1</v>
      </c>
    </row>
    <row r="4052" spans="1:8" ht="14">
      <c r="A4052" s="108">
        <v>2023</v>
      </c>
      <c r="B4052" s="108">
        <v>34</v>
      </c>
      <c r="C4052" s="108" t="s">
        <v>139</v>
      </c>
      <c r="D4052" s="108">
        <v>0</v>
      </c>
      <c r="E4052" s="108">
        <v>0.19909852249399901</v>
      </c>
      <c r="F4052" s="108" t="s">
        <v>137</v>
      </c>
      <c r="G4052" s="108">
        <v>0.44797167560999901</v>
      </c>
      <c r="H4052" s="108">
        <v>1</v>
      </c>
    </row>
    <row r="4053" spans="1:8" ht="14">
      <c r="A4053" s="108">
        <v>2023</v>
      </c>
      <c r="B4053" s="108">
        <v>51</v>
      </c>
      <c r="C4053" s="108" t="s">
        <v>30</v>
      </c>
      <c r="D4053" s="108">
        <v>9835.9054109924</v>
      </c>
      <c r="E4053" s="108">
        <v>715.634618351374</v>
      </c>
      <c r="F4053" s="108" t="s">
        <v>135</v>
      </c>
      <c r="G4053" s="108"/>
      <c r="H4053" s="108">
        <v>1</v>
      </c>
    </row>
    <row r="4054" spans="1:8" ht="14">
      <c r="A4054" s="108">
        <v>2023</v>
      </c>
      <c r="B4054" s="108">
        <v>51</v>
      </c>
      <c r="C4054" s="108" t="s">
        <v>30</v>
      </c>
      <c r="D4054" s="108">
        <v>27054.495589007602</v>
      </c>
      <c r="E4054" s="108">
        <v>2836.61138164862</v>
      </c>
      <c r="F4054" s="108" t="s">
        <v>136</v>
      </c>
      <c r="G4054" s="108"/>
      <c r="H4054" s="108">
        <v>1</v>
      </c>
    </row>
    <row r="4055" spans="1:8" ht="14">
      <c r="A4055" s="108">
        <v>2023</v>
      </c>
      <c r="B4055" s="108">
        <v>51</v>
      </c>
      <c r="C4055" s="108" t="s">
        <v>138</v>
      </c>
      <c r="D4055" s="108">
        <v>17399.3111541619</v>
      </c>
      <c r="E4055" s="108">
        <v>1397.11521222645</v>
      </c>
      <c r="F4055" s="108" t="s">
        <v>136</v>
      </c>
      <c r="G4055" s="108"/>
      <c r="H4055" s="108">
        <v>1</v>
      </c>
    </row>
    <row r="4056" spans="1:8" ht="14">
      <c r="A4056" s="108">
        <v>2023</v>
      </c>
      <c r="B4056" s="108">
        <v>51</v>
      </c>
      <c r="C4056" s="108" t="s">
        <v>138</v>
      </c>
      <c r="D4056" s="108">
        <v>4845.8638458381001</v>
      </c>
      <c r="E4056" s="108">
        <v>355.25478777353999</v>
      </c>
      <c r="F4056" s="108" t="s">
        <v>135</v>
      </c>
      <c r="G4056" s="108"/>
      <c r="H4056" s="108">
        <v>1</v>
      </c>
    </row>
    <row r="4057" spans="1:8" ht="14">
      <c r="A4057" s="108">
        <v>2023</v>
      </c>
      <c r="B4057" s="108">
        <v>51</v>
      </c>
      <c r="C4057" s="108" t="s">
        <v>139</v>
      </c>
      <c r="D4057" s="108">
        <v>9655.1844348456998</v>
      </c>
      <c r="E4057" s="108">
        <v>1439.4961694221599</v>
      </c>
      <c r="F4057" s="108" t="s">
        <v>136</v>
      </c>
      <c r="G4057" s="108"/>
      <c r="H4057" s="108">
        <v>1</v>
      </c>
    </row>
    <row r="4058" spans="1:8" ht="14">
      <c r="A4058" s="108">
        <v>2023</v>
      </c>
      <c r="B4058" s="108">
        <v>51</v>
      </c>
      <c r="C4058" s="108" t="s">
        <v>139</v>
      </c>
      <c r="D4058" s="108">
        <v>4990.0415651542899</v>
      </c>
      <c r="E4058" s="108">
        <v>360.37983057783299</v>
      </c>
      <c r="F4058" s="108" t="s">
        <v>135</v>
      </c>
      <c r="G4058" s="108"/>
      <c r="H4058" s="108">
        <v>1</v>
      </c>
    </row>
    <row r="4059" spans="1:8" ht="14">
      <c r="A4059" s="108">
        <v>2023</v>
      </c>
      <c r="B4059" s="108">
        <v>52</v>
      </c>
      <c r="C4059" s="108" t="s">
        <v>30</v>
      </c>
      <c r="D4059" s="108">
        <v>0</v>
      </c>
      <c r="E4059" s="108">
        <v>3523.3667239187798</v>
      </c>
      <c r="F4059" s="108" t="s">
        <v>136</v>
      </c>
      <c r="G4059" s="108"/>
      <c r="H4059" s="108">
        <v>1</v>
      </c>
    </row>
    <row r="4060" spans="1:8" ht="14">
      <c r="A4060" s="108">
        <v>2023</v>
      </c>
      <c r="B4060" s="108">
        <v>52</v>
      </c>
      <c r="C4060" s="108" t="s">
        <v>30</v>
      </c>
      <c r="D4060" s="108">
        <v>0</v>
      </c>
      <c r="E4060" s="108">
        <v>1468.4312760812099</v>
      </c>
      <c r="F4060" s="108" t="s">
        <v>135</v>
      </c>
      <c r="G4060" s="108"/>
      <c r="H4060" s="108">
        <v>1</v>
      </c>
    </row>
    <row r="4061" spans="1:8" ht="14">
      <c r="A4061" s="108">
        <v>2023</v>
      </c>
      <c r="B4061" s="108">
        <v>52</v>
      </c>
      <c r="C4061" s="108" t="s">
        <v>138</v>
      </c>
      <c r="D4061" s="108">
        <v>0</v>
      </c>
      <c r="E4061" s="108">
        <v>735.97854514267897</v>
      </c>
      <c r="F4061" s="108" t="s">
        <v>135</v>
      </c>
      <c r="G4061" s="108"/>
      <c r="H4061" s="108">
        <v>1</v>
      </c>
    </row>
    <row r="4062" spans="1:8" ht="14">
      <c r="A4062" s="108">
        <v>2023</v>
      </c>
      <c r="B4062" s="108">
        <v>52</v>
      </c>
      <c r="C4062" s="108" t="s">
        <v>138</v>
      </c>
      <c r="D4062" s="108">
        <v>0</v>
      </c>
      <c r="E4062" s="108">
        <v>1730.6354548573199</v>
      </c>
      <c r="F4062" s="108" t="s">
        <v>136</v>
      </c>
      <c r="G4062" s="108"/>
      <c r="H4062" s="108">
        <v>1</v>
      </c>
    </row>
    <row r="4063" spans="1:8" ht="14">
      <c r="A4063" s="108">
        <v>2023</v>
      </c>
      <c r="B4063" s="108">
        <v>52</v>
      </c>
      <c r="C4063" s="108" t="s">
        <v>139</v>
      </c>
      <c r="D4063" s="108">
        <v>0</v>
      </c>
      <c r="E4063" s="108">
        <v>1792.7312690614599</v>
      </c>
      <c r="F4063" s="108" t="s">
        <v>136</v>
      </c>
      <c r="G4063" s="108"/>
      <c r="H4063" s="108">
        <v>1</v>
      </c>
    </row>
    <row r="4064" spans="1:8" ht="14">
      <c r="A4064" s="108">
        <v>2023</v>
      </c>
      <c r="B4064" s="108">
        <v>52</v>
      </c>
      <c r="C4064" s="108" t="s">
        <v>139</v>
      </c>
      <c r="D4064" s="108">
        <v>0</v>
      </c>
      <c r="E4064" s="108">
        <v>732.45273093853098</v>
      </c>
      <c r="F4064" s="108" t="s">
        <v>135</v>
      </c>
      <c r="G4064" s="108"/>
      <c r="H4064" s="108">
        <v>1</v>
      </c>
    </row>
    <row r="4065" spans="1:8" ht="14">
      <c r="A4065" s="108">
        <v>2023</v>
      </c>
      <c r="B4065" s="108">
        <v>53</v>
      </c>
      <c r="C4065" s="108" t="s">
        <v>30</v>
      </c>
      <c r="D4065" s="108">
        <v>0</v>
      </c>
      <c r="E4065" s="108">
        <v>22.9</v>
      </c>
      <c r="F4065" s="108" t="s">
        <v>135</v>
      </c>
      <c r="G4065" s="108"/>
      <c r="H4065" s="108">
        <v>1</v>
      </c>
    </row>
    <row r="4066" spans="1:8" ht="14">
      <c r="A4066" s="108">
        <v>2023</v>
      </c>
      <c r="B4066" s="108">
        <v>53</v>
      </c>
      <c r="C4066" s="108" t="s">
        <v>30</v>
      </c>
      <c r="D4066" s="108">
        <v>0</v>
      </c>
      <c r="E4066" s="108">
        <v>80.469999999999899</v>
      </c>
      <c r="F4066" s="108" t="s">
        <v>136</v>
      </c>
      <c r="G4066" s="108"/>
      <c r="H4066" s="108">
        <v>1</v>
      </c>
    </row>
    <row r="4067" spans="1:8" ht="14">
      <c r="A4067" s="108">
        <v>2023</v>
      </c>
      <c r="B4067" s="108">
        <v>53</v>
      </c>
      <c r="C4067" s="108" t="s">
        <v>138</v>
      </c>
      <c r="D4067" s="108">
        <v>0</v>
      </c>
      <c r="E4067" s="108">
        <v>11.618</v>
      </c>
      <c r="F4067" s="108" t="s">
        <v>135</v>
      </c>
      <c r="G4067" s="108"/>
      <c r="H4067" s="108">
        <v>1</v>
      </c>
    </row>
    <row r="4068" spans="1:8" ht="14">
      <c r="A4068" s="108">
        <v>2023</v>
      </c>
      <c r="B4068" s="108">
        <v>53</v>
      </c>
      <c r="C4068" s="108" t="s">
        <v>138</v>
      </c>
      <c r="D4068" s="108">
        <v>0</v>
      </c>
      <c r="E4068" s="108">
        <v>40.129999999999903</v>
      </c>
      <c r="F4068" s="108" t="s">
        <v>136</v>
      </c>
      <c r="G4068" s="108"/>
      <c r="H4068" s="108">
        <v>1</v>
      </c>
    </row>
    <row r="4069" spans="1:8" ht="14">
      <c r="A4069" s="108">
        <v>2023</v>
      </c>
      <c r="B4069" s="108">
        <v>53</v>
      </c>
      <c r="C4069" s="108" t="s">
        <v>139</v>
      </c>
      <c r="D4069" s="108">
        <v>0</v>
      </c>
      <c r="E4069" s="108">
        <v>11.281999999999901</v>
      </c>
      <c r="F4069" s="108" t="s">
        <v>135</v>
      </c>
      <c r="G4069" s="108"/>
      <c r="H4069" s="108">
        <v>1</v>
      </c>
    </row>
    <row r="4070" spans="1:8" ht="14">
      <c r="A4070" s="108">
        <v>2023</v>
      </c>
      <c r="B4070" s="108">
        <v>53</v>
      </c>
      <c r="C4070" s="108" t="s">
        <v>139</v>
      </c>
      <c r="D4070" s="108">
        <v>0</v>
      </c>
      <c r="E4070" s="108">
        <v>40.339999999999897</v>
      </c>
      <c r="F4070" s="108" t="s">
        <v>136</v>
      </c>
      <c r="G4070" s="108"/>
      <c r="H4070" s="108">
        <v>1</v>
      </c>
    </row>
    <row r="4071" spans="1:8" ht="14">
      <c r="A4071" s="108">
        <v>2023</v>
      </c>
      <c r="B4071" s="108">
        <v>54</v>
      </c>
      <c r="C4071" s="108" t="s">
        <v>30</v>
      </c>
      <c r="D4071" s="108">
        <v>4.835</v>
      </c>
      <c r="E4071" s="108">
        <v>9.6669999999999998</v>
      </c>
      <c r="F4071" s="108" t="s">
        <v>137</v>
      </c>
      <c r="G4071" s="108"/>
      <c r="H4071" s="108">
        <v>1</v>
      </c>
    </row>
    <row r="4072" spans="1:8" ht="14">
      <c r="A4072" s="108">
        <v>2023</v>
      </c>
      <c r="B4072" s="108">
        <v>54</v>
      </c>
      <c r="C4072" s="108" t="s">
        <v>30</v>
      </c>
      <c r="D4072" s="108">
        <v>5309.1203365820702</v>
      </c>
      <c r="E4072" s="108">
        <v>2942.90344523981</v>
      </c>
      <c r="F4072" s="108" t="s">
        <v>136</v>
      </c>
      <c r="G4072" s="108"/>
      <c r="H4072" s="108">
        <v>1</v>
      </c>
    </row>
    <row r="4073" spans="1:8" ht="14">
      <c r="A4073" s="108">
        <v>2023</v>
      </c>
      <c r="B4073" s="108">
        <v>54</v>
      </c>
      <c r="C4073" s="108" t="s">
        <v>30</v>
      </c>
      <c r="D4073" s="108">
        <v>155.229663417929</v>
      </c>
      <c r="E4073" s="108">
        <v>113.913554760187</v>
      </c>
      <c r="F4073" s="108" t="s">
        <v>135</v>
      </c>
      <c r="G4073" s="108"/>
      <c r="H4073" s="108">
        <v>1</v>
      </c>
    </row>
    <row r="4074" spans="1:8" ht="14">
      <c r="A4074" s="108">
        <v>2023</v>
      </c>
      <c r="B4074" s="108">
        <v>54</v>
      </c>
      <c r="C4074" s="108" t="s">
        <v>138</v>
      </c>
      <c r="D4074" s="108">
        <v>4.8209999999999997</v>
      </c>
      <c r="E4074" s="108">
        <v>9.641</v>
      </c>
      <c r="F4074" s="108" t="s">
        <v>137</v>
      </c>
      <c r="G4074" s="108"/>
      <c r="H4074" s="108">
        <v>1</v>
      </c>
    </row>
    <row r="4075" spans="1:8" ht="14">
      <c r="A4075" s="108">
        <v>2023</v>
      </c>
      <c r="B4075" s="108">
        <v>54</v>
      </c>
      <c r="C4075" s="108" t="s">
        <v>138</v>
      </c>
      <c r="D4075" s="108">
        <v>101.651556113813</v>
      </c>
      <c r="E4075" s="108">
        <v>74.413570334549902</v>
      </c>
      <c r="F4075" s="108" t="s">
        <v>135</v>
      </c>
      <c r="G4075" s="108"/>
      <c r="H4075" s="108">
        <v>1</v>
      </c>
    </row>
    <row r="4076" spans="1:8" ht="14">
      <c r="A4076" s="108">
        <v>2023</v>
      </c>
      <c r="B4076" s="108">
        <v>54</v>
      </c>
      <c r="C4076" s="108" t="s">
        <v>138</v>
      </c>
      <c r="D4076" s="108">
        <v>3500.5974438861799</v>
      </c>
      <c r="E4076" s="108">
        <v>2126.6584296654501</v>
      </c>
      <c r="F4076" s="108" t="s">
        <v>136</v>
      </c>
      <c r="G4076" s="108"/>
      <c r="H4076" s="108">
        <v>1</v>
      </c>
    </row>
    <row r="4077" spans="1:8" ht="14">
      <c r="A4077" s="108">
        <v>2023</v>
      </c>
      <c r="B4077" s="108">
        <v>54</v>
      </c>
      <c r="C4077" s="108" t="s">
        <v>139</v>
      </c>
      <c r="D4077" s="108">
        <v>1.4E-2</v>
      </c>
      <c r="E4077" s="108">
        <v>2.5999999999999999E-2</v>
      </c>
      <c r="F4077" s="108" t="s">
        <v>137</v>
      </c>
      <c r="G4077" s="108"/>
      <c r="H4077" s="108">
        <v>1</v>
      </c>
    </row>
    <row r="4078" spans="1:8" ht="14">
      <c r="A4078" s="108">
        <v>2023</v>
      </c>
      <c r="B4078" s="108">
        <v>54</v>
      </c>
      <c r="C4078" s="108" t="s">
        <v>139</v>
      </c>
      <c r="D4078" s="108">
        <v>53.578107304115498</v>
      </c>
      <c r="E4078" s="108">
        <v>39.499984425637798</v>
      </c>
      <c r="F4078" s="108" t="s">
        <v>135</v>
      </c>
      <c r="G4078" s="108"/>
      <c r="H4078" s="108">
        <v>1</v>
      </c>
    </row>
    <row r="4079" spans="1:8" ht="14">
      <c r="A4079" s="108">
        <v>2023</v>
      </c>
      <c r="B4079" s="108">
        <v>54</v>
      </c>
      <c r="C4079" s="108" t="s">
        <v>139</v>
      </c>
      <c r="D4079" s="108">
        <v>1808.52289269588</v>
      </c>
      <c r="E4079" s="108">
        <v>816.24501557436201</v>
      </c>
      <c r="F4079" s="108" t="s">
        <v>136</v>
      </c>
      <c r="G4079" s="108"/>
      <c r="H4079" s="108">
        <v>1</v>
      </c>
    </row>
    <row r="4080" spans="1:8" ht="14">
      <c r="A4080" s="108">
        <v>2023</v>
      </c>
      <c r="B4080" s="108">
        <v>59</v>
      </c>
      <c r="C4080" s="108" t="s">
        <v>30</v>
      </c>
      <c r="D4080" s="108">
        <v>4.7430000000000003</v>
      </c>
      <c r="E4080" s="108">
        <v>3.0000000000000001E-3</v>
      </c>
      <c r="F4080" s="108" t="s">
        <v>137</v>
      </c>
      <c r="G4080" s="108"/>
      <c r="H4080" s="108">
        <v>1</v>
      </c>
    </row>
    <row r="4081" spans="1:8" ht="14">
      <c r="A4081" s="108">
        <v>2023</v>
      </c>
      <c r="B4081" s="108">
        <v>59</v>
      </c>
      <c r="C4081" s="108" t="s">
        <v>30</v>
      </c>
      <c r="D4081" s="108">
        <v>257.77300000000002</v>
      </c>
      <c r="E4081" s="108">
        <v>22.230006426735201</v>
      </c>
      <c r="F4081" s="108" t="s">
        <v>136</v>
      </c>
      <c r="G4081" s="108"/>
      <c r="H4081" s="108">
        <v>1</v>
      </c>
    </row>
    <row r="4082" spans="1:8" ht="14">
      <c r="A4082" s="108">
        <v>2023</v>
      </c>
      <c r="B4082" s="108">
        <v>59</v>
      </c>
      <c r="C4082" s="108" t="s">
        <v>30</v>
      </c>
      <c r="D4082" s="108">
        <v>6.0000000000000001E-3</v>
      </c>
      <c r="E4082" s="108">
        <v>1.0899935732647801</v>
      </c>
      <c r="F4082" s="108" t="s">
        <v>135</v>
      </c>
      <c r="G4082" s="108"/>
      <c r="H4082" s="108">
        <v>1</v>
      </c>
    </row>
    <row r="4083" spans="1:8" ht="14">
      <c r="A4083" s="108">
        <v>2023</v>
      </c>
      <c r="B4083" s="108">
        <v>59</v>
      </c>
      <c r="C4083" s="108" t="s">
        <v>138</v>
      </c>
      <c r="D4083" s="108">
        <v>1.657</v>
      </c>
      <c r="E4083" s="108">
        <v>1E-3</v>
      </c>
      <c r="F4083" s="108" t="s">
        <v>137</v>
      </c>
      <c r="G4083" s="108"/>
      <c r="H4083" s="108">
        <v>1</v>
      </c>
    </row>
    <row r="4084" spans="1:8" ht="14">
      <c r="A4084" s="108">
        <v>2023</v>
      </c>
      <c r="B4084" s="108">
        <v>59</v>
      </c>
      <c r="C4084" s="108" t="s">
        <v>138</v>
      </c>
      <c r="D4084" s="108">
        <v>193.959</v>
      </c>
      <c r="E4084" s="108">
        <v>15.3629999999999</v>
      </c>
      <c r="F4084" s="108" t="s">
        <v>136</v>
      </c>
      <c r="G4084" s="108"/>
      <c r="H4084" s="108">
        <v>1</v>
      </c>
    </row>
    <row r="4085" spans="1:8" ht="14">
      <c r="A4085" s="108">
        <v>2023</v>
      </c>
      <c r="B4085" s="108">
        <v>59</v>
      </c>
      <c r="C4085" s="108" t="s">
        <v>138</v>
      </c>
      <c r="D4085" s="108">
        <v>6.0000000000000001E-3</v>
      </c>
      <c r="E4085" s="108">
        <v>0.308</v>
      </c>
      <c r="F4085" s="108" t="s">
        <v>135</v>
      </c>
      <c r="G4085" s="108"/>
      <c r="H4085" s="108">
        <v>1</v>
      </c>
    </row>
    <row r="4086" spans="1:8" ht="14">
      <c r="A4086" s="108">
        <v>2023</v>
      </c>
      <c r="B4086" s="108">
        <v>59</v>
      </c>
      <c r="C4086" s="108" t="s">
        <v>139</v>
      </c>
      <c r="D4086" s="108">
        <v>63.813999999999901</v>
      </c>
      <c r="E4086" s="108">
        <v>6.8670064267352098</v>
      </c>
      <c r="F4086" s="108" t="s">
        <v>136</v>
      </c>
      <c r="G4086" s="108"/>
      <c r="H4086" s="108">
        <v>1</v>
      </c>
    </row>
    <row r="4087" spans="1:8" ht="14">
      <c r="A4087" s="108">
        <v>2023</v>
      </c>
      <c r="B4087" s="108">
        <v>59</v>
      </c>
      <c r="C4087" s="108" t="s">
        <v>139</v>
      </c>
      <c r="D4087" s="108">
        <v>3.0859999999999999</v>
      </c>
      <c r="E4087" s="108">
        <v>2E-3</v>
      </c>
      <c r="F4087" s="108" t="s">
        <v>137</v>
      </c>
      <c r="G4087" s="108"/>
      <c r="H4087" s="108">
        <v>1</v>
      </c>
    </row>
    <row r="4088" spans="1:8" ht="14">
      <c r="A4088" s="108">
        <v>2023</v>
      </c>
      <c r="B4088" s="108">
        <v>59</v>
      </c>
      <c r="C4088" s="108" t="s">
        <v>139</v>
      </c>
      <c r="D4088" s="108">
        <v>0</v>
      </c>
      <c r="E4088" s="108">
        <v>0.78199357326478103</v>
      </c>
      <c r="F4088" s="108" t="s">
        <v>135</v>
      </c>
      <c r="G4088" s="108"/>
      <c r="H4088" s="108">
        <v>1</v>
      </c>
    </row>
    <row r="4089" spans="1:8" ht="14">
      <c r="A4089" s="108">
        <v>2023</v>
      </c>
      <c r="B4089" s="108">
        <v>61</v>
      </c>
      <c r="C4089" s="108" t="s">
        <v>30</v>
      </c>
      <c r="D4089" s="108">
        <v>27558.9232938883</v>
      </c>
      <c r="E4089" s="108">
        <v>2092.8866030354602</v>
      </c>
      <c r="F4089" s="108" t="s">
        <v>136</v>
      </c>
      <c r="G4089" s="108"/>
      <c r="H4089" s="108">
        <v>1</v>
      </c>
    </row>
    <row r="4090" spans="1:8" ht="14">
      <c r="A4090" s="108">
        <v>2023</v>
      </c>
      <c r="B4090" s="108">
        <v>61</v>
      </c>
      <c r="C4090" s="108" t="s">
        <v>30</v>
      </c>
      <c r="D4090" s="108">
        <v>19545.6207061116</v>
      </c>
      <c r="E4090" s="108">
        <v>1234.5613969645301</v>
      </c>
      <c r="F4090" s="108" t="s">
        <v>135</v>
      </c>
      <c r="G4090" s="108"/>
      <c r="H4090" s="108">
        <v>1</v>
      </c>
    </row>
    <row r="4091" spans="1:8" ht="14">
      <c r="A4091" s="108">
        <v>2023</v>
      </c>
      <c r="B4091" s="108">
        <v>61</v>
      </c>
      <c r="C4091" s="108" t="s">
        <v>138</v>
      </c>
      <c r="D4091" s="108">
        <v>9486.8288046943799</v>
      </c>
      <c r="E4091" s="108">
        <v>617.71042206928996</v>
      </c>
      <c r="F4091" s="108" t="s">
        <v>135</v>
      </c>
      <c r="G4091" s="108"/>
      <c r="H4091" s="108">
        <v>1</v>
      </c>
    </row>
    <row r="4092" spans="1:8" ht="14">
      <c r="A4092" s="108">
        <v>2023</v>
      </c>
      <c r="B4092" s="108">
        <v>61</v>
      </c>
      <c r="C4092" s="108" t="s">
        <v>138</v>
      </c>
      <c r="D4092" s="108">
        <v>17845.4211953056</v>
      </c>
      <c r="E4092" s="108">
        <v>1060.86757793071</v>
      </c>
      <c r="F4092" s="108" t="s">
        <v>136</v>
      </c>
      <c r="G4092" s="108"/>
      <c r="H4092" s="108">
        <v>1</v>
      </c>
    </row>
    <row r="4093" spans="1:8" ht="14">
      <c r="A4093" s="108">
        <v>2023</v>
      </c>
      <c r="B4093" s="108">
        <v>61</v>
      </c>
      <c r="C4093" s="108" t="s">
        <v>139</v>
      </c>
      <c r="D4093" s="108">
        <v>9713.5020985827105</v>
      </c>
      <c r="E4093" s="108">
        <v>1032.01902510475</v>
      </c>
      <c r="F4093" s="108" t="s">
        <v>136</v>
      </c>
      <c r="G4093" s="108"/>
      <c r="H4093" s="108">
        <v>1</v>
      </c>
    </row>
    <row r="4094" spans="1:8" ht="14">
      <c r="A4094" s="108">
        <v>2023</v>
      </c>
      <c r="B4094" s="108">
        <v>61</v>
      </c>
      <c r="C4094" s="108" t="s">
        <v>139</v>
      </c>
      <c r="D4094" s="108">
        <v>10058.7919014172</v>
      </c>
      <c r="E4094" s="108">
        <v>616.85097489524105</v>
      </c>
      <c r="F4094" s="108" t="s">
        <v>135</v>
      </c>
      <c r="G4094" s="108"/>
      <c r="H4094" s="108">
        <v>1</v>
      </c>
    </row>
    <row r="4095" spans="1:8" ht="14">
      <c r="A4095" s="108">
        <v>2023</v>
      </c>
      <c r="B4095" s="108">
        <v>62</v>
      </c>
      <c r="C4095" s="108" t="s">
        <v>30</v>
      </c>
      <c r="D4095" s="108">
        <v>28.081172350294398</v>
      </c>
      <c r="E4095" s="108">
        <v>20.969716152447099</v>
      </c>
      <c r="F4095" s="108" t="s">
        <v>135</v>
      </c>
      <c r="G4095" s="108"/>
      <c r="H4095" s="108">
        <v>1</v>
      </c>
    </row>
    <row r="4096" spans="1:8" ht="14">
      <c r="A4096" s="108">
        <v>2023</v>
      </c>
      <c r="B4096" s="108">
        <v>62</v>
      </c>
      <c r="C4096" s="108" t="s">
        <v>30</v>
      </c>
      <c r="D4096" s="108">
        <v>214.72782764970501</v>
      </c>
      <c r="E4096" s="108">
        <v>32.8452838475528</v>
      </c>
      <c r="F4096" s="108" t="s">
        <v>136</v>
      </c>
      <c r="G4096" s="108"/>
      <c r="H4096" s="108">
        <v>1</v>
      </c>
    </row>
    <row r="4097" spans="1:8" ht="14">
      <c r="A4097" s="108">
        <v>2023</v>
      </c>
      <c r="B4097" s="108">
        <v>62</v>
      </c>
      <c r="C4097" s="108" t="s">
        <v>138</v>
      </c>
      <c r="D4097" s="108">
        <v>5.83969806272039</v>
      </c>
      <c r="E4097" s="108">
        <v>2.28496818643637</v>
      </c>
      <c r="F4097" s="108" t="s">
        <v>135</v>
      </c>
      <c r="G4097" s="108"/>
      <c r="H4097" s="108">
        <v>1</v>
      </c>
    </row>
    <row r="4098" spans="1:8" ht="14">
      <c r="A4098" s="108">
        <v>2023</v>
      </c>
      <c r="B4098" s="108">
        <v>62</v>
      </c>
      <c r="C4098" s="108" t="s">
        <v>138</v>
      </c>
      <c r="D4098" s="108">
        <v>159.71630193727901</v>
      </c>
      <c r="E4098" s="108">
        <v>17.895031813563602</v>
      </c>
      <c r="F4098" s="108" t="s">
        <v>136</v>
      </c>
      <c r="G4098" s="108"/>
      <c r="H4098" s="108">
        <v>1</v>
      </c>
    </row>
    <row r="4099" spans="1:8" ht="14">
      <c r="A4099" s="108">
        <v>2023</v>
      </c>
      <c r="B4099" s="108">
        <v>62</v>
      </c>
      <c r="C4099" s="108" t="s">
        <v>139</v>
      </c>
      <c r="D4099" s="108">
        <v>55.011525712425801</v>
      </c>
      <c r="E4099" s="108">
        <v>14.9502520339892</v>
      </c>
      <c r="F4099" s="108" t="s">
        <v>136</v>
      </c>
      <c r="G4099" s="108"/>
      <c r="H4099" s="108">
        <v>1</v>
      </c>
    </row>
    <row r="4100" spans="1:8" ht="14">
      <c r="A4100" s="108">
        <v>2023</v>
      </c>
      <c r="B4100" s="108">
        <v>62</v>
      </c>
      <c r="C4100" s="108" t="s">
        <v>139</v>
      </c>
      <c r="D4100" s="108">
        <v>22.241474287574</v>
      </c>
      <c r="E4100" s="108">
        <v>18.684747966010701</v>
      </c>
      <c r="F4100" s="108" t="s">
        <v>135</v>
      </c>
      <c r="G4100" s="108"/>
      <c r="H4100" s="108">
        <v>1</v>
      </c>
    </row>
    <row r="4101" spans="1:8" ht="14">
      <c r="A4101" s="108">
        <v>2023</v>
      </c>
      <c r="B4101" s="108">
        <v>63</v>
      </c>
      <c r="C4101" s="108" t="s">
        <v>30</v>
      </c>
      <c r="D4101" s="108">
        <v>31.831999999999901</v>
      </c>
      <c r="E4101" s="108">
        <v>7.6939999999999902</v>
      </c>
      <c r="F4101" s="108" t="s">
        <v>135</v>
      </c>
      <c r="G4101" s="108"/>
      <c r="H4101" s="108">
        <v>1</v>
      </c>
    </row>
    <row r="4102" spans="1:8" ht="14">
      <c r="A4102" s="108">
        <v>2023</v>
      </c>
      <c r="B4102" s="108">
        <v>63</v>
      </c>
      <c r="C4102" s="108" t="s">
        <v>30</v>
      </c>
      <c r="D4102" s="108">
        <v>8598.6849999999995</v>
      </c>
      <c r="E4102" s="108">
        <v>517.75599999999997</v>
      </c>
      <c r="F4102" s="108" t="s">
        <v>136</v>
      </c>
      <c r="G4102" s="108"/>
      <c r="H4102" s="108">
        <v>1</v>
      </c>
    </row>
    <row r="4103" spans="1:8" ht="14">
      <c r="A4103" s="108">
        <v>2023</v>
      </c>
      <c r="B4103" s="108">
        <v>63</v>
      </c>
      <c r="C4103" s="108" t="s">
        <v>138</v>
      </c>
      <c r="D4103" s="108">
        <v>6609.1149999999998</v>
      </c>
      <c r="E4103" s="108">
        <v>266.99900000000002</v>
      </c>
      <c r="F4103" s="108" t="s">
        <v>136</v>
      </c>
      <c r="G4103" s="108"/>
      <c r="H4103" s="108">
        <v>1</v>
      </c>
    </row>
    <row r="4104" spans="1:8" ht="14">
      <c r="A4104" s="108">
        <v>2023</v>
      </c>
      <c r="B4104" s="108">
        <v>63</v>
      </c>
      <c r="C4104" s="108" t="s">
        <v>138</v>
      </c>
      <c r="D4104" s="108">
        <v>17.678999999999998</v>
      </c>
      <c r="E4104" s="108">
        <v>3.7530000000000001</v>
      </c>
      <c r="F4104" s="108" t="s">
        <v>135</v>
      </c>
      <c r="G4104" s="108"/>
      <c r="H4104" s="108">
        <v>1</v>
      </c>
    </row>
    <row r="4105" spans="1:8" ht="14">
      <c r="A4105" s="108">
        <v>2023</v>
      </c>
      <c r="B4105" s="108">
        <v>63</v>
      </c>
      <c r="C4105" s="108" t="s">
        <v>139</v>
      </c>
      <c r="D4105" s="108">
        <v>14.153</v>
      </c>
      <c r="E4105" s="108">
        <v>3.9409999999999998</v>
      </c>
      <c r="F4105" s="108" t="s">
        <v>135</v>
      </c>
      <c r="G4105" s="108"/>
      <c r="H4105" s="108">
        <v>1</v>
      </c>
    </row>
    <row r="4106" spans="1:8" ht="14">
      <c r="A4106" s="108">
        <v>2023</v>
      </c>
      <c r="B4106" s="108">
        <v>63</v>
      </c>
      <c r="C4106" s="108" t="s">
        <v>139</v>
      </c>
      <c r="D4106" s="108">
        <v>1989.57</v>
      </c>
      <c r="E4106" s="108">
        <v>250.75699999999901</v>
      </c>
      <c r="F4106" s="108" t="s">
        <v>136</v>
      </c>
      <c r="G4106" s="108"/>
      <c r="H4106" s="108">
        <v>1</v>
      </c>
    </row>
    <row r="4107" spans="1:8" ht="14">
      <c r="A4107" s="108">
        <v>2023</v>
      </c>
      <c r="B4107" s="108">
        <v>69</v>
      </c>
      <c r="C4107" s="108" t="s">
        <v>30</v>
      </c>
      <c r="D4107" s="108">
        <v>0.34200000000000003</v>
      </c>
      <c r="E4107" s="108">
        <v>6.3E-2</v>
      </c>
      <c r="F4107" s="108" t="s">
        <v>136</v>
      </c>
      <c r="G4107" s="108"/>
      <c r="H4107" s="108">
        <v>1</v>
      </c>
    </row>
    <row r="4108" spans="1:8" ht="14">
      <c r="A4108" s="108">
        <v>2023</v>
      </c>
      <c r="B4108" s="108">
        <v>69</v>
      </c>
      <c r="C4108" s="108" t="s">
        <v>30</v>
      </c>
      <c r="D4108" s="108">
        <v>0.23699999999999999</v>
      </c>
      <c r="E4108" s="108">
        <v>0.22999999999999901</v>
      </c>
      <c r="F4108" s="108" t="s">
        <v>135</v>
      </c>
      <c r="G4108" s="108"/>
      <c r="H4108" s="108">
        <v>1</v>
      </c>
    </row>
    <row r="4109" spans="1:8" ht="14">
      <c r="A4109" s="108">
        <v>2023</v>
      </c>
      <c r="B4109" s="108">
        <v>69</v>
      </c>
      <c r="C4109" s="108" t="s">
        <v>138</v>
      </c>
      <c r="D4109" s="108">
        <v>0.156</v>
      </c>
      <c r="E4109" s="108">
        <v>1.7000000000000001E-2</v>
      </c>
      <c r="F4109" s="108" t="s">
        <v>136</v>
      </c>
      <c r="G4109" s="108"/>
      <c r="H4109" s="108">
        <v>1</v>
      </c>
    </row>
    <row r="4110" spans="1:8" ht="14">
      <c r="A4110" s="108">
        <v>2023</v>
      </c>
      <c r="B4110" s="108">
        <v>69</v>
      </c>
      <c r="C4110" s="108" t="s">
        <v>138</v>
      </c>
      <c r="D4110" s="108">
        <v>6.9000000000000006E-2</v>
      </c>
      <c r="E4110" s="108">
        <v>6.9000000000000006E-2</v>
      </c>
      <c r="F4110" s="108" t="s">
        <v>135</v>
      </c>
      <c r="G4110" s="108"/>
      <c r="H4110" s="108">
        <v>1</v>
      </c>
    </row>
    <row r="4111" spans="1:8" ht="14">
      <c r="A4111" s="108">
        <v>2023</v>
      </c>
      <c r="B4111" s="108">
        <v>69</v>
      </c>
      <c r="C4111" s="108" t="s">
        <v>139</v>
      </c>
      <c r="D4111" s="108">
        <v>0.186</v>
      </c>
      <c r="E4111" s="108">
        <v>4.5999999999999999E-2</v>
      </c>
      <c r="F4111" s="108" t="s">
        <v>136</v>
      </c>
      <c r="G4111" s="108"/>
      <c r="H4111" s="108">
        <v>1</v>
      </c>
    </row>
    <row r="4112" spans="1:8" ht="14">
      <c r="A4112" s="108">
        <v>2023</v>
      </c>
      <c r="B4112" s="108">
        <v>69</v>
      </c>
      <c r="C4112" s="108" t="s">
        <v>139</v>
      </c>
      <c r="D4112" s="108">
        <v>0.16800000000000001</v>
      </c>
      <c r="E4112" s="108">
        <v>0.161</v>
      </c>
      <c r="F4112" s="108" t="s">
        <v>135</v>
      </c>
      <c r="G4112" s="108"/>
      <c r="H4112" s="108">
        <v>1</v>
      </c>
    </row>
    <row r="4113" spans="1:8" ht="14">
      <c r="A4113" s="108">
        <v>2023</v>
      </c>
      <c r="B4113" s="108">
        <v>91</v>
      </c>
      <c r="C4113" s="108" t="s">
        <v>30</v>
      </c>
      <c r="D4113" s="108">
        <v>1E-3</v>
      </c>
      <c r="E4113" s="108">
        <v>0</v>
      </c>
      <c r="F4113" s="108" t="s">
        <v>137</v>
      </c>
      <c r="G4113" s="108"/>
      <c r="H4113" s="108">
        <v>1</v>
      </c>
    </row>
    <row r="4114" spans="1:8" ht="14">
      <c r="A4114" s="108">
        <v>2023</v>
      </c>
      <c r="B4114" s="108">
        <v>91</v>
      </c>
      <c r="C4114" s="108" t="s">
        <v>30</v>
      </c>
      <c r="D4114" s="108">
        <v>5034.0595420034397</v>
      </c>
      <c r="E4114" s="108">
        <v>0</v>
      </c>
      <c r="F4114" s="108" t="s">
        <v>136</v>
      </c>
      <c r="G4114" s="108"/>
      <c r="H4114" s="108">
        <v>1</v>
      </c>
    </row>
    <row r="4115" spans="1:8" ht="14">
      <c r="A4115" s="108">
        <v>2023</v>
      </c>
      <c r="B4115" s="108">
        <v>91</v>
      </c>
      <c r="C4115" s="108" t="s">
        <v>30</v>
      </c>
      <c r="D4115" s="108">
        <v>160.421457996557</v>
      </c>
      <c r="E4115" s="108">
        <v>0</v>
      </c>
      <c r="F4115" s="108" t="s">
        <v>135</v>
      </c>
      <c r="G4115" s="108"/>
      <c r="H4115" s="108">
        <v>1</v>
      </c>
    </row>
    <row r="4116" spans="1:8" ht="14">
      <c r="A4116" s="108">
        <v>2023</v>
      </c>
      <c r="B4116" s="108">
        <v>91</v>
      </c>
      <c r="C4116" s="108" t="s">
        <v>138</v>
      </c>
      <c r="D4116" s="108">
        <v>4789.4829853006404</v>
      </c>
      <c r="E4116" s="108">
        <v>0</v>
      </c>
      <c r="F4116" s="108" t="s">
        <v>136</v>
      </c>
      <c r="G4116" s="108"/>
      <c r="H4116" s="108">
        <v>1</v>
      </c>
    </row>
    <row r="4117" spans="1:8" ht="14">
      <c r="A4117" s="108">
        <v>2023</v>
      </c>
      <c r="B4117" s="108">
        <v>91</v>
      </c>
      <c r="C4117" s="108" t="s">
        <v>138</v>
      </c>
      <c r="D4117" s="108">
        <v>48.635014699358898</v>
      </c>
      <c r="E4117" s="108">
        <v>0</v>
      </c>
      <c r="F4117" s="108" t="s">
        <v>135</v>
      </c>
      <c r="G4117" s="108"/>
      <c r="H4117" s="108">
        <v>1</v>
      </c>
    </row>
    <row r="4118" spans="1:8" ht="14">
      <c r="A4118" s="108">
        <v>2023</v>
      </c>
      <c r="B4118" s="108">
        <v>91</v>
      </c>
      <c r="C4118" s="108" t="s">
        <v>139</v>
      </c>
      <c r="D4118" s="108">
        <v>111.78644329719801</v>
      </c>
      <c r="E4118" s="108">
        <v>0</v>
      </c>
      <c r="F4118" s="108" t="s">
        <v>135</v>
      </c>
      <c r="G4118" s="108"/>
      <c r="H4118" s="108">
        <v>1</v>
      </c>
    </row>
    <row r="4119" spans="1:8" ht="14">
      <c r="A4119" s="108">
        <v>2023</v>
      </c>
      <c r="B4119" s="108">
        <v>91</v>
      </c>
      <c r="C4119" s="108" t="s">
        <v>139</v>
      </c>
      <c r="D4119" s="108">
        <v>1E-3</v>
      </c>
      <c r="E4119" s="108">
        <v>0</v>
      </c>
      <c r="F4119" s="108" t="s">
        <v>137</v>
      </c>
      <c r="G4119" s="108"/>
      <c r="H4119" s="108">
        <v>1</v>
      </c>
    </row>
    <row r="4120" spans="1:8" ht="14">
      <c r="A4120" s="108">
        <v>2023</v>
      </c>
      <c r="B4120" s="108">
        <v>91</v>
      </c>
      <c r="C4120" s="108" t="s">
        <v>139</v>
      </c>
      <c r="D4120" s="108">
        <v>244.57655670280101</v>
      </c>
      <c r="E4120" s="108">
        <v>0</v>
      </c>
      <c r="F4120" s="108" t="s">
        <v>136</v>
      </c>
      <c r="G4120" s="108"/>
      <c r="H4120" s="108">
        <v>1</v>
      </c>
    </row>
    <row r="4121" spans="1:8" ht="14">
      <c r="A4121" s="108">
        <v>2023</v>
      </c>
      <c r="B4121" s="108">
        <v>92</v>
      </c>
      <c r="C4121" s="108" t="s">
        <v>30</v>
      </c>
      <c r="D4121" s="108">
        <v>245.174511074159</v>
      </c>
      <c r="E4121" s="108">
        <v>0</v>
      </c>
      <c r="F4121" s="108" t="s">
        <v>135</v>
      </c>
      <c r="G4121" s="108"/>
      <c r="H4121" s="108">
        <v>1</v>
      </c>
    </row>
    <row r="4122" spans="1:8" ht="14">
      <c r="A4122" s="108">
        <v>2023</v>
      </c>
      <c r="B4122" s="108">
        <v>92</v>
      </c>
      <c r="C4122" s="108" t="s">
        <v>30</v>
      </c>
      <c r="D4122" s="108">
        <v>4960.3382089258403</v>
      </c>
      <c r="E4122" s="108">
        <v>0</v>
      </c>
      <c r="F4122" s="108" t="s">
        <v>136</v>
      </c>
      <c r="G4122" s="108"/>
      <c r="H4122" s="108">
        <v>1</v>
      </c>
    </row>
    <row r="4123" spans="1:8" ht="14">
      <c r="A4123" s="108">
        <v>2023</v>
      </c>
      <c r="B4123" s="108">
        <v>92</v>
      </c>
      <c r="C4123" s="108" t="s">
        <v>138</v>
      </c>
      <c r="D4123" s="108">
        <v>138.680524382996</v>
      </c>
      <c r="E4123" s="108">
        <v>0</v>
      </c>
      <c r="F4123" s="108" t="s">
        <v>135</v>
      </c>
      <c r="G4123" s="108"/>
      <c r="H4123" s="108">
        <v>1</v>
      </c>
    </row>
    <row r="4124" spans="1:8" ht="14">
      <c r="A4124" s="108">
        <v>2023</v>
      </c>
      <c r="B4124" s="108">
        <v>92</v>
      </c>
      <c r="C4124" s="108" t="s">
        <v>138</v>
      </c>
      <c r="D4124" s="108">
        <v>3817.960195617</v>
      </c>
      <c r="E4124" s="108">
        <v>0</v>
      </c>
      <c r="F4124" s="108" t="s">
        <v>136</v>
      </c>
      <c r="G4124" s="108"/>
      <c r="H4124" s="108">
        <v>1</v>
      </c>
    </row>
    <row r="4125" spans="1:8" ht="14">
      <c r="A4125" s="108">
        <v>2023</v>
      </c>
      <c r="B4125" s="108">
        <v>92</v>
      </c>
      <c r="C4125" s="108" t="s">
        <v>139</v>
      </c>
      <c r="D4125" s="108">
        <v>106.49398669116199</v>
      </c>
      <c r="E4125" s="108">
        <v>0</v>
      </c>
      <c r="F4125" s="108" t="s">
        <v>135</v>
      </c>
      <c r="G4125" s="108"/>
      <c r="H4125" s="108">
        <v>1</v>
      </c>
    </row>
    <row r="4126" spans="1:8" ht="14">
      <c r="A4126" s="108">
        <v>2023</v>
      </c>
      <c r="B4126" s="108">
        <v>92</v>
      </c>
      <c r="C4126" s="108" t="s">
        <v>139</v>
      </c>
      <c r="D4126" s="108">
        <v>1142.3780133088301</v>
      </c>
      <c r="E4126" s="108">
        <v>0</v>
      </c>
      <c r="F4126" s="108" t="s">
        <v>136</v>
      </c>
      <c r="G4126" s="108"/>
      <c r="H4126" s="108">
        <v>1</v>
      </c>
    </row>
    <row r="4127" spans="1:8" ht="14">
      <c r="A4127" s="108">
        <v>2023</v>
      </c>
      <c r="B4127" s="108">
        <v>99</v>
      </c>
      <c r="C4127" s="108" t="s">
        <v>30</v>
      </c>
      <c r="D4127" s="108">
        <v>3062.0248643412601</v>
      </c>
      <c r="E4127" s="108">
        <v>0</v>
      </c>
      <c r="F4127" s="108" t="s">
        <v>136</v>
      </c>
      <c r="G4127" s="108"/>
      <c r="H4127" s="108">
        <v>1</v>
      </c>
    </row>
    <row r="4128" spans="1:8" ht="14">
      <c r="A4128" s="108">
        <v>2023</v>
      </c>
      <c r="B4128" s="108">
        <v>99</v>
      </c>
      <c r="C4128" s="108" t="s">
        <v>30</v>
      </c>
      <c r="D4128" s="108">
        <v>0.19700000000000001</v>
      </c>
      <c r="E4128" s="108">
        <v>0</v>
      </c>
      <c r="F4128" s="108" t="s">
        <v>137</v>
      </c>
      <c r="G4128" s="108"/>
      <c r="H4128" s="108">
        <v>1</v>
      </c>
    </row>
    <row r="4129" spans="1:8" ht="14">
      <c r="A4129" s="108">
        <v>2023</v>
      </c>
      <c r="B4129" s="108">
        <v>99</v>
      </c>
      <c r="C4129" s="108" t="s">
        <v>30</v>
      </c>
      <c r="D4129" s="108">
        <v>1574.8111356587301</v>
      </c>
      <c r="E4129" s="108">
        <v>0</v>
      </c>
      <c r="F4129" s="108" t="s">
        <v>135</v>
      </c>
      <c r="G4129" s="108"/>
      <c r="H4129" s="108">
        <v>1</v>
      </c>
    </row>
    <row r="4130" spans="1:8" ht="14">
      <c r="A4130" s="108">
        <v>2023</v>
      </c>
      <c r="B4130" s="108">
        <v>99</v>
      </c>
      <c r="C4130" s="108" t="s">
        <v>138</v>
      </c>
      <c r="D4130" s="108">
        <v>1726.0947628009501</v>
      </c>
      <c r="E4130" s="108">
        <v>0</v>
      </c>
      <c r="F4130" s="108" t="s">
        <v>136</v>
      </c>
      <c r="G4130" s="108"/>
      <c r="H4130" s="108">
        <v>1</v>
      </c>
    </row>
    <row r="4131" spans="1:8" ht="14">
      <c r="A4131" s="108">
        <v>2023</v>
      </c>
      <c r="B4131" s="108">
        <v>99</v>
      </c>
      <c r="C4131" s="108" t="s">
        <v>138</v>
      </c>
      <c r="D4131" s="108">
        <v>671.37423719903995</v>
      </c>
      <c r="E4131" s="108">
        <v>0</v>
      </c>
      <c r="F4131" s="108" t="s">
        <v>135</v>
      </c>
      <c r="G4131" s="108"/>
      <c r="H4131" s="108">
        <v>1</v>
      </c>
    </row>
    <row r="4132" spans="1:8" ht="14">
      <c r="A4132" s="108">
        <v>2023</v>
      </c>
      <c r="B4132" s="108">
        <v>99</v>
      </c>
      <c r="C4132" s="108" t="s">
        <v>138</v>
      </c>
      <c r="D4132" s="108">
        <v>0.19700000000000001</v>
      </c>
      <c r="E4132" s="108">
        <v>0</v>
      </c>
      <c r="F4132" s="108" t="s">
        <v>137</v>
      </c>
      <c r="G4132" s="108"/>
      <c r="H4132" s="108">
        <v>1</v>
      </c>
    </row>
    <row r="4133" spans="1:8" ht="14">
      <c r="A4133" s="108">
        <v>2023</v>
      </c>
      <c r="B4133" s="108">
        <v>99</v>
      </c>
      <c r="C4133" s="108" t="s">
        <v>139</v>
      </c>
      <c r="D4133" s="108">
        <v>903.43689845969504</v>
      </c>
      <c r="E4133" s="108">
        <v>0</v>
      </c>
      <c r="F4133" s="108" t="s">
        <v>135</v>
      </c>
      <c r="G4133" s="108"/>
      <c r="H4133" s="108">
        <v>1</v>
      </c>
    </row>
    <row r="4134" spans="1:8" ht="14">
      <c r="A4134" s="108">
        <v>2023</v>
      </c>
      <c r="B4134" s="108">
        <v>99</v>
      </c>
      <c r="C4134" s="108" t="s">
        <v>139</v>
      </c>
      <c r="D4134" s="108">
        <v>1335.9301015403</v>
      </c>
      <c r="E4134" s="108">
        <v>0</v>
      </c>
      <c r="F4134" s="108" t="s">
        <v>136</v>
      </c>
      <c r="G4134" s="108"/>
      <c r="H4134" s="108">
        <v>1</v>
      </c>
    </row>
    <row r="4135" spans="1:8" ht="14">
      <c r="A4135" s="108">
        <v>2024</v>
      </c>
      <c r="B4135" s="108">
        <v>11</v>
      </c>
      <c r="C4135" s="108" t="s">
        <v>30</v>
      </c>
      <c r="D4135" s="108">
        <v>662.05643628025098</v>
      </c>
      <c r="E4135" s="108">
        <v>0</v>
      </c>
      <c r="F4135" s="108" t="s">
        <v>135</v>
      </c>
      <c r="G4135" s="108"/>
      <c r="H4135" s="108">
        <v>1</v>
      </c>
    </row>
    <row r="4136" spans="1:8" ht="14">
      <c r="A4136" s="108">
        <v>2024</v>
      </c>
      <c r="B4136" s="108">
        <v>11</v>
      </c>
      <c r="C4136" s="108" t="s">
        <v>30</v>
      </c>
      <c r="D4136" s="108">
        <v>13242.5125637197</v>
      </c>
      <c r="E4136" s="108">
        <v>0</v>
      </c>
      <c r="F4136" s="108" t="s">
        <v>136</v>
      </c>
      <c r="G4136" s="108"/>
      <c r="H4136" s="108">
        <v>1</v>
      </c>
    </row>
    <row r="4137" spans="1:8" ht="14">
      <c r="A4137" s="108">
        <v>2024</v>
      </c>
      <c r="B4137" s="108">
        <v>11</v>
      </c>
      <c r="C4137" s="108" t="s">
        <v>138</v>
      </c>
      <c r="D4137" s="108">
        <v>10885.5581566609</v>
      </c>
      <c r="E4137" s="108">
        <v>0</v>
      </c>
      <c r="F4137" s="108" t="s">
        <v>136</v>
      </c>
      <c r="G4137" s="108"/>
      <c r="H4137" s="108">
        <v>1</v>
      </c>
    </row>
    <row r="4138" spans="1:8" ht="14">
      <c r="A4138" s="108">
        <v>2024</v>
      </c>
      <c r="B4138" s="108">
        <v>11</v>
      </c>
      <c r="C4138" s="108" t="s">
        <v>138</v>
      </c>
      <c r="D4138" s="108">
        <v>304.98284333901302</v>
      </c>
      <c r="E4138" s="108">
        <v>0</v>
      </c>
      <c r="F4138" s="108" t="s">
        <v>135</v>
      </c>
      <c r="G4138" s="108"/>
      <c r="H4138" s="108">
        <v>1</v>
      </c>
    </row>
    <row r="4139" spans="1:8" ht="14">
      <c r="A4139" s="108">
        <v>2024</v>
      </c>
      <c r="B4139" s="108">
        <v>11</v>
      </c>
      <c r="C4139" s="108" t="s">
        <v>139</v>
      </c>
      <c r="D4139" s="108">
        <v>2356.9544070587599</v>
      </c>
      <c r="E4139" s="108">
        <v>0</v>
      </c>
      <c r="F4139" s="108" t="s">
        <v>136</v>
      </c>
      <c r="G4139" s="108"/>
      <c r="H4139" s="108">
        <v>1</v>
      </c>
    </row>
    <row r="4140" spans="1:8" ht="14">
      <c r="A4140" s="108">
        <v>2024</v>
      </c>
      <c r="B4140" s="108">
        <v>11</v>
      </c>
      <c r="C4140" s="108" t="s">
        <v>139</v>
      </c>
      <c r="D4140" s="108">
        <v>357.073592941237</v>
      </c>
      <c r="E4140" s="108">
        <v>0</v>
      </c>
      <c r="F4140" s="108" t="s">
        <v>135</v>
      </c>
      <c r="G4140" s="108"/>
      <c r="H4140" s="108">
        <v>1</v>
      </c>
    </row>
    <row r="4141" spans="1:8" ht="14">
      <c r="A4141" s="108">
        <v>2024</v>
      </c>
      <c r="B4141" s="108">
        <v>12</v>
      </c>
      <c r="C4141" s="108" t="s">
        <v>30</v>
      </c>
      <c r="D4141" s="108">
        <v>58602.729461306997</v>
      </c>
      <c r="E4141" s="108">
        <v>0</v>
      </c>
      <c r="F4141" s="108" t="s">
        <v>136</v>
      </c>
      <c r="G4141" s="108"/>
      <c r="H4141" s="108">
        <v>1</v>
      </c>
    </row>
    <row r="4142" spans="1:8" ht="14">
      <c r="A4142" s="108">
        <v>2024</v>
      </c>
      <c r="B4142" s="108">
        <v>12</v>
      </c>
      <c r="C4142" s="108" t="s">
        <v>30</v>
      </c>
      <c r="D4142" s="108">
        <v>11690.5255386929</v>
      </c>
      <c r="E4142" s="108">
        <v>0</v>
      </c>
      <c r="F4142" s="108" t="s">
        <v>135</v>
      </c>
      <c r="G4142" s="108"/>
      <c r="H4142" s="108">
        <v>1</v>
      </c>
    </row>
    <row r="4143" spans="1:8" ht="14">
      <c r="A4143" s="108">
        <v>2024</v>
      </c>
      <c r="B4143" s="108">
        <v>12</v>
      </c>
      <c r="C4143" s="108" t="s">
        <v>138</v>
      </c>
      <c r="D4143" s="108">
        <v>40188.452361720403</v>
      </c>
      <c r="E4143" s="108">
        <v>0</v>
      </c>
      <c r="F4143" s="108" t="s">
        <v>136</v>
      </c>
      <c r="G4143" s="108"/>
      <c r="H4143" s="108">
        <v>1</v>
      </c>
    </row>
    <row r="4144" spans="1:8" ht="14">
      <c r="A4144" s="108">
        <v>2024</v>
      </c>
      <c r="B4144" s="108">
        <v>12</v>
      </c>
      <c r="C4144" s="108" t="s">
        <v>138</v>
      </c>
      <c r="D4144" s="108">
        <v>6251.2086382795096</v>
      </c>
      <c r="E4144" s="108">
        <v>0</v>
      </c>
      <c r="F4144" s="108" t="s">
        <v>135</v>
      </c>
      <c r="G4144" s="108"/>
      <c r="H4144" s="108">
        <v>1</v>
      </c>
    </row>
    <row r="4145" spans="1:8" ht="14">
      <c r="A4145" s="108">
        <v>2024</v>
      </c>
      <c r="B4145" s="108">
        <v>12</v>
      </c>
      <c r="C4145" s="108" t="s">
        <v>139</v>
      </c>
      <c r="D4145" s="108">
        <v>18414.277099586499</v>
      </c>
      <c r="E4145" s="108">
        <v>0</v>
      </c>
      <c r="F4145" s="108" t="s">
        <v>136</v>
      </c>
      <c r="G4145" s="108"/>
      <c r="H4145" s="108">
        <v>1</v>
      </c>
    </row>
    <row r="4146" spans="1:8" ht="14">
      <c r="A4146" s="108">
        <v>2024</v>
      </c>
      <c r="B4146" s="108">
        <v>12</v>
      </c>
      <c r="C4146" s="108" t="s">
        <v>139</v>
      </c>
      <c r="D4146" s="108">
        <v>5439.3169004134097</v>
      </c>
      <c r="E4146" s="108">
        <v>0</v>
      </c>
      <c r="F4146" s="108" t="s">
        <v>135</v>
      </c>
      <c r="G4146" s="108"/>
      <c r="H4146" s="108">
        <v>1</v>
      </c>
    </row>
    <row r="4147" spans="1:8" ht="14">
      <c r="A4147" s="108">
        <v>2024</v>
      </c>
      <c r="B4147" s="108">
        <v>13</v>
      </c>
      <c r="C4147" s="108" t="s">
        <v>30</v>
      </c>
      <c r="D4147" s="108">
        <v>15494.4470341617</v>
      </c>
      <c r="E4147" s="108">
        <v>0</v>
      </c>
      <c r="F4147" s="108" t="s">
        <v>135</v>
      </c>
      <c r="G4147" s="108"/>
      <c r="H4147" s="108">
        <v>1</v>
      </c>
    </row>
    <row r="4148" spans="1:8" ht="14">
      <c r="A4148" s="108">
        <v>2024</v>
      </c>
      <c r="B4148" s="108">
        <v>13</v>
      </c>
      <c r="C4148" s="108" t="s">
        <v>30</v>
      </c>
      <c r="D4148" s="108">
        <v>54941.703965838198</v>
      </c>
      <c r="E4148" s="108">
        <v>0</v>
      </c>
      <c r="F4148" s="108" t="s">
        <v>136</v>
      </c>
      <c r="G4148" s="108"/>
      <c r="H4148" s="108">
        <v>1</v>
      </c>
    </row>
    <row r="4149" spans="1:8" ht="14">
      <c r="A4149" s="108">
        <v>2024</v>
      </c>
      <c r="B4149" s="108">
        <v>13</v>
      </c>
      <c r="C4149" s="108" t="s">
        <v>138</v>
      </c>
      <c r="D4149" s="108">
        <v>33199.5491524682</v>
      </c>
      <c r="E4149" s="108">
        <v>0</v>
      </c>
      <c r="F4149" s="108" t="s">
        <v>136</v>
      </c>
      <c r="G4149" s="108"/>
      <c r="H4149" s="108">
        <v>1</v>
      </c>
    </row>
    <row r="4150" spans="1:8" ht="14">
      <c r="A4150" s="108">
        <v>2024</v>
      </c>
      <c r="B4150" s="108">
        <v>13</v>
      </c>
      <c r="C4150" s="108" t="s">
        <v>138</v>
      </c>
      <c r="D4150" s="108">
        <v>7707.43384753176</v>
      </c>
      <c r="E4150" s="108">
        <v>0</v>
      </c>
      <c r="F4150" s="108" t="s">
        <v>135</v>
      </c>
      <c r="G4150" s="108"/>
      <c r="H4150" s="108">
        <v>1</v>
      </c>
    </row>
    <row r="4151" spans="1:8" ht="14">
      <c r="A4151" s="108">
        <v>2024</v>
      </c>
      <c r="B4151" s="108">
        <v>13</v>
      </c>
      <c r="C4151" s="108" t="s">
        <v>139</v>
      </c>
      <c r="D4151" s="108">
        <v>7787.0131866299998</v>
      </c>
      <c r="E4151" s="108">
        <v>0</v>
      </c>
      <c r="F4151" s="108" t="s">
        <v>135</v>
      </c>
      <c r="G4151" s="108"/>
      <c r="H4151" s="108">
        <v>1</v>
      </c>
    </row>
    <row r="4152" spans="1:8" ht="14">
      <c r="A4152" s="108">
        <v>2024</v>
      </c>
      <c r="B4152" s="108">
        <v>13</v>
      </c>
      <c r="C4152" s="108" t="s">
        <v>139</v>
      </c>
      <c r="D4152" s="108">
        <v>21742.154813370002</v>
      </c>
      <c r="E4152" s="108">
        <v>0</v>
      </c>
      <c r="F4152" s="108" t="s">
        <v>136</v>
      </c>
      <c r="G4152" s="108"/>
      <c r="H4152" s="108">
        <v>1</v>
      </c>
    </row>
    <row r="4153" spans="1:8" ht="14">
      <c r="A4153" s="108">
        <v>2024</v>
      </c>
      <c r="B4153" s="108">
        <v>19</v>
      </c>
      <c r="C4153" s="108" t="s">
        <v>30</v>
      </c>
      <c r="D4153" s="108">
        <v>6985.5593001115103</v>
      </c>
      <c r="E4153" s="108">
        <v>0</v>
      </c>
      <c r="F4153" s="108" t="s">
        <v>136</v>
      </c>
      <c r="G4153" s="108"/>
      <c r="H4153" s="108">
        <v>1</v>
      </c>
    </row>
    <row r="4154" spans="1:8" ht="14">
      <c r="A4154" s="108">
        <v>2024</v>
      </c>
      <c r="B4154" s="108">
        <v>19</v>
      </c>
      <c r="C4154" s="108" t="s">
        <v>30</v>
      </c>
      <c r="D4154" s="108">
        <v>1480.14869988848</v>
      </c>
      <c r="E4154" s="108">
        <v>0</v>
      </c>
      <c r="F4154" s="108" t="s">
        <v>135</v>
      </c>
      <c r="G4154" s="108"/>
      <c r="H4154" s="108">
        <v>1</v>
      </c>
    </row>
    <row r="4155" spans="1:8" ht="14">
      <c r="A4155" s="108">
        <v>2024</v>
      </c>
      <c r="B4155" s="108">
        <v>19</v>
      </c>
      <c r="C4155" s="108" t="s">
        <v>138</v>
      </c>
      <c r="D4155" s="108">
        <v>5688.1726223121896</v>
      </c>
      <c r="E4155" s="108">
        <v>0</v>
      </c>
      <c r="F4155" s="108" t="s">
        <v>136</v>
      </c>
      <c r="G4155" s="108"/>
      <c r="H4155" s="108">
        <v>1</v>
      </c>
    </row>
    <row r="4156" spans="1:8" ht="14">
      <c r="A4156" s="108">
        <v>2024</v>
      </c>
      <c r="B4156" s="108">
        <v>19</v>
      </c>
      <c r="C4156" s="108" t="s">
        <v>138</v>
      </c>
      <c r="D4156" s="108">
        <v>601.031377687808</v>
      </c>
      <c r="E4156" s="108">
        <v>0</v>
      </c>
      <c r="F4156" s="108" t="s">
        <v>135</v>
      </c>
      <c r="G4156" s="108"/>
      <c r="H4156" s="108">
        <v>1</v>
      </c>
    </row>
    <row r="4157" spans="1:8" ht="14">
      <c r="A4157" s="108">
        <v>2024</v>
      </c>
      <c r="B4157" s="108">
        <v>19</v>
      </c>
      <c r="C4157" s="108" t="s">
        <v>139</v>
      </c>
      <c r="D4157" s="108">
        <v>1297.3866777993201</v>
      </c>
      <c r="E4157" s="108">
        <v>0</v>
      </c>
      <c r="F4157" s="108" t="s">
        <v>136</v>
      </c>
      <c r="G4157" s="108"/>
      <c r="H4157" s="108">
        <v>1</v>
      </c>
    </row>
    <row r="4158" spans="1:8" ht="14">
      <c r="A4158" s="108">
        <v>2024</v>
      </c>
      <c r="B4158" s="108">
        <v>19</v>
      </c>
      <c r="C4158" s="108" t="s">
        <v>139</v>
      </c>
      <c r="D4158" s="108">
        <v>879.11732220067404</v>
      </c>
      <c r="E4158" s="108">
        <v>0</v>
      </c>
      <c r="F4158" s="108" t="s">
        <v>135</v>
      </c>
      <c r="G4158" s="108"/>
      <c r="H4158" s="108">
        <v>1</v>
      </c>
    </row>
    <row r="4159" spans="1:8" ht="14">
      <c r="A4159" s="108">
        <v>2024</v>
      </c>
      <c r="B4159" s="108">
        <v>21</v>
      </c>
      <c r="C4159" s="108" t="s">
        <v>30</v>
      </c>
      <c r="D4159" s="108">
        <v>11008.038272375001</v>
      </c>
      <c r="E4159" s="108">
        <v>0</v>
      </c>
      <c r="F4159" s="108" t="s">
        <v>136</v>
      </c>
      <c r="G4159" s="108"/>
      <c r="H4159" s="108">
        <v>1</v>
      </c>
    </row>
    <row r="4160" spans="1:8" ht="14">
      <c r="A4160" s="108">
        <v>2024</v>
      </c>
      <c r="B4160" s="108">
        <v>21</v>
      </c>
      <c r="C4160" s="108" t="s">
        <v>30</v>
      </c>
      <c r="D4160" s="108">
        <v>399.82142762497398</v>
      </c>
      <c r="E4160" s="108">
        <v>0</v>
      </c>
      <c r="F4160" s="108" t="s">
        <v>135</v>
      </c>
      <c r="G4160" s="108"/>
      <c r="H4160" s="108">
        <v>1</v>
      </c>
    </row>
    <row r="4161" spans="1:8" ht="14">
      <c r="A4161" s="108">
        <v>2024</v>
      </c>
      <c r="B4161" s="108">
        <v>21</v>
      </c>
      <c r="C4161" s="108" t="s">
        <v>138</v>
      </c>
      <c r="D4161" s="108">
        <v>201.65350766247599</v>
      </c>
      <c r="E4161" s="108">
        <v>0</v>
      </c>
      <c r="F4161" s="108" t="s">
        <v>135</v>
      </c>
      <c r="G4161" s="108"/>
      <c r="H4161" s="108">
        <v>1</v>
      </c>
    </row>
    <row r="4162" spans="1:8" ht="14">
      <c r="A4162" s="108">
        <v>2024</v>
      </c>
      <c r="B4162" s="108">
        <v>21</v>
      </c>
      <c r="C4162" s="108" t="s">
        <v>138</v>
      </c>
      <c r="D4162" s="108">
        <v>5569.6610923375201</v>
      </c>
      <c r="E4162" s="108">
        <v>0</v>
      </c>
      <c r="F4162" s="108" t="s">
        <v>136</v>
      </c>
      <c r="G4162" s="108"/>
      <c r="H4162" s="108">
        <v>1</v>
      </c>
    </row>
    <row r="4163" spans="1:8" ht="14">
      <c r="A4163" s="108">
        <v>2024</v>
      </c>
      <c r="B4163" s="108">
        <v>21</v>
      </c>
      <c r="C4163" s="108" t="s">
        <v>139</v>
      </c>
      <c r="D4163" s="108">
        <v>198.167919962497</v>
      </c>
      <c r="E4163" s="108">
        <v>0</v>
      </c>
      <c r="F4163" s="108" t="s">
        <v>135</v>
      </c>
      <c r="G4163" s="108"/>
      <c r="H4163" s="108">
        <v>1</v>
      </c>
    </row>
    <row r="4164" spans="1:8" ht="14">
      <c r="A4164" s="108">
        <v>2024</v>
      </c>
      <c r="B4164" s="108">
        <v>21</v>
      </c>
      <c r="C4164" s="108" t="s">
        <v>139</v>
      </c>
      <c r="D4164" s="108">
        <v>5438.3771800374998</v>
      </c>
      <c r="E4164" s="108">
        <v>0</v>
      </c>
      <c r="F4164" s="108" t="s">
        <v>136</v>
      </c>
      <c r="G4164" s="108"/>
      <c r="H4164" s="108">
        <v>1</v>
      </c>
    </row>
    <row r="4165" spans="1:8" ht="14">
      <c r="A4165" s="108">
        <v>2024</v>
      </c>
      <c r="B4165" s="108">
        <v>22</v>
      </c>
      <c r="C4165" s="108" t="s">
        <v>30</v>
      </c>
      <c r="D4165" s="108">
        <v>145.82126374755799</v>
      </c>
      <c r="E4165" s="108">
        <v>0</v>
      </c>
      <c r="F4165" s="108" t="s">
        <v>135</v>
      </c>
      <c r="G4165" s="108"/>
      <c r="H4165" s="108">
        <v>1</v>
      </c>
    </row>
    <row r="4166" spans="1:8" ht="14">
      <c r="A4166" s="108">
        <v>2024</v>
      </c>
      <c r="B4166" s="108">
        <v>22</v>
      </c>
      <c r="C4166" s="108" t="s">
        <v>30</v>
      </c>
      <c r="D4166" s="108">
        <v>4650.25873625244</v>
      </c>
      <c r="E4166" s="108">
        <v>0</v>
      </c>
      <c r="F4166" s="108" t="s">
        <v>136</v>
      </c>
      <c r="G4166" s="108"/>
      <c r="H4166" s="108">
        <v>1</v>
      </c>
    </row>
    <row r="4167" spans="1:8" ht="14">
      <c r="A4167" s="108">
        <v>2024</v>
      </c>
      <c r="B4167" s="108">
        <v>22</v>
      </c>
      <c r="C4167" s="108" t="s">
        <v>138</v>
      </c>
      <c r="D4167" s="108">
        <v>3315.1821540905398</v>
      </c>
      <c r="E4167" s="108">
        <v>0</v>
      </c>
      <c r="F4167" s="108" t="s">
        <v>136</v>
      </c>
      <c r="G4167" s="108"/>
      <c r="H4167" s="108">
        <v>1</v>
      </c>
    </row>
    <row r="4168" spans="1:8" ht="14">
      <c r="A4168" s="108">
        <v>2024</v>
      </c>
      <c r="B4168" s="108">
        <v>22</v>
      </c>
      <c r="C4168" s="108" t="s">
        <v>138</v>
      </c>
      <c r="D4168" s="108">
        <v>57.7038459094586</v>
      </c>
      <c r="E4168" s="108">
        <v>0</v>
      </c>
      <c r="F4168" s="108" t="s">
        <v>135</v>
      </c>
      <c r="G4168" s="108"/>
      <c r="H4168" s="108">
        <v>1</v>
      </c>
    </row>
    <row r="4169" spans="1:8" ht="14">
      <c r="A4169" s="108">
        <v>2024</v>
      </c>
      <c r="B4169" s="108">
        <v>22</v>
      </c>
      <c r="C4169" s="108" t="s">
        <v>139</v>
      </c>
      <c r="D4169" s="108">
        <v>1335.0765821619</v>
      </c>
      <c r="E4169" s="108">
        <v>0</v>
      </c>
      <c r="F4169" s="108" t="s">
        <v>136</v>
      </c>
      <c r="G4169" s="108"/>
      <c r="H4169" s="108">
        <v>1</v>
      </c>
    </row>
    <row r="4170" spans="1:8" ht="14">
      <c r="A4170" s="108">
        <v>2024</v>
      </c>
      <c r="B4170" s="108">
        <v>22</v>
      </c>
      <c r="C4170" s="108" t="s">
        <v>139</v>
      </c>
      <c r="D4170" s="108">
        <v>88.117417838099399</v>
      </c>
      <c r="E4170" s="108">
        <v>0</v>
      </c>
      <c r="F4170" s="108" t="s">
        <v>135</v>
      </c>
      <c r="G4170" s="108"/>
      <c r="H4170" s="108">
        <v>1</v>
      </c>
    </row>
    <row r="4171" spans="1:8" ht="14">
      <c r="A4171" s="108">
        <v>2024</v>
      </c>
      <c r="B4171" s="108">
        <v>23</v>
      </c>
      <c r="C4171" s="108" t="s">
        <v>30</v>
      </c>
      <c r="D4171" s="108">
        <v>658.37700854974298</v>
      </c>
      <c r="E4171" s="108">
        <v>0</v>
      </c>
      <c r="F4171" s="108" t="s">
        <v>135</v>
      </c>
      <c r="G4171" s="108"/>
      <c r="H4171" s="108">
        <v>1</v>
      </c>
    </row>
    <row r="4172" spans="1:8" ht="14">
      <c r="A4172" s="108">
        <v>2024</v>
      </c>
      <c r="B4172" s="108">
        <v>23</v>
      </c>
      <c r="C4172" s="108" t="s">
        <v>30</v>
      </c>
      <c r="D4172" s="108">
        <v>9514.1279954914698</v>
      </c>
      <c r="E4172" s="108">
        <v>0</v>
      </c>
      <c r="F4172" s="108" t="s">
        <v>136</v>
      </c>
      <c r="G4172" s="108"/>
      <c r="H4172" s="108">
        <v>1</v>
      </c>
    </row>
    <row r="4173" spans="1:8" ht="14">
      <c r="A4173" s="108">
        <v>2024</v>
      </c>
      <c r="B4173" s="108">
        <v>23</v>
      </c>
      <c r="C4173" s="108" t="s">
        <v>30</v>
      </c>
      <c r="D4173" s="108">
        <v>2.3527959587893501</v>
      </c>
      <c r="E4173" s="108">
        <v>0</v>
      </c>
      <c r="F4173" s="108" t="s">
        <v>137</v>
      </c>
      <c r="G4173" s="108"/>
      <c r="H4173" s="108">
        <v>1</v>
      </c>
    </row>
    <row r="4174" spans="1:8" ht="14">
      <c r="A4174" s="108">
        <v>2024</v>
      </c>
      <c r="B4174" s="108">
        <v>23</v>
      </c>
      <c r="C4174" s="108" t="s">
        <v>138</v>
      </c>
      <c r="D4174" s="108">
        <v>8916.0670363718109</v>
      </c>
      <c r="E4174" s="108">
        <v>0</v>
      </c>
      <c r="F4174" s="108" t="s">
        <v>136</v>
      </c>
      <c r="G4174" s="108"/>
      <c r="H4174" s="108">
        <v>1</v>
      </c>
    </row>
    <row r="4175" spans="1:8" ht="14">
      <c r="A4175" s="108">
        <v>2024</v>
      </c>
      <c r="B4175" s="108">
        <v>23</v>
      </c>
      <c r="C4175" s="108" t="s">
        <v>138</v>
      </c>
      <c r="D4175" s="108">
        <v>356.76766766939699</v>
      </c>
      <c r="E4175" s="108">
        <v>0</v>
      </c>
      <c r="F4175" s="108" t="s">
        <v>135</v>
      </c>
      <c r="G4175" s="108"/>
      <c r="H4175" s="108">
        <v>1</v>
      </c>
    </row>
    <row r="4176" spans="1:8" ht="14">
      <c r="A4176" s="108">
        <v>2024</v>
      </c>
      <c r="B4176" s="108">
        <v>23</v>
      </c>
      <c r="C4176" s="108" t="s">
        <v>138</v>
      </c>
      <c r="D4176" s="108">
        <v>2.3527959587893501</v>
      </c>
      <c r="E4176" s="108">
        <v>0</v>
      </c>
      <c r="F4176" s="108" t="s">
        <v>137</v>
      </c>
      <c r="G4176" s="108"/>
      <c r="H4176" s="108">
        <v>1</v>
      </c>
    </row>
    <row r="4177" spans="1:8" ht="14">
      <c r="A4177" s="108">
        <v>2024</v>
      </c>
      <c r="B4177" s="108">
        <v>23</v>
      </c>
      <c r="C4177" s="108" t="s">
        <v>139</v>
      </c>
      <c r="D4177" s="108">
        <v>301.609340880346</v>
      </c>
      <c r="E4177" s="108">
        <v>0</v>
      </c>
      <c r="F4177" s="108" t="s">
        <v>135</v>
      </c>
      <c r="G4177" s="108"/>
      <c r="H4177" s="108">
        <v>1</v>
      </c>
    </row>
    <row r="4178" spans="1:8" ht="14">
      <c r="A4178" s="108">
        <v>2024</v>
      </c>
      <c r="B4178" s="108">
        <v>23</v>
      </c>
      <c r="C4178" s="108" t="s">
        <v>139</v>
      </c>
      <c r="D4178" s="108">
        <v>598.06095911965394</v>
      </c>
      <c r="E4178" s="108">
        <v>0</v>
      </c>
      <c r="F4178" s="108" t="s">
        <v>136</v>
      </c>
      <c r="G4178" s="108"/>
      <c r="H4178" s="108">
        <v>1</v>
      </c>
    </row>
    <row r="4179" spans="1:8" ht="14">
      <c r="A4179" s="108">
        <v>2024</v>
      </c>
      <c r="B4179" s="108">
        <v>29</v>
      </c>
      <c r="C4179" s="108" t="s">
        <v>30</v>
      </c>
      <c r="D4179" s="108">
        <v>21597.365979217699</v>
      </c>
      <c r="E4179" s="108">
        <v>0</v>
      </c>
      <c r="F4179" s="108" t="s">
        <v>135</v>
      </c>
      <c r="G4179" s="108"/>
      <c r="H4179" s="108">
        <v>1</v>
      </c>
    </row>
    <row r="4180" spans="1:8" ht="14">
      <c r="A4180" s="108">
        <v>2024</v>
      </c>
      <c r="B4180" s="108">
        <v>29</v>
      </c>
      <c r="C4180" s="108" t="s">
        <v>30</v>
      </c>
      <c r="D4180" s="108">
        <v>32609.251893782799</v>
      </c>
      <c r="E4180" s="108">
        <v>0</v>
      </c>
      <c r="F4180" s="108" t="s">
        <v>136</v>
      </c>
      <c r="G4180" s="108"/>
      <c r="H4180" s="108">
        <v>1</v>
      </c>
    </row>
    <row r="4181" spans="1:8" ht="14">
      <c r="A4181" s="108">
        <v>2024</v>
      </c>
      <c r="B4181" s="108">
        <v>29</v>
      </c>
      <c r="C4181" s="108" t="s">
        <v>30</v>
      </c>
      <c r="D4181" s="108">
        <v>358.154726999437</v>
      </c>
      <c r="E4181" s="108">
        <v>0</v>
      </c>
      <c r="F4181" s="108" t="s">
        <v>137</v>
      </c>
      <c r="G4181" s="108"/>
      <c r="H4181" s="108">
        <v>1</v>
      </c>
    </row>
    <row r="4182" spans="1:8" ht="14">
      <c r="A4182" s="108">
        <v>2024</v>
      </c>
      <c r="B4182" s="108">
        <v>29</v>
      </c>
      <c r="C4182" s="108" t="s">
        <v>138</v>
      </c>
      <c r="D4182" s="108">
        <v>26140.6464708493</v>
      </c>
      <c r="E4182" s="108">
        <v>0</v>
      </c>
      <c r="F4182" s="108" t="s">
        <v>136</v>
      </c>
      <c r="G4182" s="108"/>
      <c r="H4182" s="108">
        <v>1</v>
      </c>
    </row>
    <row r="4183" spans="1:8" ht="14">
      <c r="A4183" s="108">
        <v>2024</v>
      </c>
      <c r="B4183" s="108">
        <v>29</v>
      </c>
      <c r="C4183" s="108" t="s">
        <v>138</v>
      </c>
      <c r="D4183" s="108">
        <v>358.154726999437</v>
      </c>
      <c r="E4183" s="108">
        <v>0</v>
      </c>
      <c r="F4183" s="108" t="s">
        <v>137</v>
      </c>
      <c r="G4183" s="108"/>
      <c r="H4183" s="108">
        <v>1</v>
      </c>
    </row>
    <row r="4184" spans="1:8" ht="14">
      <c r="A4184" s="108">
        <v>2024</v>
      </c>
      <c r="B4184" s="108">
        <v>29</v>
      </c>
      <c r="C4184" s="108" t="s">
        <v>138</v>
      </c>
      <c r="D4184" s="108">
        <v>16539.5422021511</v>
      </c>
      <c r="E4184" s="108">
        <v>0</v>
      </c>
      <c r="F4184" s="108" t="s">
        <v>135</v>
      </c>
      <c r="G4184" s="108"/>
      <c r="H4184" s="108">
        <v>1</v>
      </c>
    </row>
    <row r="4185" spans="1:8" ht="14">
      <c r="A4185" s="108">
        <v>2024</v>
      </c>
      <c r="B4185" s="108">
        <v>29</v>
      </c>
      <c r="C4185" s="108" t="s">
        <v>139</v>
      </c>
      <c r="D4185" s="108">
        <v>6468.6054229334404</v>
      </c>
      <c r="E4185" s="108">
        <v>0</v>
      </c>
      <c r="F4185" s="108" t="s">
        <v>136</v>
      </c>
      <c r="G4185" s="108"/>
      <c r="H4185" s="108">
        <v>1</v>
      </c>
    </row>
    <row r="4186" spans="1:8" ht="14">
      <c r="A4186" s="108">
        <v>2024</v>
      </c>
      <c r="B4186" s="108">
        <v>29</v>
      </c>
      <c r="C4186" s="108" t="s">
        <v>139</v>
      </c>
      <c r="D4186" s="108">
        <v>5057.8237770665501</v>
      </c>
      <c r="E4186" s="108">
        <v>0</v>
      </c>
      <c r="F4186" s="108" t="s">
        <v>135</v>
      </c>
      <c r="G4186" s="108"/>
      <c r="H4186" s="108">
        <v>1</v>
      </c>
    </row>
    <row r="4187" spans="1:8" ht="14">
      <c r="A4187" s="108">
        <v>2024</v>
      </c>
      <c r="B4187" s="108">
        <v>31</v>
      </c>
      <c r="C4187" s="108" t="s">
        <v>30</v>
      </c>
      <c r="D4187" s="108">
        <v>15837.6449183806</v>
      </c>
      <c r="E4187" s="108">
        <v>1181.2358112193201</v>
      </c>
      <c r="F4187" s="108" t="s">
        <v>136</v>
      </c>
      <c r="G4187" s="108">
        <v>1181.2358112193799</v>
      </c>
      <c r="H4187" s="108">
        <v>1</v>
      </c>
    </row>
    <row r="4188" spans="1:8" ht="14">
      <c r="A4188" s="108">
        <v>2024</v>
      </c>
      <c r="B4188" s="108">
        <v>31</v>
      </c>
      <c r="C4188" s="108" t="s">
        <v>30</v>
      </c>
      <c r="D4188" s="108">
        <v>198.60051724696001</v>
      </c>
      <c r="E4188" s="108">
        <v>27.7817555525972</v>
      </c>
      <c r="F4188" s="108" t="s">
        <v>135</v>
      </c>
      <c r="G4188" s="108">
        <v>27.781755552563901</v>
      </c>
      <c r="H4188" s="108">
        <v>1</v>
      </c>
    </row>
    <row r="4189" spans="1:8" ht="14">
      <c r="A4189" s="108">
        <v>2024</v>
      </c>
      <c r="B4189" s="108">
        <v>31</v>
      </c>
      <c r="C4189" s="108" t="s">
        <v>30</v>
      </c>
      <c r="D4189" s="108">
        <v>0.98756437242081996</v>
      </c>
      <c r="E4189" s="108">
        <v>1.77343322807369</v>
      </c>
      <c r="F4189" s="108" t="s">
        <v>137</v>
      </c>
      <c r="G4189" s="108">
        <v>1.7734332280679901</v>
      </c>
      <c r="H4189" s="108">
        <v>1</v>
      </c>
    </row>
    <row r="4190" spans="1:8" ht="14">
      <c r="A4190" s="108">
        <v>2024</v>
      </c>
      <c r="B4190" s="108">
        <v>31</v>
      </c>
      <c r="C4190" s="108" t="s">
        <v>138</v>
      </c>
      <c r="D4190" s="108">
        <v>96.391309369778</v>
      </c>
      <c r="E4190" s="108">
        <v>13.9498378140522</v>
      </c>
      <c r="F4190" s="108" t="s">
        <v>135</v>
      </c>
      <c r="G4190" s="108">
        <v>13.949837814017</v>
      </c>
      <c r="H4190" s="108">
        <v>1</v>
      </c>
    </row>
    <row r="4191" spans="1:8" ht="14">
      <c r="A4191" s="108">
        <v>2024</v>
      </c>
      <c r="B4191" s="108">
        <v>31</v>
      </c>
      <c r="C4191" s="108" t="s">
        <v>138</v>
      </c>
      <c r="D4191" s="108">
        <v>10637.7459195307</v>
      </c>
      <c r="E4191" s="108">
        <v>618.90153395240395</v>
      </c>
      <c r="F4191" s="108" t="s">
        <v>136</v>
      </c>
      <c r="G4191" s="108">
        <v>618.90153395128198</v>
      </c>
      <c r="H4191" s="108">
        <v>1</v>
      </c>
    </row>
    <row r="4192" spans="1:8" ht="14">
      <c r="A4192" s="108">
        <v>2024</v>
      </c>
      <c r="B4192" s="108">
        <v>31</v>
      </c>
      <c r="C4192" s="108" t="s">
        <v>138</v>
      </c>
      <c r="D4192" s="108">
        <v>0.98177109949807395</v>
      </c>
      <c r="E4192" s="108">
        <v>6.5628233542949194E-2</v>
      </c>
      <c r="F4192" s="108" t="s">
        <v>137</v>
      </c>
      <c r="G4192" s="108">
        <v>6.5628233538E-2</v>
      </c>
      <c r="H4192" s="108">
        <v>1</v>
      </c>
    </row>
    <row r="4193" spans="1:8" ht="14">
      <c r="A4193" s="108">
        <v>2024</v>
      </c>
      <c r="B4193" s="108">
        <v>31</v>
      </c>
      <c r="C4193" s="108" t="s">
        <v>139</v>
      </c>
      <c r="D4193" s="108">
        <v>5.7932729227461203E-3</v>
      </c>
      <c r="E4193" s="108">
        <v>1.7078049945307401</v>
      </c>
      <c r="F4193" s="108" t="s">
        <v>137</v>
      </c>
      <c r="G4193" s="108">
        <v>1.70780499452999</v>
      </c>
      <c r="H4193" s="108">
        <v>1</v>
      </c>
    </row>
    <row r="4194" spans="1:8" ht="14">
      <c r="A4194" s="108">
        <v>2024</v>
      </c>
      <c r="B4194" s="108">
        <v>31</v>
      </c>
      <c r="C4194" s="108" t="s">
        <v>139</v>
      </c>
      <c r="D4194" s="108">
        <v>5199.8989988498897</v>
      </c>
      <c r="E4194" s="108">
        <v>562.334277266924</v>
      </c>
      <c r="F4194" s="108" t="s">
        <v>136</v>
      </c>
      <c r="G4194" s="108">
        <v>562.33427726810601</v>
      </c>
      <c r="H4194" s="108">
        <v>1</v>
      </c>
    </row>
    <row r="4195" spans="1:8" ht="14">
      <c r="A4195" s="108">
        <v>2024</v>
      </c>
      <c r="B4195" s="108">
        <v>31</v>
      </c>
      <c r="C4195" s="108" t="s">
        <v>139</v>
      </c>
      <c r="D4195" s="108">
        <v>102.209207877182</v>
      </c>
      <c r="E4195" s="108">
        <v>13.831917738545</v>
      </c>
      <c r="F4195" s="108" t="s">
        <v>135</v>
      </c>
      <c r="G4195" s="108">
        <v>13.831917738547</v>
      </c>
      <c r="H4195" s="108">
        <v>1</v>
      </c>
    </row>
    <row r="4196" spans="1:8" ht="14">
      <c r="A4196" s="108">
        <v>2024</v>
      </c>
      <c r="B4196" s="108">
        <v>32</v>
      </c>
      <c r="C4196" s="108" t="s">
        <v>30</v>
      </c>
      <c r="D4196" s="108">
        <v>3.7401706134449899</v>
      </c>
      <c r="E4196" s="108">
        <v>6.6495592908852297</v>
      </c>
      <c r="F4196" s="108" t="s">
        <v>137</v>
      </c>
      <c r="G4196" s="108">
        <v>13.299118581771999</v>
      </c>
      <c r="H4196" s="108">
        <v>1</v>
      </c>
    </row>
    <row r="4197" spans="1:8" ht="14">
      <c r="A4197" s="108">
        <v>2024</v>
      </c>
      <c r="B4197" s="108">
        <v>32</v>
      </c>
      <c r="C4197" s="108" t="s">
        <v>30</v>
      </c>
      <c r="D4197" s="108">
        <v>436.650512852796</v>
      </c>
      <c r="E4197" s="108">
        <v>66.244795920027201</v>
      </c>
      <c r="F4197" s="108" t="s">
        <v>135</v>
      </c>
      <c r="G4197" s="108">
        <v>132.48959184003701</v>
      </c>
      <c r="H4197" s="108">
        <v>1</v>
      </c>
    </row>
    <row r="4198" spans="1:8" ht="14">
      <c r="A4198" s="108">
        <v>2024</v>
      </c>
      <c r="B4198" s="108">
        <v>32</v>
      </c>
      <c r="C4198" s="108" t="s">
        <v>30</v>
      </c>
      <c r="D4198" s="108">
        <v>38296.455316533698</v>
      </c>
      <c r="E4198" s="108">
        <v>3616.60764478908</v>
      </c>
      <c r="F4198" s="108" t="s">
        <v>136</v>
      </c>
      <c r="G4198" s="108">
        <v>7233.2152895791496</v>
      </c>
      <c r="H4198" s="108">
        <v>1</v>
      </c>
    </row>
    <row r="4199" spans="1:8" ht="14">
      <c r="A4199" s="108">
        <v>2024</v>
      </c>
      <c r="B4199" s="108">
        <v>32</v>
      </c>
      <c r="C4199" s="108" t="s">
        <v>138</v>
      </c>
      <c r="D4199" s="108">
        <v>25404.107934343701</v>
      </c>
      <c r="E4199" s="108">
        <v>1821.9172031681401</v>
      </c>
      <c r="F4199" s="108" t="s">
        <v>136</v>
      </c>
      <c r="G4199" s="108">
        <v>3643.8344063371701</v>
      </c>
      <c r="H4199" s="108">
        <v>1</v>
      </c>
    </row>
    <row r="4200" spans="1:8" ht="14">
      <c r="A4200" s="108">
        <v>2024</v>
      </c>
      <c r="B4200" s="108">
        <v>32</v>
      </c>
      <c r="C4200" s="108" t="s">
        <v>138</v>
      </c>
      <c r="D4200" s="108">
        <v>212.48538123508899</v>
      </c>
      <c r="E4200" s="108">
        <v>35.793628744396699</v>
      </c>
      <c r="F4200" s="108" t="s">
        <v>135</v>
      </c>
      <c r="G4200" s="108">
        <v>71.587257488779002</v>
      </c>
      <c r="H4200" s="108">
        <v>1</v>
      </c>
    </row>
    <row r="4201" spans="1:8" ht="14">
      <c r="A4201" s="108">
        <v>2024</v>
      </c>
      <c r="B4201" s="108">
        <v>32</v>
      </c>
      <c r="C4201" s="108" t="s">
        <v>138</v>
      </c>
      <c r="D4201" s="108">
        <v>3.5576844211510599</v>
      </c>
      <c r="E4201" s="108">
        <v>0.16016808745885999</v>
      </c>
      <c r="F4201" s="108" t="s">
        <v>137</v>
      </c>
      <c r="G4201" s="108">
        <v>0.32033617491999999</v>
      </c>
      <c r="H4201" s="108">
        <v>1</v>
      </c>
    </row>
    <row r="4202" spans="1:8" ht="14">
      <c r="A4202" s="108">
        <v>2024</v>
      </c>
      <c r="B4202" s="108">
        <v>32</v>
      </c>
      <c r="C4202" s="108" t="s">
        <v>139</v>
      </c>
      <c r="D4202" s="108">
        <v>0.18248619229392801</v>
      </c>
      <c r="E4202" s="108">
        <v>6.4893912034263703</v>
      </c>
      <c r="F4202" s="108" t="s">
        <v>137</v>
      </c>
      <c r="G4202" s="108">
        <v>12.978782406852</v>
      </c>
      <c r="H4202" s="108">
        <v>1</v>
      </c>
    </row>
    <row r="4203" spans="1:8" ht="14">
      <c r="A4203" s="108">
        <v>2024</v>
      </c>
      <c r="B4203" s="108">
        <v>32</v>
      </c>
      <c r="C4203" s="108" t="s">
        <v>139</v>
      </c>
      <c r="D4203" s="108">
        <v>224.16513161770499</v>
      </c>
      <c r="E4203" s="108">
        <v>30.451167175630399</v>
      </c>
      <c r="F4203" s="108" t="s">
        <v>135</v>
      </c>
      <c r="G4203" s="108">
        <v>60.902334351257998</v>
      </c>
      <c r="H4203" s="108">
        <v>1</v>
      </c>
    </row>
    <row r="4204" spans="1:8" ht="14">
      <c r="A4204" s="108">
        <v>2024</v>
      </c>
      <c r="B4204" s="108">
        <v>32</v>
      </c>
      <c r="C4204" s="108" t="s">
        <v>139</v>
      </c>
      <c r="D4204" s="108">
        <v>12892.347382190001</v>
      </c>
      <c r="E4204" s="108">
        <v>1794.69044162094</v>
      </c>
      <c r="F4204" s="108" t="s">
        <v>136</v>
      </c>
      <c r="G4204" s="108">
        <v>3589.38088324197</v>
      </c>
      <c r="H4204" s="108">
        <v>1</v>
      </c>
    </row>
    <row r="4205" spans="1:8" ht="14">
      <c r="A4205" s="108">
        <v>2024</v>
      </c>
      <c r="B4205" s="108">
        <v>33</v>
      </c>
      <c r="C4205" s="108" t="s">
        <v>30</v>
      </c>
      <c r="D4205" s="108">
        <v>1360.1007545784601</v>
      </c>
      <c r="E4205" s="108">
        <v>81.375694847377105</v>
      </c>
      <c r="F4205" s="108" t="s">
        <v>136</v>
      </c>
      <c r="G4205" s="108">
        <v>122.063542271111</v>
      </c>
      <c r="H4205" s="108">
        <v>1</v>
      </c>
    </row>
    <row r="4206" spans="1:8" ht="14">
      <c r="A4206" s="108">
        <v>2024</v>
      </c>
      <c r="B4206" s="108">
        <v>33</v>
      </c>
      <c r="C4206" s="108" t="s">
        <v>30</v>
      </c>
      <c r="D4206" s="108">
        <v>6.5096458014907099E-2</v>
      </c>
      <c r="E4206" s="108">
        <v>6.0513916781873298E-3</v>
      </c>
      <c r="F4206" s="108" t="s">
        <v>137</v>
      </c>
      <c r="G4206" s="108">
        <v>9.0770875169999994E-3</v>
      </c>
      <c r="H4206" s="108">
        <v>1</v>
      </c>
    </row>
    <row r="4207" spans="1:8" ht="14">
      <c r="A4207" s="108">
        <v>2024</v>
      </c>
      <c r="B4207" s="108">
        <v>33</v>
      </c>
      <c r="C4207" s="108" t="s">
        <v>30</v>
      </c>
      <c r="D4207" s="108">
        <v>2.2601489635218099</v>
      </c>
      <c r="E4207" s="108">
        <v>0.86125376094471195</v>
      </c>
      <c r="F4207" s="108" t="s">
        <v>135</v>
      </c>
      <c r="G4207" s="108">
        <v>1.291880641418</v>
      </c>
      <c r="H4207" s="108">
        <v>1</v>
      </c>
    </row>
    <row r="4208" spans="1:8" ht="14">
      <c r="A4208" s="108">
        <v>2024</v>
      </c>
      <c r="B4208" s="108">
        <v>33</v>
      </c>
      <c r="C4208" s="108" t="s">
        <v>138</v>
      </c>
      <c r="D4208" s="108">
        <v>1.17070393960765</v>
      </c>
      <c r="E4208" s="108">
        <v>0.41631121781650698</v>
      </c>
      <c r="F4208" s="108" t="s">
        <v>135</v>
      </c>
      <c r="G4208" s="108">
        <v>0.62446682672099996</v>
      </c>
      <c r="H4208" s="108">
        <v>1</v>
      </c>
    </row>
    <row r="4209" spans="1:8" ht="14">
      <c r="A4209" s="108">
        <v>2024</v>
      </c>
      <c r="B4209" s="108">
        <v>33</v>
      </c>
      <c r="C4209" s="108" t="s">
        <v>138</v>
      </c>
      <c r="D4209" s="108">
        <v>6.5096458014907099E-2</v>
      </c>
      <c r="E4209" s="108">
        <v>6.0513916781873298E-3</v>
      </c>
      <c r="F4209" s="108" t="s">
        <v>137</v>
      </c>
      <c r="G4209" s="108">
        <v>9.0770875169999994E-3</v>
      </c>
      <c r="H4209" s="108">
        <v>1</v>
      </c>
    </row>
    <row r="4210" spans="1:8" ht="14">
      <c r="A4210" s="108">
        <v>2024</v>
      </c>
      <c r="B4210" s="108">
        <v>33</v>
      </c>
      <c r="C4210" s="108" t="s">
        <v>138</v>
      </c>
      <c r="D4210" s="108">
        <v>1105.6291996023699</v>
      </c>
      <c r="E4210" s="108">
        <v>42.112637390505299</v>
      </c>
      <c r="F4210" s="108" t="s">
        <v>136</v>
      </c>
      <c r="G4210" s="108">
        <v>63.168956085783002</v>
      </c>
      <c r="H4210" s="108">
        <v>1</v>
      </c>
    </row>
    <row r="4211" spans="1:8" ht="14">
      <c r="A4211" s="108">
        <v>2024</v>
      </c>
      <c r="B4211" s="108">
        <v>33</v>
      </c>
      <c r="C4211" s="108" t="s">
        <v>139</v>
      </c>
      <c r="D4211" s="108">
        <v>254.471554976085</v>
      </c>
      <c r="E4211" s="108">
        <v>39.263057456871799</v>
      </c>
      <c r="F4211" s="108" t="s">
        <v>136</v>
      </c>
      <c r="G4211" s="108">
        <v>58.894586185327903</v>
      </c>
      <c r="H4211" s="108">
        <v>1</v>
      </c>
    </row>
    <row r="4212" spans="1:8" ht="14">
      <c r="A4212" s="108">
        <v>2024</v>
      </c>
      <c r="B4212" s="108">
        <v>33</v>
      </c>
      <c r="C4212" s="108" t="s">
        <v>139</v>
      </c>
      <c r="D4212" s="108">
        <v>1.08944502391415</v>
      </c>
      <c r="E4212" s="108">
        <v>0.44494254312820503</v>
      </c>
      <c r="F4212" s="108" t="s">
        <v>135</v>
      </c>
      <c r="G4212" s="108">
        <v>0.66741381469699901</v>
      </c>
      <c r="H4212" s="108">
        <v>1</v>
      </c>
    </row>
    <row r="4213" spans="1:8" ht="14">
      <c r="A4213" s="108">
        <v>2024</v>
      </c>
      <c r="B4213" s="108">
        <v>34</v>
      </c>
      <c r="C4213" s="108" t="s">
        <v>30</v>
      </c>
      <c r="D4213" s="108">
        <v>0</v>
      </c>
      <c r="E4213" s="108">
        <v>0.13023248946073401</v>
      </c>
      <c r="F4213" s="108" t="s">
        <v>137</v>
      </c>
      <c r="G4213" s="108">
        <v>0.29302310129100001</v>
      </c>
      <c r="H4213" s="108">
        <v>1</v>
      </c>
    </row>
    <row r="4214" spans="1:8" ht="14">
      <c r="A4214" s="108">
        <v>2024</v>
      </c>
      <c r="B4214" s="108">
        <v>34</v>
      </c>
      <c r="C4214" s="108" t="s">
        <v>30</v>
      </c>
      <c r="D4214" s="108">
        <v>73.267497317703999</v>
      </c>
      <c r="E4214" s="108">
        <v>11.642447247407601</v>
      </c>
      <c r="F4214" s="108" t="s">
        <v>135</v>
      </c>
      <c r="G4214" s="108">
        <v>26.195506306681999</v>
      </c>
      <c r="H4214" s="108">
        <v>1</v>
      </c>
    </row>
    <row r="4215" spans="1:8" ht="14">
      <c r="A4215" s="108">
        <v>2024</v>
      </c>
      <c r="B4215" s="108">
        <v>34</v>
      </c>
      <c r="C4215" s="108" t="s">
        <v>30</v>
      </c>
      <c r="D4215" s="108">
        <v>4481.3815026822904</v>
      </c>
      <c r="E4215" s="108">
        <v>391.926320263131</v>
      </c>
      <c r="F4215" s="108" t="s">
        <v>136</v>
      </c>
      <c r="G4215" s="108">
        <v>881.83422059223096</v>
      </c>
      <c r="H4215" s="108">
        <v>1</v>
      </c>
    </row>
    <row r="4216" spans="1:8" ht="14">
      <c r="A4216" s="108">
        <v>2024</v>
      </c>
      <c r="B4216" s="108">
        <v>34</v>
      </c>
      <c r="C4216" s="108" t="s">
        <v>138</v>
      </c>
      <c r="D4216" s="108">
        <v>49.775070206758301</v>
      </c>
      <c r="E4216" s="108">
        <v>5.9959344186895098</v>
      </c>
      <c r="F4216" s="108" t="s">
        <v>135</v>
      </c>
      <c r="G4216" s="108">
        <v>13.490852442062</v>
      </c>
      <c r="H4216" s="108">
        <v>1</v>
      </c>
    </row>
    <row r="4217" spans="1:8" ht="14">
      <c r="A4217" s="108">
        <v>2024</v>
      </c>
      <c r="B4217" s="108">
        <v>34</v>
      </c>
      <c r="C4217" s="108" t="s">
        <v>138</v>
      </c>
      <c r="D4217" s="108">
        <v>3569.59392979324</v>
      </c>
      <c r="E4217" s="108">
        <v>195.81006558131</v>
      </c>
      <c r="F4217" s="108" t="s">
        <v>136</v>
      </c>
      <c r="G4217" s="108">
        <v>440.572647558146</v>
      </c>
      <c r="H4217" s="108">
        <v>1</v>
      </c>
    </row>
    <row r="4218" spans="1:8" ht="14">
      <c r="A4218" s="108">
        <v>2024</v>
      </c>
      <c r="B4218" s="108">
        <v>34</v>
      </c>
      <c r="C4218" s="108" t="s">
        <v>139</v>
      </c>
      <c r="D4218" s="108">
        <v>23.492427110945599</v>
      </c>
      <c r="E4218" s="108">
        <v>5.6465128287181496</v>
      </c>
      <c r="F4218" s="108" t="s">
        <v>135</v>
      </c>
      <c r="G4218" s="108">
        <v>12.704653864619999</v>
      </c>
      <c r="H4218" s="108">
        <v>1</v>
      </c>
    </row>
    <row r="4219" spans="1:8" ht="14">
      <c r="A4219" s="108">
        <v>2024</v>
      </c>
      <c r="B4219" s="108">
        <v>34</v>
      </c>
      <c r="C4219" s="108" t="s">
        <v>139</v>
      </c>
      <c r="D4219" s="108">
        <v>911.78757288905399</v>
      </c>
      <c r="E4219" s="108">
        <v>196.116254681821</v>
      </c>
      <c r="F4219" s="108" t="s">
        <v>136</v>
      </c>
      <c r="G4219" s="108">
        <v>441.26157303408399</v>
      </c>
      <c r="H4219" s="108">
        <v>1</v>
      </c>
    </row>
    <row r="4220" spans="1:8" ht="14">
      <c r="A4220" s="108">
        <v>2024</v>
      </c>
      <c r="B4220" s="108">
        <v>34</v>
      </c>
      <c r="C4220" s="108" t="s">
        <v>139</v>
      </c>
      <c r="D4220" s="108">
        <v>0</v>
      </c>
      <c r="E4220" s="108">
        <v>0.13023248946073401</v>
      </c>
      <c r="F4220" s="108" t="s">
        <v>137</v>
      </c>
      <c r="G4220" s="108">
        <v>0.29302310129100001</v>
      </c>
      <c r="H4220" s="108">
        <v>1</v>
      </c>
    </row>
    <row r="4221" spans="1:8" ht="14">
      <c r="A4221" s="108">
        <v>2024</v>
      </c>
      <c r="B4221" s="108">
        <v>51</v>
      </c>
      <c r="C4221" s="108" t="s">
        <v>30</v>
      </c>
      <c r="D4221" s="108">
        <v>26104.5763864976</v>
      </c>
      <c r="E4221" s="108">
        <v>2781.6902202178899</v>
      </c>
      <c r="F4221" s="108" t="s">
        <v>136</v>
      </c>
      <c r="G4221" s="108"/>
      <c r="H4221" s="108">
        <v>1</v>
      </c>
    </row>
    <row r="4222" spans="1:8" ht="14">
      <c r="A4222" s="108">
        <v>2024</v>
      </c>
      <c r="B4222" s="108">
        <v>51</v>
      </c>
      <c r="C4222" s="108" t="s">
        <v>30</v>
      </c>
      <c r="D4222" s="108">
        <v>10708.6996135023</v>
      </c>
      <c r="E4222" s="108">
        <v>772.16277978210701</v>
      </c>
      <c r="F4222" s="108" t="s">
        <v>135</v>
      </c>
      <c r="G4222" s="108"/>
      <c r="H4222" s="108">
        <v>1</v>
      </c>
    </row>
    <row r="4223" spans="1:8" ht="14">
      <c r="A4223" s="108">
        <v>2024</v>
      </c>
      <c r="B4223" s="108">
        <v>51</v>
      </c>
      <c r="C4223" s="108" t="s">
        <v>138</v>
      </c>
      <c r="D4223" s="108">
        <v>16825.904441789098</v>
      </c>
      <c r="E4223" s="108">
        <v>1362.37013230354</v>
      </c>
      <c r="F4223" s="108" t="s">
        <v>136</v>
      </c>
      <c r="G4223" s="108"/>
      <c r="H4223" s="108">
        <v>1</v>
      </c>
    </row>
    <row r="4224" spans="1:8" ht="14">
      <c r="A4224" s="108">
        <v>2024</v>
      </c>
      <c r="B4224" s="108">
        <v>51</v>
      </c>
      <c r="C4224" s="108" t="s">
        <v>138</v>
      </c>
      <c r="D4224" s="108">
        <v>5290.2435582108401</v>
      </c>
      <c r="E4224" s="108">
        <v>384.46186769645601</v>
      </c>
      <c r="F4224" s="108" t="s">
        <v>135</v>
      </c>
      <c r="G4224" s="108"/>
      <c r="H4224" s="108">
        <v>1</v>
      </c>
    </row>
    <row r="4225" spans="1:8" ht="14">
      <c r="A4225" s="108">
        <v>2024</v>
      </c>
      <c r="B4225" s="108">
        <v>51</v>
      </c>
      <c r="C4225" s="108" t="s">
        <v>139</v>
      </c>
      <c r="D4225" s="108">
        <v>5418.45605529146</v>
      </c>
      <c r="E4225" s="108">
        <v>387.700912085651</v>
      </c>
      <c r="F4225" s="108" t="s">
        <v>135</v>
      </c>
      <c r="G4225" s="108"/>
      <c r="H4225" s="108">
        <v>1</v>
      </c>
    </row>
    <row r="4226" spans="1:8" ht="14">
      <c r="A4226" s="108">
        <v>2024</v>
      </c>
      <c r="B4226" s="108">
        <v>51</v>
      </c>
      <c r="C4226" s="108" t="s">
        <v>139</v>
      </c>
      <c r="D4226" s="108">
        <v>9278.6719447085306</v>
      </c>
      <c r="E4226" s="108">
        <v>1419.3200879143401</v>
      </c>
      <c r="F4226" s="108" t="s">
        <v>136</v>
      </c>
      <c r="G4226" s="108"/>
      <c r="H4226" s="108">
        <v>1</v>
      </c>
    </row>
    <row r="4227" spans="1:8" ht="14">
      <c r="A4227" s="108">
        <v>2024</v>
      </c>
      <c r="B4227" s="108">
        <v>52</v>
      </c>
      <c r="C4227" s="108" t="s">
        <v>30</v>
      </c>
      <c r="D4227" s="108">
        <v>0</v>
      </c>
      <c r="E4227" s="108">
        <v>3639.21899999999</v>
      </c>
      <c r="F4227" s="108" t="s">
        <v>136</v>
      </c>
      <c r="G4227" s="108"/>
      <c r="H4227" s="108">
        <v>1</v>
      </c>
    </row>
    <row r="4228" spans="1:8" ht="14">
      <c r="A4228" s="108">
        <v>2024</v>
      </c>
      <c r="B4228" s="108">
        <v>52</v>
      </c>
      <c r="C4228" s="108" t="s">
        <v>30</v>
      </c>
      <c r="D4228" s="108">
        <v>0</v>
      </c>
      <c r="E4228" s="108">
        <v>1446.48</v>
      </c>
      <c r="F4228" s="108" t="s">
        <v>135</v>
      </c>
      <c r="G4228" s="108"/>
      <c r="H4228" s="108">
        <v>1</v>
      </c>
    </row>
    <row r="4229" spans="1:8" ht="14">
      <c r="A4229" s="108">
        <v>2024</v>
      </c>
      <c r="B4229" s="108">
        <v>52</v>
      </c>
      <c r="C4229" s="108" t="s">
        <v>138</v>
      </c>
      <c r="D4229" s="108">
        <v>0</v>
      </c>
      <c r="E4229" s="108">
        <v>726.224999999999</v>
      </c>
      <c r="F4229" s="108" t="s">
        <v>135</v>
      </c>
      <c r="G4229" s="108"/>
      <c r="H4229" s="108">
        <v>1</v>
      </c>
    </row>
    <row r="4230" spans="1:8" ht="14">
      <c r="A4230" s="108">
        <v>2024</v>
      </c>
      <c r="B4230" s="108">
        <v>52</v>
      </c>
      <c r="C4230" s="108" t="s">
        <v>138</v>
      </c>
      <c r="D4230" s="108">
        <v>0</v>
      </c>
      <c r="E4230" s="108">
        <v>1778.9679999999901</v>
      </c>
      <c r="F4230" s="108" t="s">
        <v>136</v>
      </c>
      <c r="G4230" s="108"/>
      <c r="H4230" s="108">
        <v>1</v>
      </c>
    </row>
    <row r="4231" spans="1:8" ht="14">
      <c r="A4231" s="108">
        <v>2024</v>
      </c>
      <c r="B4231" s="108">
        <v>52</v>
      </c>
      <c r="C4231" s="108" t="s">
        <v>139</v>
      </c>
      <c r="D4231" s="108">
        <v>0</v>
      </c>
      <c r="E4231" s="108">
        <v>720.25499999999897</v>
      </c>
      <c r="F4231" s="108" t="s">
        <v>135</v>
      </c>
      <c r="G4231" s="108"/>
      <c r="H4231" s="108">
        <v>1</v>
      </c>
    </row>
    <row r="4232" spans="1:8" ht="14">
      <c r="A4232" s="108">
        <v>2024</v>
      </c>
      <c r="B4232" s="108">
        <v>52</v>
      </c>
      <c r="C4232" s="108" t="s">
        <v>139</v>
      </c>
      <c r="D4232" s="108">
        <v>0</v>
      </c>
      <c r="E4232" s="108">
        <v>1860.25099999999</v>
      </c>
      <c r="F4232" s="108" t="s">
        <v>136</v>
      </c>
      <c r="G4232" s="108"/>
      <c r="H4232" s="108">
        <v>1</v>
      </c>
    </row>
    <row r="4233" spans="1:8" ht="14">
      <c r="A4233" s="108">
        <v>2024</v>
      </c>
      <c r="B4233" s="108">
        <v>53</v>
      </c>
      <c r="C4233" s="108" t="s">
        <v>30</v>
      </c>
      <c r="D4233" s="108">
        <v>0</v>
      </c>
      <c r="E4233" s="108">
        <v>92.087000000000003</v>
      </c>
      <c r="F4233" s="108" t="s">
        <v>136</v>
      </c>
      <c r="G4233" s="108"/>
      <c r="H4233" s="108">
        <v>1</v>
      </c>
    </row>
    <row r="4234" spans="1:8" ht="14">
      <c r="A4234" s="108">
        <v>2024</v>
      </c>
      <c r="B4234" s="108">
        <v>53</v>
      </c>
      <c r="C4234" s="108" t="s">
        <v>30</v>
      </c>
      <c r="D4234" s="108">
        <v>0</v>
      </c>
      <c r="E4234" s="108">
        <v>25.620999999999999</v>
      </c>
      <c r="F4234" s="108" t="s">
        <v>135</v>
      </c>
      <c r="G4234" s="108"/>
      <c r="H4234" s="108">
        <v>1</v>
      </c>
    </row>
    <row r="4235" spans="1:8" ht="14">
      <c r="A4235" s="108">
        <v>2024</v>
      </c>
      <c r="B4235" s="108">
        <v>53</v>
      </c>
      <c r="C4235" s="108" t="s">
        <v>138</v>
      </c>
      <c r="D4235" s="108">
        <v>0</v>
      </c>
      <c r="E4235" s="108">
        <v>46.186999999999998</v>
      </c>
      <c r="F4235" s="108" t="s">
        <v>136</v>
      </c>
      <c r="G4235" s="108"/>
      <c r="H4235" s="108">
        <v>1</v>
      </c>
    </row>
    <row r="4236" spans="1:8" ht="14">
      <c r="A4236" s="108">
        <v>2024</v>
      </c>
      <c r="B4236" s="108">
        <v>53</v>
      </c>
      <c r="C4236" s="108" t="s">
        <v>138</v>
      </c>
      <c r="D4236" s="108">
        <v>0</v>
      </c>
      <c r="E4236" s="108">
        <v>12.999000000000001</v>
      </c>
      <c r="F4236" s="108" t="s">
        <v>135</v>
      </c>
      <c r="G4236" s="108"/>
      <c r="H4236" s="108">
        <v>1</v>
      </c>
    </row>
    <row r="4237" spans="1:8" ht="14">
      <c r="A4237" s="108">
        <v>2024</v>
      </c>
      <c r="B4237" s="108">
        <v>53</v>
      </c>
      <c r="C4237" s="108" t="s">
        <v>139</v>
      </c>
      <c r="D4237" s="108">
        <v>0</v>
      </c>
      <c r="E4237" s="108">
        <v>45.9</v>
      </c>
      <c r="F4237" s="108" t="s">
        <v>136</v>
      </c>
      <c r="G4237" s="108"/>
      <c r="H4237" s="108">
        <v>1</v>
      </c>
    </row>
    <row r="4238" spans="1:8" ht="14">
      <c r="A4238" s="108">
        <v>2024</v>
      </c>
      <c r="B4238" s="108">
        <v>53</v>
      </c>
      <c r="C4238" s="108" t="s">
        <v>139</v>
      </c>
      <c r="D4238" s="108">
        <v>0</v>
      </c>
      <c r="E4238" s="108">
        <v>12.622</v>
      </c>
      <c r="F4238" s="108" t="s">
        <v>135</v>
      </c>
      <c r="G4238" s="108"/>
      <c r="H4238" s="108">
        <v>1</v>
      </c>
    </row>
    <row r="4239" spans="1:8" ht="14">
      <c r="A4239" s="108">
        <v>2024</v>
      </c>
      <c r="B4239" s="108">
        <v>54</v>
      </c>
      <c r="C4239" s="108" t="s">
        <v>30</v>
      </c>
      <c r="D4239" s="108">
        <v>5226.2820812739201</v>
      </c>
      <c r="E4239" s="108">
        <v>2933.8334134030601</v>
      </c>
      <c r="F4239" s="108" t="s">
        <v>136</v>
      </c>
      <c r="G4239" s="108"/>
      <c r="H4239" s="108">
        <v>1</v>
      </c>
    </row>
    <row r="4240" spans="1:8" ht="14">
      <c r="A4240" s="108">
        <v>2024</v>
      </c>
      <c r="B4240" s="108">
        <v>54</v>
      </c>
      <c r="C4240" s="108" t="s">
        <v>30</v>
      </c>
      <c r="D4240" s="108">
        <v>117.401918726069</v>
      </c>
      <c r="E4240" s="108">
        <v>88.230586596937499</v>
      </c>
      <c r="F4240" s="108" t="s">
        <v>135</v>
      </c>
      <c r="G4240" s="108"/>
      <c r="H4240" s="108">
        <v>1</v>
      </c>
    </row>
    <row r="4241" spans="1:8" ht="14">
      <c r="A4241" s="108">
        <v>2024</v>
      </c>
      <c r="B4241" s="108">
        <v>54</v>
      </c>
      <c r="C4241" s="108" t="s">
        <v>138</v>
      </c>
      <c r="D4241" s="108">
        <v>52.523765677989701</v>
      </c>
      <c r="E4241" s="108">
        <v>47.817810009175602</v>
      </c>
      <c r="F4241" s="108" t="s">
        <v>135</v>
      </c>
      <c r="G4241" s="108"/>
      <c r="H4241" s="108">
        <v>1</v>
      </c>
    </row>
    <row r="4242" spans="1:8" ht="14">
      <c r="A4242" s="108">
        <v>2024</v>
      </c>
      <c r="B4242" s="108">
        <v>54</v>
      </c>
      <c r="C4242" s="108" t="s">
        <v>138</v>
      </c>
      <c r="D4242" s="108">
        <v>3633.0402343219998</v>
      </c>
      <c r="E4242" s="108">
        <v>2228.42318999082</v>
      </c>
      <c r="F4242" s="108" t="s">
        <v>136</v>
      </c>
      <c r="G4242" s="108"/>
      <c r="H4242" s="108">
        <v>1</v>
      </c>
    </row>
    <row r="4243" spans="1:8" ht="14">
      <c r="A4243" s="108">
        <v>2024</v>
      </c>
      <c r="B4243" s="108">
        <v>54</v>
      </c>
      <c r="C4243" s="108" t="s">
        <v>139</v>
      </c>
      <c r="D4243" s="108">
        <v>1593.24184695191</v>
      </c>
      <c r="E4243" s="108">
        <v>705.410223412238</v>
      </c>
      <c r="F4243" s="108" t="s">
        <v>136</v>
      </c>
      <c r="G4243" s="108"/>
      <c r="H4243" s="108">
        <v>1</v>
      </c>
    </row>
    <row r="4244" spans="1:8" ht="14">
      <c r="A4244" s="108">
        <v>2024</v>
      </c>
      <c r="B4244" s="108">
        <v>54</v>
      </c>
      <c r="C4244" s="108" t="s">
        <v>139</v>
      </c>
      <c r="D4244" s="108">
        <v>64.878153048080193</v>
      </c>
      <c r="E4244" s="108">
        <v>40.412776587761797</v>
      </c>
      <c r="F4244" s="108" t="s">
        <v>135</v>
      </c>
      <c r="G4244" s="108"/>
      <c r="H4244" s="108">
        <v>1</v>
      </c>
    </row>
    <row r="4245" spans="1:8" ht="14">
      <c r="A4245" s="108">
        <v>2024</v>
      </c>
      <c r="B4245" s="108">
        <v>59</v>
      </c>
      <c r="C4245" s="108" t="s">
        <v>30</v>
      </c>
      <c r="D4245" s="108">
        <v>0</v>
      </c>
      <c r="E4245" s="108">
        <v>0.52100000000000002</v>
      </c>
      <c r="F4245" s="108" t="s">
        <v>135</v>
      </c>
      <c r="G4245" s="108"/>
      <c r="H4245" s="108">
        <v>1</v>
      </c>
    </row>
    <row r="4246" spans="1:8" ht="14">
      <c r="A4246" s="108">
        <v>2024</v>
      </c>
      <c r="B4246" s="108">
        <v>59</v>
      </c>
      <c r="C4246" s="108" t="s">
        <v>30</v>
      </c>
      <c r="D4246" s="108">
        <v>186.28</v>
      </c>
      <c r="E4246" s="108">
        <v>13.284999999999901</v>
      </c>
      <c r="F4246" s="108" t="s">
        <v>136</v>
      </c>
      <c r="G4246" s="108"/>
      <c r="H4246" s="108">
        <v>1</v>
      </c>
    </row>
    <row r="4247" spans="1:8" ht="14">
      <c r="A4247" s="108">
        <v>2024</v>
      </c>
      <c r="B4247" s="108">
        <v>59</v>
      </c>
      <c r="C4247" s="108" t="s">
        <v>138</v>
      </c>
      <c r="D4247" s="108">
        <v>127.819</v>
      </c>
      <c r="E4247" s="108">
        <v>7.7770000000000001</v>
      </c>
      <c r="F4247" s="108" t="s">
        <v>136</v>
      </c>
      <c r="G4247" s="108"/>
      <c r="H4247" s="108">
        <v>1</v>
      </c>
    </row>
    <row r="4248" spans="1:8" ht="14">
      <c r="A4248" s="108">
        <v>2024</v>
      </c>
      <c r="B4248" s="108">
        <v>59</v>
      </c>
      <c r="C4248" s="108" t="s">
        <v>138</v>
      </c>
      <c r="D4248" s="108">
        <v>0</v>
      </c>
      <c r="E4248" s="108">
        <v>0.14899999999999999</v>
      </c>
      <c r="F4248" s="108" t="s">
        <v>135</v>
      </c>
      <c r="G4248" s="108"/>
      <c r="H4248" s="108">
        <v>1</v>
      </c>
    </row>
    <row r="4249" spans="1:8" ht="14">
      <c r="A4249" s="108">
        <v>2024</v>
      </c>
      <c r="B4249" s="108">
        <v>59</v>
      </c>
      <c r="C4249" s="108" t="s">
        <v>139</v>
      </c>
      <c r="D4249" s="108">
        <v>58.460999999999999</v>
      </c>
      <c r="E4249" s="108">
        <v>5.508</v>
      </c>
      <c r="F4249" s="108" t="s">
        <v>136</v>
      </c>
      <c r="G4249" s="108"/>
      <c r="H4249" s="108">
        <v>1</v>
      </c>
    </row>
    <row r="4250" spans="1:8" ht="14">
      <c r="A4250" s="108">
        <v>2024</v>
      </c>
      <c r="B4250" s="108">
        <v>59</v>
      </c>
      <c r="C4250" s="108" t="s">
        <v>139</v>
      </c>
      <c r="D4250" s="108">
        <v>0</v>
      </c>
      <c r="E4250" s="108">
        <v>0.371999999999999</v>
      </c>
      <c r="F4250" s="108" t="s">
        <v>135</v>
      </c>
      <c r="G4250" s="108"/>
      <c r="H4250" s="108">
        <v>1</v>
      </c>
    </row>
    <row r="4251" spans="1:8" ht="14">
      <c r="A4251" s="108">
        <v>2024</v>
      </c>
      <c r="B4251" s="108">
        <v>61</v>
      </c>
      <c r="C4251" s="108" t="s">
        <v>30</v>
      </c>
      <c r="D4251" s="108">
        <v>27336.9218321236</v>
      </c>
      <c r="E4251" s="108">
        <v>2094.6628878123202</v>
      </c>
      <c r="F4251" s="108" t="s">
        <v>136</v>
      </c>
      <c r="G4251" s="108"/>
      <c r="H4251" s="108">
        <v>1</v>
      </c>
    </row>
    <row r="4252" spans="1:8" ht="14">
      <c r="A4252" s="108">
        <v>2024</v>
      </c>
      <c r="B4252" s="108">
        <v>61</v>
      </c>
      <c r="C4252" s="108" t="s">
        <v>30</v>
      </c>
      <c r="D4252" s="108">
        <v>20342.502167876301</v>
      </c>
      <c r="E4252" s="108">
        <v>1290.59811218767</v>
      </c>
      <c r="F4252" s="108" t="s">
        <v>135</v>
      </c>
      <c r="G4252" s="108"/>
      <c r="H4252" s="108">
        <v>1</v>
      </c>
    </row>
    <row r="4253" spans="1:8" ht="14">
      <c r="A4253" s="108">
        <v>2024</v>
      </c>
      <c r="B4253" s="108">
        <v>61</v>
      </c>
      <c r="C4253" s="108" t="s">
        <v>138</v>
      </c>
      <c r="D4253" s="108">
        <v>9914.0797849251594</v>
      </c>
      <c r="E4253" s="108">
        <v>649.51464405726404</v>
      </c>
      <c r="F4253" s="108" t="s">
        <v>135</v>
      </c>
      <c r="G4253" s="108"/>
      <c r="H4253" s="108">
        <v>1</v>
      </c>
    </row>
    <row r="4254" spans="1:8" ht="14">
      <c r="A4254" s="108">
        <v>2024</v>
      </c>
      <c r="B4254" s="108">
        <v>61</v>
      </c>
      <c r="C4254" s="108" t="s">
        <v>138</v>
      </c>
      <c r="D4254" s="108">
        <v>17837.770215074801</v>
      </c>
      <c r="E4254" s="108">
        <v>1077.9193559427299</v>
      </c>
      <c r="F4254" s="108" t="s">
        <v>136</v>
      </c>
      <c r="G4254" s="108"/>
      <c r="H4254" s="108">
        <v>1</v>
      </c>
    </row>
    <row r="4255" spans="1:8" ht="14">
      <c r="A4255" s="108">
        <v>2024</v>
      </c>
      <c r="B4255" s="108">
        <v>61</v>
      </c>
      <c r="C4255" s="108" t="s">
        <v>139</v>
      </c>
      <c r="D4255" s="108">
        <v>10428.422382951199</v>
      </c>
      <c r="E4255" s="108">
        <v>641.083468130406</v>
      </c>
      <c r="F4255" s="108" t="s">
        <v>135</v>
      </c>
      <c r="G4255" s="108"/>
      <c r="H4255" s="108">
        <v>1</v>
      </c>
    </row>
    <row r="4256" spans="1:8" ht="14">
      <c r="A4256" s="108">
        <v>2024</v>
      </c>
      <c r="B4256" s="108">
        <v>61</v>
      </c>
      <c r="C4256" s="108" t="s">
        <v>139</v>
      </c>
      <c r="D4256" s="108">
        <v>9499.1516170487703</v>
      </c>
      <c r="E4256" s="108">
        <v>1016.74353186959</v>
      </c>
      <c r="F4256" s="108" t="s">
        <v>136</v>
      </c>
      <c r="G4256" s="108"/>
      <c r="H4256" s="108">
        <v>1</v>
      </c>
    </row>
    <row r="4257" spans="1:8" ht="14">
      <c r="A4257" s="108">
        <v>2024</v>
      </c>
      <c r="B4257" s="108">
        <v>62</v>
      </c>
      <c r="C4257" s="108" t="s">
        <v>30</v>
      </c>
      <c r="D4257" s="108">
        <v>212.64706089366899</v>
      </c>
      <c r="E4257" s="108">
        <v>32.233258900309799</v>
      </c>
      <c r="F4257" s="108" t="s">
        <v>136</v>
      </c>
      <c r="G4257" s="108"/>
      <c r="H4257" s="108">
        <v>1</v>
      </c>
    </row>
    <row r="4258" spans="1:8" ht="14">
      <c r="A4258" s="108">
        <v>2024</v>
      </c>
      <c r="B4258" s="108">
        <v>62</v>
      </c>
      <c r="C4258" s="108" t="s">
        <v>30</v>
      </c>
      <c r="D4258" s="108">
        <v>36.462939106330602</v>
      </c>
      <c r="E4258" s="108">
        <v>26.2137410996901</v>
      </c>
      <c r="F4258" s="108" t="s">
        <v>135</v>
      </c>
      <c r="G4258" s="108"/>
      <c r="H4258" s="108">
        <v>1</v>
      </c>
    </row>
    <row r="4259" spans="1:8" ht="14">
      <c r="A4259" s="108">
        <v>2024</v>
      </c>
      <c r="B4259" s="108">
        <v>62</v>
      </c>
      <c r="C4259" s="108" t="s">
        <v>138</v>
      </c>
      <c r="D4259" s="108">
        <v>146.07519211639399</v>
      </c>
      <c r="E4259" s="108">
        <v>17.323084807764001</v>
      </c>
      <c r="F4259" s="108" t="s">
        <v>136</v>
      </c>
      <c r="G4259" s="108"/>
      <c r="H4259" s="108">
        <v>1</v>
      </c>
    </row>
    <row r="4260" spans="1:8" ht="14">
      <c r="A4260" s="108">
        <v>2024</v>
      </c>
      <c r="B4260" s="108">
        <v>62</v>
      </c>
      <c r="C4260" s="108" t="s">
        <v>138</v>
      </c>
      <c r="D4260" s="108">
        <v>3.6968078836052598</v>
      </c>
      <c r="E4260" s="108">
        <v>1.5309151922358999</v>
      </c>
      <c r="F4260" s="108" t="s">
        <v>135</v>
      </c>
      <c r="G4260" s="108"/>
      <c r="H4260" s="108">
        <v>1</v>
      </c>
    </row>
    <row r="4261" spans="1:8" ht="14">
      <c r="A4261" s="108">
        <v>2024</v>
      </c>
      <c r="B4261" s="108">
        <v>62</v>
      </c>
      <c r="C4261" s="108" t="s">
        <v>139</v>
      </c>
      <c r="D4261" s="108">
        <v>32.766131222725399</v>
      </c>
      <c r="E4261" s="108">
        <v>24.682825907454198</v>
      </c>
      <c r="F4261" s="108" t="s">
        <v>135</v>
      </c>
      <c r="G4261" s="108"/>
      <c r="H4261" s="108">
        <v>1</v>
      </c>
    </row>
    <row r="4262" spans="1:8" ht="14">
      <c r="A4262" s="108">
        <v>2024</v>
      </c>
      <c r="B4262" s="108">
        <v>62</v>
      </c>
      <c r="C4262" s="108" t="s">
        <v>139</v>
      </c>
      <c r="D4262" s="108">
        <v>66.571868777274503</v>
      </c>
      <c r="E4262" s="108">
        <v>14.9101740925457</v>
      </c>
      <c r="F4262" s="108" t="s">
        <v>136</v>
      </c>
      <c r="G4262" s="108"/>
      <c r="H4262" s="108">
        <v>1</v>
      </c>
    </row>
    <row r="4263" spans="1:8" ht="14">
      <c r="A4263" s="108">
        <v>2024</v>
      </c>
      <c r="B4263" s="108">
        <v>63</v>
      </c>
      <c r="C4263" s="108" t="s">
        <v>30</v>
      </c>
      <c r="D4263" s="108">
        <v>31.8309999999999</v>
      </c>
      <c r="E4263" s="108">
        <v>8.1229999999999993</v>
      </c>
      <c r="F4263" s="108" t="s">
        <v>135</v>
      </c>
      <c r="G4263" s="108"/>
      <c r="H4263" s="108">
        <v>1</v>
      </c>
    </row>
    <row r="4264" spans="1:8" ht="14">
      <c r="A4264" s="108">
        <v>2024</v>
      </c>
      <c r="B4264" s="108">
        <v>63</v>
      </c>
      <c r="C4264" s="108" t="s">
        <v>30</v>
      </c>
      <c r="D4264" s="108">
        <v>9010.6810000000005</v>
      </c>
      <c r="E4264" s="108">
        <v>537.03499999999997</v>
      </c>
      <c r="F4264" s="108" t="s">
        <v>136</v>
      </c>
      <c r="G4264" s="108"/>
      <c r="H4264" s="108">
        <v>1</v>
      </c>
    </row>
    <row r="4265" spans="1:8" ht="14">
      <c r="A4265" s="108">
        <v>2024</v>
      </c>
      <c r="B4265" s="108">
        <v>63</v>
      </c>
      <c r="C4265" s="108" t="s">
        <v>138</v>
      </c>
      <c r="D4265" s="108">
        <v>6941.7520000000004</v>
      </c>
      <c r="E4265" s="108">
        <v>286.64400000000001</v>
      </c>
      <c r="F4265" s="108" t="s">
        <v>136</v>
      </c>
      <c r="G4265" s="108"/>
      <c r="H4265" s="108">
        <v>1</v>
      </c>
    </row>
    <row r="4266" spans="1:8" ht="14">
      <c r="A4266" s="108">
        <v>2024</v>
      </c>
      <c r="B4266" s="108">
        <v>63</v>
      </c>
      <c r="C4266" s="108" t="s">
        <v>138</v>
      </c>
      <c r="D4266" s="108">
        <v>17.582000000000001</v>
      </c>
      <c r="E4266" s="108">
        <v>4.0670000000000002</v>
      </c>
      <c r="F4266" s="108" t="s">
        <v>135</v>
      </c>
      <c r="G4266" s="108"/>
      <c r="H4266" s="108">
        <v>1</v>
      </c>
    </row>
    <row r="4267" spans="1:8" ht="14">
      <c r="A4267" s="108">
        <v>2024</v>
      </c>
      <c r="B4267" s="108">
        <v>63</v>
      </c>
      <c r="C4267" s="108" t="s">
        <v>139</v>
      </c>
      <c r="D4267" s="108">
        <v>14.249000000000001</v>
      </c>
      <c r="E4267" s="108">
        <v>4.0559999999999903</v>
      </c>
      <c r="F4267" s="108" t="s">
        <v>135</v>
      </c>
      <c r="G4267" s="108"/>
      <c r="H4267" s="108">
        <v>1</v>
      </c>
    </row>
    <row r="4268" spans="1:8" ht="14">
      <c r="A4268" s="108">
        <v>2024</v>
      </c>
      <c r="B4268" s="108">
        <v>63</v>
      </c>
      <c r="C4268" s="108" t="s">
        <v>139</v>
      </c>
      <c r="D4268" s="108">
        <v>2068.9290000000001</v>
      </c>
      <c r="E4268" s="108">
        <v>250.39099999999999</v>
      </c>
      <c r="F4268" s="108" t="s">
        <v>136</v>
      </c>
      <c r="G4268" s="108"/>
      <c r="H4268" s="108">
        <v>1</v>
      </c>
    </row>
    <row r="4269" spans="1:8" ht="14">
      <c r="A4269" s="108">
        <v>2024</v>
      </c>
      <c r="B4269" s="108">
        <v>69</v>
      </c>
      <c r="C4269" s="108" t="s">
        <v>30</v>
      </c>
      <c r="D4269" s="108">
        <v>2.2017857142857099E-2</v>
      </c>
      <c r="E4269" s="108">
        <v>1.14101785714285</v>
      </c>
      <c r="F4269" s="108" t="s">
        <v>136</v>
      </c>
      <c r="G4269" s="108"/>
      <c r="H4269" s="108">
        <v>1</v>
      </c>
    </row>
    <row r="4270" spans="1:8" ht="14">
      <c r="A4270" s="108">
        <v>2024</v>
      </c>
      <c r="B4270" s="108">
        <v>69</v>
      </c>
      <c r="C4270" s="108" t="s">
        <v>30</v>
      </c>
      <c r="D4270" s="108">
        <v>0.19298214285714199</v>
      </c>
      <c r="E4270" s="108">
        <v>0.18898214285714199</v>
      </c>
      <c r="F4270" s="108" t="s">
        <v>135</v>
      </c>
      <c r="G4270" s="108"/>
      <c r="H4270" s="108">
        <v>1</v>
      </c>
    </row>
    <row r="4271" spans="1:8" ht="14">
      <c r="A4271" s="108">
        <v>2024</v>
      </c>
      <c r="B4271" s="108">
        <v>69</v>
      </c>
      <c r="C4271" s="108" t="s">
        <v>138</v>
      </c>
      <c r="D4271" s="108">
        <v>1.01785714285714E-3</v>
      </c>
      <c r="E4271" s="108">
        <v>1.13901785714285</v>
      </c>
      <c r="F4271" s="108" t="s">
        <v>136</v>
      </c>
      <c r="G4271" s="108"/>
      <c r="H4271" s="108">
        <v>1</v>
      </c>
    </row>
    <row r="4272" spans="1:8" ht="14">
      <c r="A4272" s="108">
        <v>2024</v>
      </c>
      <c r="B4272" s="108">
        <v>69</v>
      </c>
      <c r="C4272" s="108" t="s">
        <v>138</v>
      </c>
      <c r="D4272" s="108">
        <v>5.59821428571428E-2</v>
      </c>
      <c r="E4272" s="108">
        <v>5.59821428571428E-2</v>
      </c>
      <c r="F4272" s="108" t="s">
        <v>135</v>
      </c>
      <c r="G4272" s="108"/>
      <c r="H4272" s="108">
        <v>1</v>
      </c>
    </row>
    <row r="4273" spans="1:8" ht="14">
      <c r="A4273" s="108">
        <v>2024</v>
      </c>
      <c r="B4273" s="108">
        <v>69</v>
      </c>
      <c r="C4273" s="108" t="s">
        <v>139</v>
      </c>
      <c r="D4273" s="108">
        <v>2.1000000000000001E-2</v>
      </c>
      <c r="E4273" s="108">
        <v>2E-3</v>
      </c>
      <c r="F4273" s="108" t="s">
        <v>136</v>
      </c>
      <c r="G4273" s="108"/>
      <c r="H4273" s="108">
        <v>1</v>
      </c>
    </row>
    <row r="4274" spans="1:8" ht="14">
      <c r="A4274" s="108">
        <v>2024</v>
      </c>
      <c r="B4274" s="108">
        <v>69</v>
      </c>
      <c r="C4274" s="108" t="s">
        <v>139</v>
      </c>
      <c r="D4274" s="108">
        <v>0.13700000000000001</v>
      </c>
      <c r="E4274" s="108">
        <v>0.13300000000000001</v>
      </c>
      <c r="F4274" s="108" t="s">
        <v>135</v>
      </c>
      <c r="G4274" s="108"/>
      <c r="H4274" s="108">
        <v>1</v>
      </c>
    </row>
    <row r="4275" spans="1:8" ht="14">
      <c r="A4275" s="108">
        <v>2024</v>
      </c>
      <c r="B4275" s="108">
        <v>91</v>
      </c>
      <c r="C4275" s="108" t="s">
        <v>30</v>
      </c>
      <c r="D4275" s="108">
        <v>4754.4332307095501</v>
      </c>
      <c r="E4275" s="108">
        <v>0</v>
      </c>
      <c r="F4275" s="108" t="s">
        <v>136</v>
      </c>
      <c r="G4275" s="108"/>
      <c r="H4275" s="108">
        <v>1</v>
      </c>
    </row>
    <row r="4276" spans="1:8" ht="14">
      <c r="A4276" s="108">
        <v>2024</v>
      </c>
      <c r="B4276" s="108">
        <v>91</v>
      </c>
      <c r="C4276" s="108" t="s">
        <v>30</v>
      </c>
      <c r="D4276" s="108">
        <v>197.97166929043999</v>
      </c>
      <c r="E4276" s="108">
        <v>0</v>
      </c>
      <c r="F4276" s="108" t="s">
        <v>135</v>
      </c>
      <c r="G4276" s="108"/>
      <c r="H4276" s="108">
        <v>1</v>
      </c>
    </row>
    <row r="4277" spans="1:8" ht="14">
      <c r="A4277" s="108">
        <v>2024</v>
      </c>
      <c r="B4277" s="108">
        <v>91</v>
      </c>
      <c r="C4277" s="108" t="s">
        <v>138</v>
      </c>
      <c r="D4277" s="108">
        <v>128.05004524764999</v>
      </c>
      <c r="E4277" s="108">
        <v>0</v>
      </c>
      <c r="F4277" s="108" t="s">
        <v>135</v>
      </c>
      <c r="G4277" s="108"/>
      <c r="H4277" s="108">
        <v>1</v>
      </c>
    </row>
    <row r="4278" spans="1:8" ht="14">
      <c r="A4278" s="108">
        <v>2024</v>
      </c>
      <c r="B4278" s="108">
        <v>91</v>
      </c>
      <c r="C4278" s="108" t="s">
        <v>138</v>
      </c>
      <c r="D4278" s="108">
        <v>4528.6592547523396</v>
      </c>
      <c r="E4278" s="108">
        <v>0</v>
      </c>
      <c r="F4278" s="108" t="s">
        <v>136</v>
      </c>
      <c r="G4278" s="108"/>
      <c r="H4278" s="108">
        <v>1</v>
      </c>
    </row>
    <row r="4279" spans="1:8" ht="14">
      <c r="A4279" s="108">
        <v>2024</v>
      </c>
      <c r="B4279" s="108">
        <v>91</v>
      </c>
      <c r="C4279" s="108" t="s">
        <v>139</v>
      </c>
      <c r="D4279" s="108">
        <v>69.921624042789801</v>
      </c>
      <c r="E4279" s="108">
        <v>0</v>
      </c>
      <c r="F4279" s="108" t="s">
        <v>135</v>
      </c>
      <c r="G4279" s="108"/>
      <c r="H4279" s="108">
        <v>1</v>
      </c>
    </row>
    <row r="4280" spans="1:8" ht="14">
      <c r="A4280" s="108">
        <v>2024</v>
      </c>
      <c r="B4280" s="108">
        <v>91</v>
      </c>
      <c r="C4280" s="108" t="s">
        <v>139</v>
      </c>
      <c r="D4280" s="108">
        <v>225.77397595721001</v>
      </c>
      <c r="E4280" s="108">
        <v>0</v>
      </c>
      <c r="F4280" s="108" t="s">
        <v>136</v>
      </c>
      <c r="G4280" s="108"/>
      <c r="H4280" s="108">
        <v>1</v>
      </c>
    </row>
    <row r="4281" spans="1:8" ht="14">
      <c r="A4281" s="108">
        <v>2024</v>
      </c>
      <c r="B4281" s="108">
        <v>92</v>
      </c>
      <c r="C4281" s="108" t="s">
        <v>30</v>
      </c>
      <c r="D4281" s="108">
        <v>6695.6531873633003</v>
      </c>
      <c r="E4281" s="108">
        <v>0</v>
      </c>
      <c r="F4281" s="108" t="s">
        <v>136</v>
      </c>
      <c r="G4281" s="108"/>
      <c r="H4281" s="108">
        <v>1</v>
      </c>
    </row>
    <row r="4282" spans="1:8" ht="14">
      <c r="A4282" s="108">
        <v>2024</v>
      </c>
      <c r="B4282" s="108">
        <v>92</v>
      </c>
      <c r="C4282" s="108" t="s">
        <v>30</v>
      </c>
      <c r="D4282" s="108">
        <v>262.77711263669102</v>
      </c>
      <c r="E4282" s="108">
        <v>0</v>
      </c>
      <c r="F4282" s="108" t="s">
        <v>135</v>
      </c>
      <c r="G4282" s="108"/>
      <c r="H4282" s="108">
        <v>1</v>
      </c>
    </row>
    <row r="4283" spans="1:8" ht="14">
      <c r="A4283" s="108">
        <v>2024</v>
      </c>
      <c r="B4283" s="108">
        <v>92</v>
      </c>
      <c r="C4283" s="108" t="s">
        <v>138</v>
      </c>
      <c r="D4283" s="108">
        <v>5478.4332199179098</v>
      </c>
      <c r="E4283" s="108">
        <v>0</v>
      </c>
      <c r="F4283" s="108" t="s">
        <v>136</v>
      </c>
      <c r="G4283" s="108"/>
      <c r="H4283" s="108">
        <v>1</v>
      </c>
    </row>
    <row r="4284" spans="1:8" ht="14">
      <c r="A4284" s="108">
        <v>2024</v>
      </c>
      <c r="B4284" s="108">
        <v>92</v>
      </c>
      <c r="C4284" s="108" t="s">
        <v>138</v>
      </c>
      <c r="D4284" s="108">
        <v>129.67988008208701</v>
      </c>
      <c r="E4284" s="108">
        <v>0</v>
      </c>
      <c r="F4284" s="108" t="s">
        <v>135</v>
      </c>
      <c r="G4284" s="108"/>
      <c r="H4284" s="108">
        <v>1</v>
      </c>
    </row>
    <row r="4285" spans="1:8" ht="14">
      <c r="A4285" s="108">
        <v>2024</v>
      </c>
      <c r="B4285" s="108">
        <v>92</v>
      </c>
      <c r="C4285" s="108" t="s">
        <v>139</v>
      </c>
      <c r="D4285" s="108">
        <v>1217.21996744539</v>
      </c>
      <c r="E4285" s="108">
        <v>0</v>
      </c>
      <c r="F4285" s="108" t="s">
        <v>136</v>
      </c>
      <c r="G4285" s="108"/>
      <c r="H4285" s="108">
        <v>1</v>
      </c>
    </row>
    <row r="4286" spans="1:8" ht="14">
      <c r="A4286" s="108">
        <v>2024</v>
      </c>
      <c r="B4286" s="108">
        <v>92</v>
      </c>
      <c r="C4286" s="108" t="s">
        <v>139</v>
      </c>
      <c r="D4286" s="108">
        <v>133.09723255460401</v>
      </c>
      <c r="E4286" s="108">
        <v>0</v>
      </c>
      <c r="F4286" s="108" t="s">
        <v>135</v>
      </c>
      <c r="G4286" s="108"/>
      <c r="H4286" s="108">
        <v>1</v>
      </c>
    </row>
    <row r="4287" spans="1:8" ht="14">
      <c r="A4287" s="108">
        <v>2024</v>
      </c>
      <c r="B4287" s="108">
        <v>99</v>
      </c>
      <c r="C4287" s="108" t="s">
        <v>30</v>
      </c>
      <c r="D4287" s="108">
        <v>1606.7352362202701</v>
      </c>
      <c r="E4287" s="108">
        <v>0</v>
      </c>
      <c r="F4287" s="108" t="s">
        <v>135</v>
      </c>
      <c r="G4287" s="108"/>
      <c r="H4287" s="108">
        <v>1</v>
      </c>
    </row>
    <row r="4288" spans="1:8" ht="14">
      <c r="A4288" s="108">
        <v>2024</v>
      </c>
      <c r="B4288" s="108">
        <v>99</v>
      </c>
      <c r="C4288" s="108" t="s">
        <v>30</v>
      </c>
      <c r="D4288" s="108">
        <v>3449.6178351427802</v>
      </c>
      <c r="E4288" s="108">
        <v>0</v>
      </c>
      <c r="F4288" s="108" t="s">
        <v>136</v>
      </c>
      <c r="G4288" s="108"/>
      <c r="H4288" s="108">
        <v>1</v>
      </c>
    </row>
    <row r="4289" spans="1:8" ht="14">
      <c r="A4289" s="108">
        <v>2024</v>
      </c>
      <c r="B4289" s="108">
        <v>99</v>
      </c>
      <c r="C4289" s="108" t="s">
        <v>30</v>
      </c>
      <c r="D4289" s="108">
        <v>0.61252863694604698</v>
      </c>
      <c r="E4289" s="108">
        <v>0</v>
      </c>
      <c r="F4289" s="108" t="s">
        <v>137</v>
      </c>
      <c r="G4289" s="108"/>
      <c r="H4289" s="108">
        <v>1</v>
      </c>
    </row>
    <row r="4290" spans="1:8" ht="14">
      <c r="A4290" s="108">
        <v>2024</v>
      </c>
      <c r="B4290" s="108">
        <v>99</v>
      </c>
      <c r="C4290" s="108" t="s">
        <v>138</v>
      </c>
      <c r="D4290" s="108">
        <v>2186.69026450413</v>
      </c>
      <c r="E4290" s="108">
        <v>0</v>
      </c>
      <c r="F4290" s="108" t="s">
        <v>136</v>
      </c>
      <c r="G4290" s="108"/>
      <c r="H4290" s="108">
        <v>1</v>
      </c>
    </row>
    <row r="4291" spans="1:8" ht="14">
      <c r="A4291" s="108">
        <v>2024</v>
      </c>
      <c r="B4291" s="108">
        <v>99</v>
      </c>
      <c r="C4291" s="108" t="s">
        <v>138</v>
      </c>
      <c r="D4291" s="108">
        <v>0.29619791815200303</v>
      </c>
      <c r="E4291" s="108">
        <v>0</v>
      </c>
      <c r="F4291" s="108" t="s">
        <v>137</v>
      </c>
      <c r="G4291" s="108"/>
      <c r="H4291" s="108">
        <v>1</v>
      </c>
    </row>
    <row r="4292" spans="1:8" ht="14">
      <c r="A4292" s="108">
        <v>2024</v>
      </c>
      <c r="B4292" s="108">
        <v>99</v>
      </c>
      <c r="C4292" s="108" t="s">
        <v>138</v>
      </c>
      <c r="D4292" s="108">
        <v>537.92363757771705</v>
      </c>
      <c r="E4292" s="108">
        <v>0</v>
      </c>
      <c r="F4292" s="108" t="s">
        <v>135</v>
      </c>
      <c r="G4292" s="108"/>
      <c r="H4292" s="108">
        <v>1</v>
      </c>
    </row>
    <row r="4293" spans="1:8" ht="14">
      <c r="A4293" s="108">
        <v>2024</v>
      </c>
      <c r="B4293" s="108">
        <v>99</v>
      </c>
      <c r="C4293" s="108" t="s">
        <v>139</v>
      </c>
      <c r="D4293" s="108">
        <v>0.31633071879404301</v>
      </c>
      <c r="E4293" s="108">
        <v>0</v>
      </c>
      <c r="F4293" s="108" t="s">
        <v>137</v>
      </c>
      <c r="G4293" s="108"/>
      <c r="H4293" s="108">
        <v>1</v>
      </c>
    </row>
    <row r="4294" spans="1:8" ht="14">
      <c r="A4294" s="108">
        <v>2024</v>
      </c>
      <c r="B4294" s="108">
        <v>99</v>
      </c>
      <c r="C4294" s="108" t="s">
        <v>139</v>
      </c>
      <c r="D4294" s="108">
        <v>1068.8115986425501</v>
      </c>
      <c r="E4294" s="108">
        <v>0</v>
      </c>
      <c r="F4294" s="108" t="s">
        <v>135</v>
      </c>
      <c r="G4294" s="108"/>
      <c r="H4294" s="108">
        <v>1</v>
      </c>
    </row>
    <row r="4295" spans="1:8" ht="14">
      <c r="A4295" s="108">
        <v>2024</v>
      </c>
      <c r="B4295" s="108">
        <v>99</v>
      </c>
      <c r="C4295" s="108" t="s">
        <v>139</v>
      </c>
      <c r="D4295" s="108">
        <v>1262.92757063865</v>
      </c>
      <c r="E4295" s="108">
        <v>0</v>
      </c>
      <c r="F4295" s="108" t="s">
        <v>136</v>
      </c>
      <c r="G4295" s="108"/>
      <c r="H4295" s="108">
        <v>1</v>
      </c>
    </row>
    <row r="4296" spans="1:8" ht="14">
      <c r="A4296" s="108">
        <v>2025</v>
      </c>
      <c r="B4296" s="108">
        <v>11</v>
      </c>
      <c r="C4296" s="108" t="s">
        <v>30</v>
      </c>
      <c r="D4296" s="108">
        <v>597.61280404235197</v>
      </c>
      <c r="E4296" s="108">
        <v>0</v>
      </c>
      <c r="F4296" s="108" t="s">
        <v>135</v>
      </c>
      <c r="G4296" s="108"/>
      <c r="H4296" s="108">
        <v>1</v>
      </c>
    </row>
    <row r="4297" spans="1:8" ht="14">
      <c r="A4297" s="108">
        <v>2025</v>
      </c>
      <c r="B4297" s="108">
        <v>11</v>
      </c>
      <c r="C4297" s="108" t="s">
        <v>30</v>
      </c>
      <c r="D4297" s="108">
        <v>16356.682041178899</v>
      </c>
      <c r="E4297" s="108">
        <v>0</v>
      </c>
      <c r="F4297" s="108" t="s">
        <v>136</v>
      </c>
      <c r="G4297" s="108"/>
      <c r="H4297" s="108">
        <v>1</v>
      </c>
    </row>
    <row r="4298" spans="1:8" ht="14">
      <c r="A4298" s="108">
        <v>2025</v>
      </c>
      <c r="B4298" s="108">
        <v>11</v>
      </c>
      <c r="C4298" s="108" t="s">
        <v>138</v>
      </c>
      <c r="D4298" s="108">
        <v>209.94408467616401</v>
      </c>
      <c r="E4298" s="108">
        <v>0</v>
      </c>
      <c r="F4298" s="108" t="s">
        <v>135</v>
      </c>
      <c r="G4298" s="108"/>
      <c r="H4298" s="108">
        <v>1</v>
      </c>
    </row>
    <row r="4299" spans="1:8" ht="14">
      <c r="A4299" s="108">
        <v>2025</v>
      </c>
      <c r="B4299" s="108">
        <v>11</v>
      </c>
      <c r="C4299" s="108" t="s">
        <v>138</v>
      </c>
      <c r="D4299" s="108">
        <v>14535.684297707399</v>
      </c>
      <c r="E4299" s="108">
        <v>0</v>
      </c>
      <c r="F4299" s="108" t="s">
        <v>136</v>
      </c>
      <c r="G4299" s="108"/>
      <c r="H4299" s="108">
        <v>1</v>
      </c>
    </row>
    <row r="4300" spans="1:8" ht="14">
      <c r="A4300" s="108">
        <v>2025</v>
      </c>
      <c r="B4300" s="108">
        <v>11</v>
      </c>
      <c r="C4300" s="108" t="s">
        <v>139</v>
      </c>
      <c r="D4300" s="108">
        <v>1820.9977434714899</v>
      </c>
      <c r="E4300" s="108">
        <v>0</v>
      </c>
      <c r="F4300" s="108" t="s">
        <v>136</v>
      </c>
      <c r="G4300" s="108"/>
      <c r="H4300" s="108">
        <v>1</v>
      </c>
    </row>
    <row r="4301" spans="1:8" ht="14">
      <c r="A4301" s="108">
        <v>2025</v>
      </c>
      <c r="B4301" s="108">
        <v>11</v>
      </c>
      <c r="C4301" s="108" t="s">
        <v>139</v>
      </c>
      <c r="D4301" s="108">
        <v>387.66871936618702</v>
      </c>
      <c r="E4301" s="108">
        <v>0</v>
      </c>
      <c r="F4301" s="108" t="s">
        <v>135</v>
      </c>
      <c r="G4301" s="108"/>
      <c r="H4301" s="108">
        <v>1</v>
      </c>
    </row>
    <row r="4302" spans="1:8" ht="14">
      <c r="A4302" s="108">
        <v>2025</v>
      </c>
      <c r="B4302" s="108">
        <v>12</v>
      </c>
      <c r="C4302" s="108" t="s">
        <v>30</v>
      </c>
      <c r="D4302" s="108">
        <v>12708.5352184363</v>
      </c>
      <c r="E4302" s="108">
        <v>0</v>
      </c>
      <c r="F4302" s="108" t="s">
        <v>135</v>
      </c>
      <c r="G4302" s="108"/>
      <c r="H4302" s="108">
        <v>1</v>
      </c>
    </row>
    <row r="4303" spans="1:8" ht="14">
      <c r="A4303" s="108">
        <v>2025</v>
      </c>
      <c r="B4303" s="108">
        <v>12</v>
      </c>
      <c r="C4303" s="108" t="s">
        <v>30</v>
      </c>
      <c r="D4303" s="108">
        <v>49800.694579862997</v>
      </c>
      <c r="E4303" s="108">
        <v>0</v>
      </c>
      <c r="F4303" s="108" t="s">
        <v>136</v>
      </c>
      <c r="G4303" s="108"/>
      <c r="H4303" s="108">
        <v>1</v>
      </c>
    </row>
    <row r="4304" spans="1:8" ht="14">
      <c r="A4304" s="108">
        <v>2025</v>
      </c>
      <c r="B4304" s="108">
        <v>12</v>
      </c>
      <c r="C4304" s="108" t="s">
        <v>138</v>
      </c>
      <c r="D4304" s="108">
        <v>5910.3688671934897</v>
      </c>
      <c r="E4304" s="108">
        <v>0</v>
      </c>
      <c r="F4304" s="108" t="s">
        <v>135</v>
      </c>
      <c r="G4304" s="108"/>
      <c r="H4304" s="108">
        <v>1</v>
      </c>
    </row>
    <row r="4305" spans="1:8" ht="14">
      <c r="A4305" s="108">
        <v>2025</v>
      </c>
      <c r="B4305" s="108">
        <v>12</v>
      </c>
      <c r="C4305" s="108" t="s">
        <v>138</v>
      </c>
      <c r="D4305" s="108">
        <v>32665.147908289</v>
      </c>
      <c r="E4305" s="108">
        <v>0</v>
      </c>
      <c r="F4305" s="108" t="s">
        <v>136</v>
      </c>
      <c r="G4305" s="108"/>
      <c r="H4305" s="108">
        <v>1</v>
      </c>
    </row>
    <row r="4306" spans="1:8" ht="14">
      <c r="A4306" s="108">
        <v>2025</v>
      </c>
      <c r="B4306" s="108">
        <v>12</v>
      </c>
      <c r="C4306" s="108" t="s">
        <v>139</v>
      </c>
      <c r="D4306" s="108">
        <v>17135.546671574</v>
      </c>
      <c r="E4306" s="108">
        <v>0</v>
      </c>
      <c r="F4306" s="108" t="s">
        <v>136</v>
      </c>
      <c r="G4306" s="108"/>
      <c r="H4306" s="108">
        <v>1</v>
      </c>
    </row>
    <row r="4307" spans="1:8" ht="14">
      <c r="A4307" s="108">
        <v>2025</v>
      </c>
      <c r="B4307" s="108">
        <v>12</v>
      </c>
      <c r="C4307" s="108" t="s">
        <v>139</v>
      </c>
      <c r="D4307" s="108">
        <v>6798.1663512428804</v>
      </c>
      <c r="E4307" s="108">
        <v>0</v>
      </c>
      <c r="F4307" s="108" t="s">
        <v>135</v>
      </c>
      <c r="G4307" s="108"/>
      <c r="H4307" s="108">
        <v>1</v>
      </c>
    </row>
    <row r="4308" spans="1:8" ht="14">
      <c r="A4308" s="108">
        <v>2025</v>
      </c>
      <c r="B4308" s="108">
        <v>13</v>
      </c>
      <c r="C4308" s="108" t="s">
        <v>30</v>
      </c>
      <c r="D4308" s="108">
        <v>33.811921495797002</v>
      </c>
      <c r="E4308" s="108">
        <v>0</v>
      </c>
      <c r="F4308" s="108" t="s">
        <v>137</v>
      </c>
      <c r="G4308" s="108"/>
      <c r="H4308" s="108">
        <v>1</v>
      </c>
    </row>
    <row r="4309" spans="1:8" ht="14">
      <c r="A4309" s="108">
        <v>2025</v>
      </c>
      <c r="B4309" s="108">
        <v>13</v>
      </c>
      <c r="C4309" s="108" t="s">
        <v>30</v>
      </c>
      <c r="D4309" s="108">
        <v>56651.417129046997</v>
      </c>
      <c r="E4309" s="108">
        <v>0</v>
      </c>
      <c r="F4309" s="108" t="s">
        <v>136</v>
      </c>
      <c r="G4309" s="108"/>
      <c r="H4309" s="108">
        <v>1</v>
      </c>
    </row>
    <row r="4310" spans="1:8" ht="14">
      <c r="A4310" s="108">
        <v>2025</v>
      </c>
      <c r="B4310" s="108">
        <v>13</v>
      </c>
      <c r="C4310" s="108" t="s">
        <v>30</v>
      </c>
      <c r="D4310" s="108">
        <v>15319.6526539726</v>
      </c>
      <c r="E4310" s="108">
        <v>0</v>
      </c>
      <c r="F4310" s="108" t="s">
        <v>135</v>
      </c>
      <c r="G4310" s="108"/>
      <c r="H4310" s="108">
        <v>1</v>
      </c>
    </row>
    <row r="4311" spans="1:8" ht="14">
      <c r="A4311" s="108">
        <v>2025</v>
      </c>
      <c r="B4311" s="108">
        <v>13</v>
      </c>
      <c r="C4311" s="108" t="s">
        <v>138</v>
      </c>
      <c r="D4311" s="108">
        <v>7225.0917248221604</v>
      </c>
      <c r="E4311" s="108">
        <v>0</v>
      </c>
      <c r="F4311" s="108" t="s">
        <v>135</v>
      </c>
      <c r="G4311" s="108"/>
      <c r="H4311" s="108">
        <v>1</v>
      </c>
    </row>
    <row r="4312" spans="1:8" ht="14">
      <c r="A4312" s="108">
        <v>2025</v>
      </c>
      <c r="B4312" s="108">
        <v>13</v>
      </c>
      <c r="C4312" s="108" t="s">
        <v>138</v>
      </c>
      <c r="D4312" s="108">
        <v>37563.711985837399</v>
      </c>
      <c r="E4312" s="108">
        <v>0</v>
      </c>
      <c r="F4312" s="108" t="s">
        <v>136</v>
      </c>
      <c r="G4312" s="108"/>
      <c r="H4312" s="108">
        <v>1</v>
      </c>
    </row>
    <row r="4313" spans="1:8" ht="14">
      <c r="A4313" s="108">
        <v>2025</v>
      </c>
      <c r="B4313" s="108">
        <v>13</v>
      </c>
      <c r="C4313" s="108" t="s">
        <v>139</v>
      </c>
      <c r="D4313" s="108">
        <v>19087.7051432095</v>
      </c>
      <c r="E4313" s="108">
        <v>0</v>
      </c>
      <c r="F4313" s="108" t="s">
        <v>136</v>
      </c>
      <c r="G4313" s="108"/>
      <c r="H4313" s="108">
        <v>1</v>
      </c>
    </row>
    <row r="4314" spans="1:8" ht="14">
      <c r="A4314" s="108">
        <v>2025</v>
      </c>
      <c r="B4314" s="108">
        <v>13</v>
      </c>
      <c r="C4314" s="108" t="s">
        <v>139</v>
      </c>
      <c r="D4314" s="108">
        <v>8094.5609291505098</v>
      </c>
      <c r="E4314" s="108">
        <v>0</v>
      </c>
      <c r="F4314" s="108" t="s">
        <v>135</v>
      </c>
      <c r="G4314" s="108"/>
      <c r="H4314" s="108">
        <v>1</v>
      </c>
    </row>
    <row r="4315" spans="1:8" ht="14">
      <c r="A4315" s="108">
        <v>2025</v>
      </c>
      <c r="B4315" s="108">
        <v>13</v>
      </c>
      <c r="C4315" s="108" t="s">
        <v>139</v>
      </c>
      <c r="D4315" s="108">
        <v>33.811921495797002</v>
      </c>
      <c r="E4315" s="108">
        <v>0</v>
      </c>
      <c r="F4315" s="108" t="s">
        <v>137</v>
      </c>
      <c r="G4315" s="108"/>
      <c r="H4315" s="108">
        <v>1</v>
      </c>
    </row>
    <row r="4316" spans="1:8" ht="14">
      <c r="A4316" s="108">
        <v>2025</v>
      </c>
      <c r="B4316" s="108">
        <v>19</v>
      </c>
      <c r="C4316" s="108" t="s">
        <v>30</v>
      </c>
      <c r="D4316" s="108">
        <v>7382.5806096776196</v>
      </c>
      <c r="E4316" s="108">
        <v>0</v>
      </c>
      <c r="F4316" s="108" t="s">
        <v>136</v>
      </c>
      <c r="G4316" s="108"/>
      <c r="H4316" s="108">
        <v>1</v>
      </c>
    </row>
    <row r="4317" spans="1:8" ht="14">
      <c r="A4317" s="108">
        <v>2025</v>
      </c>
      <c r="B4317" s="108">
        <v>19</v>
      </c>
      <c r="C4317" s="108" t="s">
        <v>30</v>
      </c>
      <c r="D4317" s="108">
        <v>1136.66424424</v>
      </c>
      <c r="E4317" s="108">
        <v>0</v>
      </c>
      <c r="F4317" s="108" t="s">
        <v>135</v>
      </c>
      <c r="G4317" s="108"/>
      <c r="H4317" s="108">
        <v>1</v>
      </c>
    </row>
    <row r="4318" spans="1:8" ht="14">
      <c r="A4318" s="108">
        <v>2025</v>
      </c>
      <c r="B4318" s="108">
        <v>19</v>
      </c>
      <c r="C4318" s="108" t="s">
        <v>138</v>
      </c>
      <c r="D4318" s="108">
        <v>5879.6052284364996</v>
      </c>
      <c r="E4318" s="108">
        <v>0</v>
      </c>
      <c r="F4318" s="108" t="s">
        <v>136</v>
      </c>
      <c r="G4318" s="108"/>
      <c r="H4318" s="108">
        <v>1</v>
      </c>
    </row>
    <row r="4319" spans="1:8" ht="14">
      <c r="A4319" s="108">
        <v>2025</v>
      </c>
      <c r="B4319" s="108">
        <v>19</v>
      </c>
      <c r="C4319" s="108" t="s">
        <v>138</v>
      </c>
      <c r="D4319" s="108">
        <v>560.63999936348898</v>
      </c>
      <c r="E4319" s="108">
        <v>0</v>
      </c>
      <c r="F4319" s="108" t="s">
        <v>135</v>
      </c>
      <c r="G4319" s="108"/>
      <c r="H4319" s="108">
        <v>1</v>
      </c>
    </row>
    <row r="4320" spans="1:8" ht="14">
      <c r="A4320" s="108">
        <v>2025</v>
      </c>
      <c r="B4320" s="108">
        <v>19</v>
      </c>
      <c r="C4320" s="108" t="s">
        <v>139</v>
      </c>
      <c r="D4320" s="108">
        <v>576.02424487651501</v>
      </c>
      <c r="E4320" s="108">
        <v>0</v>
      </c>
      <c r="F4320" s="108" t="s">
        <v>135</v>
      </c>
      <c r="G4320" s="108"/>
      <c r="H4320" s="108">
        <v>1</v>
      </c>
    </row>
    <row r="4321" spans="1:8" ht="14">
      <c r="A4321" s="108">
        <v>2025</v>
      </c>
      <c r="B4321" s="108">
        <v>19</v>
      </c>
      <c r="C4321" s="108" t="s">
        <v>139</v>
      </c>
      <c r="D4321" s="108">
        <v>1502.97538124111</v>
      </c>
      <c r="E4321" s="108">
        <v>0</v>
      </c>
      <c r="F4321" s="108" t="s">
        <v>136</v>
      </c>
      <c r="G4321" s="108"/>
      <c r="H4321" s="108">
        <v>1</v>
      </c>
    </row>
    <row r="4322" spans="1:8" ht="14">
      <c r="A4322" s="108">
        <v>2025</v>
      </c>
      <c r="B4322" s="108">
        <v>21</v>
      </c>
      <c r="C4322" s="108" t="s">
        <v>30</v>
      </c>
      <c r="D4322" s="108">
        <v>3.2360000000000002</v>
      </c>
      <c r="E4322" s="108">
        <v>0</v>
      </c>
      <c r="F4322" s="108" t="s">
        <v>137</v>
      </c>
      <c r="G4322" s="108"/>
      <c r="H4322" s="108">
        <v>1</v>
      </c>
    </row>
    <row r="4323" spans="1:8" ht="14">
      <c r="A4323" s="108">
        <v>2025</v>
      </c>
      <c r="B4323" s="108">
        <v>21</v>
      </c>
      <c r="C4323" s="108" t="s">
        <v>30</v>
      </c>
      <c r="D4323" s="108">
        <v>9699.4850395837802</v>
      </c>
      <c r="E4323" s="108">
        <v>0</v>
      </c>
      <c r="F4323" s="108" t="s">
        <v>136</v>
      </c>
      <c r="G4323" s="108"/>
      <c r="H4323" s="108">
        <v>1</v>
      </c>
    </row>
    <row r="4324" spans="1:8" ht="14">
      <c r="A4324" s="108">
        <v>2025</v>
      </c>
      <c r="B4324" s="108">
        <v>21</v>
      </c>
      <c r="C4324" s="108" t="s">
        <v>30</v>
      </c>
      <c r="D4324" s="108">
        <v>260.93623081188298</v>
      </c>
      <c r="E4324" s="108">
        <v>0</v>
      </c>
      <c r="F4324" s="108" t="s">
        <v>135</v>
      </c>
      <c r="G4324" s="108"/>
      <c r="H4324" s="108">
        <v>1</v>
      </c>
    </row>
    <row r="4325" spans="1:8" ht="14">
      <c r="A4325" s="108">
        <v>2025</v>
      </c>
      <c r="B4325" s="108">
        <v>21</v>
      </c>
      <c r="C4325" s="108" t="s">
        <v>138</v>
      </c>
      <c r="D4325" s="108">
        <v>4169.4694318576803</v>
      </c>
      <c r="E4325" s="108">
        <v>0</v>
      </c>
      <c r="F4325" s="108" t="s">
        <v>136</v>
      </c>
      <c r="G4325" s="108"/>
      <c r="H4325" s="108">
        <v>1</v>
      </c>
    </row>
    <row r="4326" spans="1:8" ht="14">
      <c r="A4326" s="108">
        <v>2025</v>
      </c>
      <c r="B4326" s="108">
        <v>21</v>
      </c>
      <c r="C4326" s="108" t="s">
        <v>138</v>
      </c>
      <c r="D4326" s="108">
        <v>137.92256804917201</v>
      </c>
      <c r="E4326" s="108">
        <v>0</v>
      </c>
      <c r="F4326" s="108" t="s">
        <v>135</v>
      </c>
      <c r="G4326" s="108"/>
      <c r="H4326" s="108">
        <v>1</v>
      </c>
    </row>
    <row r="4327" spans="1:8" ht="14">
      <c r="A4327" s="108">
        <v>2025</v>
      </c>
      <c r="B4327" s="108">
        <v>21</v>
      </c>
      <c r="C4327" s="108" t="s">
        <v>138</v>
      </c>
      <c r="D4327" s="108">
        <v>3.2360000000000002</v>
      </c>
      <c r="E4327" s="108">
        <v>0</v>
      </c>
      <c r="F4327" s="108" t="s">
        <v>137</v>
      </c>
      <c r="G4327" s="108"/>
      <c r="H4327" s="108">
        <v>1</v>
      </c>
    </row>
    <row r="4328" spans="1:8" ht="14">
      <c r="A4328" s="108">
        <v>2025</v>
      </c>
      <c r="B4328" s="108">
        <v>21</v>
      </c>
      <c r="C4328" s="108" t="s">
        <v>139</v>
      </c>
      <c r="D4328" s="108">
        <v>5530.0156077260899</v>
      </c>
      <c r="E4328" s="108">
        <v>0</v>
      </c>
      <c r="F4328" s="108" t="s">
        <v>136</v>
      </c>
      <c r="G4328" s="108"/>
      <c r="H4328" s="108">
        <v>1</v>
      </c>
    </row>
    <row r="4329" spans="1:8" ht="14">
      <c r="A4329" s="108">
        <v>2025</v>
      </c>
      <c r="B4329" s="108">
        <v>21</v>
      </c>
      <c r="C4329" s="108" t="s">
        <v>139</v>
      </c>
      <c r="D4329" s="108">
        <v>123.01366276271</v>
      </c>
      <c r="E4329" s="108">
        <v>0</v>
      </c>
      <c r="F4329" s="108" t="s">
        <v>135</v>
      </c>
      <c r="G4329" s="108"/>
      <c r="H4329" s="108">
        <v>1</v>
      </c>
    </row>
    <row r="4330" spans="1:8" ht="14">
      <c r="A4330" s="108">
        <v>2025</v>
      </c>
      <c r="B4330" s="108">
        <v>22</v>
      </c>
      <c r="C4330" s="108" t="s">
        <v>30</v>
      </c>
      <c r="D4330" s="108">
        <v>4280.2241492283101</v>
      </c>
      <c r="E4330" s="108">
        <v>0</v>
      </c>
      <c r="F4330" s="108" t="s">
        <v>136</v>
      </c>
      <c r="G4330" s="108"/>
      <c r="H4330" s="108">
        <v>1</v>
      </c>
    </row>
    <row r="4331" spans="1:8" ht="14">
      <c r="A4331" s="108">
        <v>2025</v>
      </c>
      <c r="B4331" s="108">
        <v>22</v>
      </c>
      <c r="C4331" s="108" t="s">
        <v>30</v>
      </c>
      <c r="D4331" s="108">
        <v>78.649168388042</v>
      </c>
      <c r="E4331" s="108">
        <v>0</v>
      </c>
      <c r="F4331" s="108" t="s">
        <v>135</v>
      </c>
      <c r="G4331" s="108"/>
      <c r="H4331" s="108">
        <v>1</v>
      </c>
    </row>
    <row r="4332" spans="1:8" ht="14">
      <c r="A4332" s="108">
        <v>2025</v>
      </c>
      <c r="B4332" s="108">
        <v>22</v>
      </c>
      <c r="C4332" s="108" t="s">
        <v>138</v>
      </c>
      <c r="D4332" s="108">
        <v>3311.4890096796798</v>
      </c>
      <c r="E4332" s="108">
        <v>0</v>
      </c>
      <c r="F4332" s="108" t="s">
        <v>136</v>
      </c>
      <c r="G4332" s="108"/>
      <c r="H4332" s="108">
        <v>1</v>
      </c>
    </row>
    <row r="4333" spans="1:8" ht="14">
      <c r="A4333" s="108">
        <v>2025</v>
      </c>
      <c r="B4333" s="108">
        <v>22</v>
      </c>
      <c r="C4333" s="108" t="s">
        <v>138</v>
      </c>
      <c r="D4333" s="108">
        <v>38.293727918731001</v>
      </c>
      <c r="E4333" s="108">
        <v>0</v>
      </c>
      <c r="F4333" s="108" t="s">
        <v>135</v>
      </c>
      <c r="G4333" s="108"/>
      <c r="H4333" s="108">
        <v>1</v>
      </c>
    </row>
    <row r="4334" spans="1:8" ht="14">
      <c r="A4334" s="108">
        <v>2025</v>
      </c>
      <c r="B4334" s="108">
        <v>22</v>
      </c>
      <c r="C4334" s="108" t="s">
        <v>139</v>
      </c>
      <c r="D4334" s="108">
        <v>40.355440469310999</v>
      </c>
      <c r="E4334" s="108">
        <v>0</v>
      </c>
      <c r="F4334" s="108" t="s">
        <v>135</v>
      </c>
      <c r="G4334" s="108"/>
      <c r="H4334" s="108">
        <v>1</v>
      </c>
    </row>
    <row r="4335" spans="1:8" ht="14">
      <c r="A4335" s="108">
        <v>2025</v>
      </c>
      <c r="B4335" s="108">
        <v>22</v>
      </c>
      <c r="C4335" s="108" t="s">
        <v>139</v>
      </c>
      <c r="D4335" s="108">
        <v>968.73513954862199</v>
      </c>
      <c r="E4335" s="108">
        <v>0</v>
      </c>
      <c r="F4335" s="108" t="s">
        <v>136</v>
      </c>
      <c r="G4335" s="108"/>
      <c r="H4335" s="108">
        <v>1</v>
      </c>
    </row>
    <row r="4336" spans="1:8" ht="14">
      <c r="A4336" s="108">
        <v>2025</v>
      </c>
      <c r="B4336" s="108">
        <v>23</v>
      </c>
      <c r="C4336" s="108" t="s">
        <v>30</v>
      </c>
      <c r="D4336" s="108">
        <v>709.89537465925901</v>
      </c>
      <c r="E4336" s="108">
        <v>0</v>
      </c>
      <c r="F4336" s="108" t="s">
        <v>135</v>
      </c>
      <c r="G4336" s="108"/>
      <c r="H4336" s="108">
        <v>1</v>
      </c>
    </row>
    <row r="4337" spans="1:8" ht="14">
      <c r="A4337" s="108">
        <v>2025</v>
      </c>
      <c r="B4337" s="108">
        <v>23</v>
      </c>
      <c r="C4337" s="108" t="s">
        <v>30</v>
      </c>
      <c r="D4337" s="108">
        <v>10178.313565663701</v>
      </c>
      <c r="E4337" s="108">
        <v>0</v>
      </c>
      <c r="F4337" s="108" t="s">
        <v>136</v>
      </c>
      <c r="G4337" s="108"/>
      <c r="H4337" s="108">
        <v>1</v>
      </c>
    </row>
    <row r="4338" spans="1:8" ht="14">
      <c r="A4338" s="108">
        <v>2025</v>
      </c>
      <c r="B4338" s="108">
        <v>23</v>
      </c>
      <c r="C4338" s="108" t="s">
        <v>138</v>
      </c>
      <c r="D4338" s="108">
        <v>360.398990795553</v>
      </c>
      <c r="E4338" s="108">
        <v>0</v>
      </c>
      <c r="F4338" s="108" t="s">
        <v>135</v>
      </c>
      <c r="G4338" s="108"/>
      <c r="H4338" s="108">
        <v>1</v>
      </c>
    </row>
    <row r="4339" spans="1:8" ht="14">
      <c r="A4339" s="108">
        <v>2025</v>
      </c>
      <c r="B4339" s="108">
        <v>23</v>
      </c>
      <c r="C4339" s="108" t="s">
        <v>138</v>
      </c>
      <c r="D4339" s="108">
        <v>9534.0308646868907</v>
      </c>
      <c r="E4339" s="108">
        <v>0</v>
      </c>
      <c r="F4339" s="108" t="s">
        <v>136</v>
      </c>
      <c r="G4339" s="108"/>
      <c r="H4339" s="108">
        <v>1</v>
      </c>
    </row>
    <row r="4340" spans="1:8" ht="14">
      <c r="A4340" s="108">
        <v>2025</v>
      </c>
      <c r="B4340" s="108">
        <v>23</v>
      </c>
      <c r="C4340" s="108" t="s">
        <v>139</v>
      </c>
      <c r="D4340" s="108">
        <v>644.28270097687096</v>
      </c>
      <c r="E4340" s="108">
        <v>0</v>
      </c>
      <c r="F4340" s="108" t="s">
        <v>136</v>
      </c>
      <c r="G4340" s="108"/>
      <c r="H4340" s="108">
        <v>1</v>
      </c>
    </row>
    <row r="4341" spans="1:8" ht="14">
      <c r="A4341" s="108">
        <v>2025</v>
      </c>
      <c r="B4341" s="108">
        <v>23</v>
      </c>
      <c r="C4341" s="108" t="s">
        <v>139</v>
      </c>
      <c r="D4341" s="108">
        <v>349.49638386370498</v>
      </c>
      <c r="E4341" s="108">
        <v>0</v>
      </c>
      <c r="F4341" s="108" t="s">
        <v>135</v>
      </c>
      <c r="G4341" s="108"/>
      <c r="H4341" s="108">
        <v>1</v>
      </c>
    </row>
    <row r="4342" spans="1:8" ht="14">
      <c r="A4342" s="108">
        <v>2025</v>
      </c>
      <c r="B4342" s="108">
        <v>24</v>
      </c>
      <c r="C4342" s="108" t="s">
        <v>30</v>
      </c>
      <c r="D4342" s="108">
        <v>9909.3394861547004</v>
      </c>
      <c r="E4342" s="108">
        <v>0</v>
      </c>
      <c r="F4342" s="108" t="s">
        <v>136</v>
      </c>
      <c r="G4342" s="108"/>
      <c r="H4342" s="108">
        <v>1</v>
      </c>
    </row>
    <row r="4343" spans="1:8" ht="14">
      <c r="A4343" s="108">
        <v>2025</v>
      </c>
      <c r="B4343" s="108">
        <v>24</v>
      </c>
      <c r="C4343" s="108" t="s">
        <v>30</v>
      </c>
      <c r="D4343" s="108">
        <v>25.937402872678</v>
      </c>
      <c r="E4343" s="108">
        <v>0</v>
      </c>
      <c r="F4343" s="108" t="s">
        <v>135</v>
      </c>
      <c r="G4343" s="108"/>
      <c r="H4343" s="108">
        <v>1</v>
      </c>
    </row>
    <row r="4344" spans="1:8" ht="14">
      <c r="A4344" s="108">
        <v>2025</v>
      </c>
      <c r="B4344" s="108">
        <v>24</v>
      </c>
      <c r="C4344" s="108" t="s">
        <v>138</v>
      </c>
      <c r="D4344" s="108">
        <v>23.590402871814</v>
      </c>
      <c r="E4344" s="108">
        <v>0</v>
      </c>
      <c r="F4344" s="108" t="s">
        <v>135</v>
      </c>
      <c r="G4344" s="108"/>
      <c r="H4344" s="108">
        <v>1</v>
      </c>
    </row>
    <row r="4345" spans="1:8" ht="14">
      <c r="A4345" s="108">
        <v>2025</v>
      </c>
      <c r="B4345" s="108">
        <v>24</v>
      </c>
      <c r="C4345" s="108" t="s">
        <v>138</v>
      </c>
      <c r="D4345" s="108">
        <v>9909.3394861547004</v>
      </c>
      <c r="E4345" s="108">
        <v>0</v>
      </c>
      <c r="F4345" s="108" t="s">
        <v>136</v>
      </c>
      <c r="G4345" s="108"/>
      <c r="H4345" s="108">
        <v>1</v>
      </c>
    </row>
    <row r="4346" spans="1:8" ht="14">
      <c r="A4346" s="108">
        <v>2025</v>
      </c>
      <c r="B4346" s="108">
        <v>24</v>
      </c>
      <c r="C4346" s="108" t="s">
        <v>139</v>
      </c>
      <c r="D4346" s="108">
        <v>2.347000000864</v>
      </c>
      <c r="E4346" s="108">
        <v>0</v>
      </c>
      <c r="F4346" s="108" t="s">
        <v>135</v>
      </c>
      <c r="G4346" s="108"/>
      <c r="H4346" s="108">
        <v>1</v>
      </c>
    </row>
    <row r="4347" spans="1:8" ht="14">
      <c r="A4347" s="108">
        <v>2025</v>
      </c>
      <c r="B4347" s="108">
        <v>29</v>
      </c>
      <c r="C4347" s="108" t="s">
        <v>30</v>
      </c>
      <c r="D4347" s="108">
        <v>24445.385645760001</v>
      </c>
      <c r="E4347" s="108">
        <v>0</v>
      </c>
      <c r="F4347" s="108" t="s">
        <v>136</v>
      </c>
      <c r="G4347" s="108"/>
      <c r="H4347" s="108">
        <v>1</v>
      </c>
    </row>
    <row r="4348" spans="1:8" ht="14">
      <c r="A4348" s="108">
        <v>2025</v>
      </c>
      <c r="B4348" s="108">
        <v>29</v>
      </c>
      <c r="C4348" s="108" t="s">
        <v>30</v>
      </c>
      <c r="D4348" s="108">
        <v>19144.485722198398</v>
      </c>
      <c r="E4348" s="108">
        <v>0</v>
      </c>
      <c r="F4348" s="108" t="s">
        <v>135</v>
      </c>
      <c r="G4348" s="108"/>
      <c r="H4348" s="108">
        <v>1</v>
      </c>
    </row>
    <row r="4349" spans="1:8" ht="14">
      <c r="A4349" s="108">
        <v>2025</v>
      </c>
      <c r="B4349" s="108">
        <v>29</v>
      </c>
      <c r="C4349" s="108" t="s">
        <v>138</v>
      </c>
      <c r="D4349" s="108">
        <v>14877.828971385399</v>
      </c>
      <c r="E4349" s="108">
        <v>0</v>
      </c>
      <c r="F4349" s="108" t="s">
        <v>135</v>
      </c>
      <c r="G4349" s="108"/>
      <c r="H4349" s="108">
        <v>1</v>
      </c>
    </row>
    <row r="4350" spans="1:8" ht="14">
      <c r="A4350" s="108">
        <v>2025</v>
      </c>
      <c r="B4350" s="108">
        <v>29</v>
      </c>
      <c r="C4350" s="108" t="s">
        <v>138</v>
      </c>
      <c r="D4350" s="108">
        <v>18132.037901370699</v>
      </c>
      <c r="E4350" s="108">
        <v>0</v>
      </c>
      <c r="F4350" s="108" t="s">
        <v>136</v>
      </c>
      <c r="G4350" s="108"/>
      <c r="H4350" s="108">
        <v>1</v>
      </c>
    </row>
    <row r="4351" spans="1:8" ht="14">
      <c r="A4351" s="108">
        <v>2025</v>
      </c>
      <c r="B4351" s="108">
        <v>29</v>
      </c>
      <c r="C4351" s="108" t="s">
        <v>139</v>
      </c>
      <c r="D4351" s="108">
        <v>6313.3477443892098</v>
      </c>
      <c r="E4351" s="108">
        <v>0</v>
      </c>
      <c r="F4351" s="108" t="s">
        <v>136</v>
      </c>
      <c r="G4351" s="108"/>
      <c r="H4351" s="108">
        <v>1</v>
      </c>
    </row>
    <row r="4352" spans="1:8" ht="14">
      <c r="A4352" s="108">
        <v>2025</v>
      </c>
      <c r="B4352" s="108">
        <v>29</v>
      </c>
      <c r="C4352" s="108" t="s">
        <v>139</v>
      </c>
      <c r="D4352" s="108">
        <v>4266.6567508130202</v>
      </c>
      <c r="E4352" s="108">
        <v>0</v>
      </c>
      <c r="F4352" s="108" t="s">
        <v>135</v>
      </c>
      <c r="G4352" s="108"/>
      <c r="H4352" s="108">
        <v>1</v>
      </c>
    </row>
    <row r="4353" spans="1:8" ht="14">
      <c r="A4353" s="108">
        <v>2025</v>
      </c>
      <c r="B4353" s="108">
        <v>31</v>
      </c>
      <c r="C4353" s="108" t="s">
        <v>30</v>
      </c>
      <c r="D4353" s="108">
        <v>2.0058652315079999</v>
      </c>
      <c r="E4353" s="108">
        <v>0.27840593094900001</v>
      </c>
      <c r="F4353" s="108" t="s">
        <v>137</v>
      </c>
      <c r="G4353" s="108">
        <v>0.27840593094900001</v>
      </c>
      <c r="H4353" s="108">
        <v>1</v>
      </c>
    </row>
    <row r="4354" spans="1:8" ht="14">
      <c r="A4354" s="108">
        <v>2025</v>
      </c>
      <c r="B4354" s="108">
        <v>31</v>
      </c>
      <c r="C4354" s="108" t="s">
        <v>30</v>
      </c>
      <c r="D4354" s="108">
        <v>577.83057651936599</v>
      </c>
      <c r="E4354" s="108">
        <v>42.769134609953902</v>
      </c>
      <c r="F4354" s="108" t="s">
        <v>135</v>
      </c>
      <c r="G4354" s="108">
        <v>42.769134609953902</v>
      </c>
      <c r="H4354" s="108">
        <v>1</v>
      </c>
    </row>
    <row r="4355" spans="1:8" ht="14">
      <c r="A4355" s="108">
        <v>2025</v>
      </c>
      <c r="B4355" s="108">
        <v>31</v>
      </c>
      <c r="C4355" s="108" t="s">
        <v>30</v>
      </c>
      <c r="D4355" s="108">
        <v>17181.119830101699</v>
      </c>
      <c r="E4355" s="108">
        <v>1272.18150783186</v>
      </c>
      <c r="F4355" s="108" t="s">
        <v>136</v>
      </c>
      <c r="G4355" s="108">
        <v>1272.18150783186</v>
      </c>
      <c r="H4355" s="108">
        <v>1</v>
      </c>
    </row>
    <row r="4356" spans="1:8" ht="14">
      <c r="A4356" s="108">
        <v>2025</v>
      </c>
      <c r="B4356" s="108">
        <v>31</v>
      </c>
      <c r="C4356" s="108" t="s">
        <v>138</v>
      </c>
      <c r="D4356" s="108">
        <v>246.406030663899</v>
      </c>
      <c r="E4356" s="108">
        <v>20.027229332455999</v>
      </c>
      <c r="F4356" s="108" t="s">
        <v>135</v>
      </c>
      <c r="G4356" s="108">
        <v>20.027229332455999</v>
      </c>
      <c r="H4356" s="108">
        <v>1</v>
      </c>
    </row>
    <row r="4357" spans="1:8" ht="14">
      <c r="A4357" s="108">
        <v>2025</v>
      </c>
      <c r="B4357" s="108">
        <v>31</v>
      </c>
      <c r="C4357" s="108" t="s">
        <v>138</v>
      </c>
      <c r="D4357" s="108">
        <v>1.9843185023550001</v>
      </c>
      <c r="E4357" s="108">
        <v>8.9316633194999995E-2</v>
      </c>
      <c r="F4357" s="108" t="s">
        <v>137</v>
      </c>
      <c r="G4357" s="108">
        <v>8.9316633194999995E-2</v>
      </c>
      <c r="H4357" s="108">
        <v>1</v>
      </c>
    </row>
    <row r="4358" spans="1:8" ht="14">
      <c r="A4358" s="108">
        <v>2025</v>
      </c>
      <c r="B4358" s="108">
        <v>31</v>
      </c>
      <c r="C4358" s="108" t="s">
        <v>138</v>
      </c>
      <c r="D4358" s="108">
        <v>11534.428274779</v>
      </c>
      <c r="E4358" s="108">
        <v>679.36445397182297</v>
      </c>
      <c r="F4358" s="108" t="s">
        <v>136</v>
      </c>
      <c r="G4358" s="108">
        <v>679.36445397182297</v>
      </c>
      <c r="H4358" s="108">
        <v>1</v>
      </c>
    </row>
    <row r="4359" spans="1:8" ht="14">
      <c r="A4359" s="108">
        <v>2025</v>
      </c>
      <c r="B4359" s="108">
        <v>31</v>
      </c>
      <c r="C4359" s="108" t="s">
        <v>139</v>
      </c>
      <c r="D4359" s="108">
        <v>331.42454585546699</v>
      </c>
      <c r="E4359" s="108">
        <v>22.741905277497999</v>
      </c>
      <c r="F4359" s="108" t="s">
        <v>135</v>
      </c>
      <c r="G4359" s="108">
        <v>22.741905277497999</v>
      </c>
      <c r="H4359" s="108">
        <v>1</v>
      </c>
    </row>
    <row r="4360" spans="1:8" ht="14">
      <c r="A4360" s="108">
        <v>2025</v>
      </c>
      <c r="B4360" s="108">
        <v>31</v>
      </c>
      <c r="C4360" s="108" t="s">
        <v>139</v>
      </c>
      <c r="D4360" s="108">
        <v>5646.6915553228901</v>
      </c>
      <c r="E4360" s="108">
        <v>592.817053859986</v>
      </c>
      <c r="F4360" s="108" t="s">
        <v>136</v>
      </c>
      <c r="G4360" s="108">
        <v>592.817053859986</v>
      </c>
      <c r="H4360" s="108">
        <v>1</v>
      </c>
    </row>
    <row r="4361" spans="1:8" ht="14">
      <c r="A4361" s="108">
        <v>2025</v>
      </c>
      <c r="B4361" s="108">
        <v>31</v>
      </c>
      <c r="C4361" s="108" t="s">
        <v>139</v>
      </c>
      <c r="D4361" s="108">
        <v>2.1546729152999999E-2</v>
      </c>
      <c r="E4361" s="108">
        <v>0.18908929775399999</v>
      </c>
      <c r="F4361" s="108" t="s">
        <v>137</v>
      </c>
      <c r="G4361" s="108">
        <v>0.18908929775399999</v>
      </c>
      <c r="H4361" s="108">
        <v>1</v>
      </c>
    </row>
    <row r="4362" spans="1:8" ht="14">
      <c r="A4362" s="108">
        <v>2025</v>
      </c>
      <c r="B4362" s="108">
        <v>32</v>
      </c>
      <c r="C4362" s="108" t="s">
        <v>30</v>
      </c>
      <c r="D4362" s="108">
        <v>15.759988100542</v>
      </c>
      <c r="E4362" s="108">
        <v>3.4448365026480001</v>
      </c>
      <c r="F4362" s="108" t="s">
        <v>137</v>
      </c>
      <c r="G4362" s="108">
        <v>6.8896730052960002</v>
      </c>
      <c r="H4362" s="108">
        <v>1</v>
      </c>
    </row>
    <row r="4363" spans="1:8" ht="14">
      <c r="A4363" s="108">
        <v>2025</v>
      </c>
      <c r="B4363" s="108">
        <v>32</v>
      </c>
      <c r="C4363" s="108" t="s">
        <v>30</v>
      </c>
      <c r="D4363" s="108">
        <v>1158.99215025081</v>
      </c>
      <c r="E4363" s="108">
        <v>125.78055423685301</v>
      </c>
      <c r="F4363" s="108" t="s">
        <v>135</v>
      </c>
      <c r="G4363" s="108">
        <v>251.56110847370601</v>
      </c>
      <c r="H4363" s="108">
        <v>1</v>
      </c>
    </row>
    <row r="4364" spans="1:8" ht="14">
      <c r="A4364" s="108">
        <v>2025</v>
      </c>
      <c r="B4364" s="108">
        <v>32</v>
      </c>
      <c r="C4364" s="108" t="s">
        <v>30</v>
      </c>
      <c r="D4364" s="108">
        <v>41400.913065928398</v>
      </c>
      <c r="E4364" s="108">
        <v>3992.0555603120401</v>
      </c>
      <c r="F4364" s="108" t="s">
        <v>136</v>
      </c>
      <c r="G4364" s="108">
        <v>7984.1111206240903</v>
      </c>
      <c r="H4364" s="108">
        <v>1</v>
      </c>
    </row>
    <row r="4365" spans="1:8" ht="14">
      <c r="A4365" s="108">
        <v>2025</v>
      </c>
      <c r="B4365" s="108">
        <v>32</v>
      </c>
      <c r="C4365" s="108" t="s">
        <v>138</v>
      </c>
      <c r="D4365" s="108">
        <v>15.699324763710001</v>
      </c>
      <c r="E4365" s="108">
        <v>0.45411681421399902</v>
      </c>
      <c r="F4365" s="108" t="s">
        <v>137</v>
      </c>
      <c r="G4365" s="108">
        <v>0.90823362842799904</v>
      </c>
      <c r="H4365" s="108">
        <v>1</v>
      </c>
    </row>
    <row r="4366" spans="1:8" ht="14">
      <c r="A4366" s="108">
        <v>2025</v>
      </c>
      <c r="B4366" s="108">
        <v>32</v>
      </c>
      <c r="C4366" s="108" t="s">
        <v>138</v>
      </c>
      <c r="D4366" s="108">
        <v>27452.1283250995</v>
      </c>
      <c r="E4366" s="108">
        <v>1997.18799884384</v>
      </c>
      <c r="F4366" s="108" t="s">
        <v>136</v>
      </c>
      <c r="G4366" s="108">
        <v>3994.37599768769</v>
      </c>
      <c r="H4366" s="108">
        <v>1</v>
      </c>
    </row>
    <row r="4367" spans="1:8" ht="14">
      <c r="A4367" s="108">
        <v>2025</v>
      </c>
      <c r="B4367" s="108">
        <v>32</v>
      </c>
      <c r="C4367" s="108" t="s">
        <v>138</v>
      </c>
      <c r="D4367" s="108">
        <v>613.17774352222204</v>
      </c>
      <c r="E4367" s="108">
        <v>65.237884105151906</v>
      </c>
      <c r="F4367" s="108" t="s">
        <v>135</v>
      </c>
      <c r="G4367" s="108">
        <v>130.47576821030299</v>
      </c>
      <c r="H4367" s="108">
        <v>1</v>
      </c>
    </row>
    <row r="4368" spans="1:8" ht="14">
      <c r="A4368" s="108">
        <v>2025</v>
      </c>
      <c r="B4368" s="108">
        <v>32</v>
      </c>
      <c r="C4368" s="108" t="s">
        <v>139</v>
      </c>
      <c r="D4368" s="108">
        <v>13948.784740829</v>
      </c>
      <c r="E4368" s="108">
        <v>1994.86756146828</v>
      </c>
      <c r="F4368" s="108" t="s">
        <v>136</v>
      </c>
      <c r="G4368" s="108">
        <v>3989.7351229365599</v>
      </c>
      <c r="H4368" s="108">
        <v>1</v>
      </c>
    </row>
    <row r="4369" spans="1:8" ht="14">
      <c r="A4369" s="108">
        <v>2025</v>
      </c>
      <c r="B4369" s="108">
        <v>32</v>
      </c>
      <c r="C4369" s="108" t="s">
        <v>139</v>
      </c>
      <c r="D4369" s="108">
        <v>6.0663336832000002E-2</v>
      </c>
      <c r="E4369" s="108">
        <v>2.9907196884339999</v>
      </c>
      <c r="F4369" s="108" t="s">
        <v>137</v>
      </c>
      <c r="G4369" s="108">
        <v>5.9814393768679999</v>
      </c>
      <c r="H4369" s="108">
        <v>1</v>
      </c>
    </row>
    <row r="4370" spans="1:8" ht="14">
      <c r="A4370" s="108">
        <v>2025</v>
      </c>
      <c r="B4370" s="108">
        <v>32</v>
      </c>
      <c r="C4370" s="108" t="s">
        <v>139</v>
      </c>
      <c r="D4370" s="108">
        <v>545.81440672859299</v>
      </c>
      <c r="E4370" s="108">
        <v>60.542670131701001</v>
      </c>
      <c r="F4370" s="108" t="s">
        <v>135</v>
      </c>
      <c r="G4370" s="108">
        <v>121.085340263402</v>
      </c>
      <c r="H4370" s="108">
        <v>1</v>
      </c>
    </row>
    <row r="4371" spans="1:8" ht="14">
      <c r="A4371" s="108">
        <v>2025</v>
      </c>
      <c r="B4371" s="108">
        <v>33</v>
      </c>
      <c r="C4371" s="108" t="s">
        <v>30</v>
      </c>
      <c r="D4371" s="108">
        <v>2.838486320501</v>
      </c>
      <c r="E4371" s="108">
        <v>1.2633036811039999</v>
      </c>
      <c r="F4371" s="108" t="s">
        <v>135</v>
      </c>
      <c r="G4371" s="108">
        <v>1.8949555216559999</v>
      </c>
      <c r="H4371" s="108">
        <v>1</v>
      </c>
    </row>
    <row r="4372" spans="1:8" ht="14">
      <c r="A4372" s="108">
        <v>2025</v>
      </c>
      <c r="B4372" s="108">
        <v>33</v>
      </c>
      <c r="C4372" s="108" t="s">
        <v>30</v>
      </c>
      <c r="D4372" s="108">
        <v>931.13931231050606</v>
      </c>
      <c r="E4372" s="108">
        <v>61.446696320397997</v>
      </c>
      <c r="F4372" s="108" t="s">
        <v>136</v>
      </c>
      <c r="G4372" s="108">
        <v>92.170044480596999</v>
      </c>
      <c r="H4372" s="108">
        <v>1</v>
      </c>
    </row>
    <row r="4373" spans="1:8" ht="14">
      <c r="A4373" s="108">
        <v>2025</v>
      </c>
      <c r="B4373" s="108">
        <v>33</v>
      </c>
      <c r="C4373" s="108" t="s">
        <v>138</v>
      </c>
      <c r="D4373" s="108">
        <v>680.20963432094698</v>
      </c>
      <c r="E4373" s="108">
        <v>29.878503757794999</v>
      </c>
      <c r="F4373" s="108" t="s">
        <v>136</v>
      </c>
      <c r="G4373" s="108">
        <v>44.817755636692397</v>
      </c>
      <c r="H4373" s="108">
        <v>1</v>
      </c>
    </row>
    <row r="4374" spans="1:8" ht="14">
      <c r="A4374" s="108">
        <v>2025</v>
      </c>
      <c r="B4374" s="108">
        <v>33</v>
      </c>
      <c r="C4374" s="108" t="s">
        <v>138</v>
      </c>
      <c r="D4374" s="108">
        <v>1.2346395006849999</v>
      </c>
      <c r="E4374" s="108">
        <v>0.42249624111399903</v>
      </c>
      <c r="F4374" s="108" t="s">
        <v>135</v>
      </c>
      <c r="G4374" s="108">
        <v>0.63374436167100001</v>
      </c>
      <c r="H4374" s="108">
        <v>1</v>
      </c>
    </row>
    <row r="4375" spans="1:8" ht="14">
      <c r="A4375" s="108">
        <v>2025</v>
      </c>
      <c r="B4375" s="108">
        <v>33</v>
      </c>
      <c r="C4375" s="108" t="s">
        <v>139</v>
      </c>
      <c r="D4375" s="108">
        <v>1.6038468198159901</v>
      </c>
      <c r="E4375" s="108">
        <v>0.84080743998999996</v>
      </c>
      <c r="F4375" s="108" t="s">
        <v>135</v>
      </c>
      <c r="G4375" s="108">
        <v>1.261211159985</v>
      </c>
      <c r="H4375" s="108">
        <v>1</v>
      </c>
    </row>
    <row r="4376" spans="1:8" ht="14">
      <c r="A4376" s="108">
        <v>2025</v>
      </c>
      <c r="B4376" s="108">
        <v>33</v>
      </c>
      <c r="C4376" s="108" t="s">
        <v>139</v>
      </c>
      <c r="D4376" s="108">
        <v>250.929677989558</v>
      </c>
      <c r="E4376" s="108">
        <v>31.568192562602999</v>
      </c>
      <c r="F4376" s="108" t="s">
        <v>136</v>
      </c>
      <c r="G4376" s="108">
        <v>47.352288843904397</v>
      </c>
      <c r="H4376" s="108">
        <v>1</v>
      </c>
    </row>
    <row r="4377" spans="1:8" ht="14">
      <c r="A4377" s="108">
        <v>2025</v>
      </c>
      <c r="B4377" s="108">
        <v>34</v>
      </c>
      <c r="C4377" s="108" t="s">
        <v>30</v>
      </c>
      <c r="D4377" s="108">
        <v>112.090893308419</v>
      </c>
      <c r="E4377" s="108">
        <v>11.523041339896</v>
      </c>
      <c r="F4377" s="108" t="s">
        <v>135</v>
      </c>
      <c r="G4377" s="108">
        <v>25.9268430147659</v>
      </c>
      <c r="H4377" s="108">
        <v>1</v>
      </c>
    </row>
    <row r="4378" spans="1:8" ht="14">
      <c r="A4378" s="108">
        <v>2025</v>
      </c>
      <c r="B4378" s="108">
        <v>34</v>
      </c>
      <c r="C4378" s="108" t="s">
        <v>30</v>
      </c>
      <c r="D4378" s="108">
        <v>1.09314487632</v>
      </c>
      <c r="E4378" s="108">
        <v>6.0766613286999997E-2</v>
      </c>
      <c r="F4378" s="108" t="s">
        <v>137</v>
      </c>
      <c r="G4378" s="108">
        <v>0.13672487989575</v>
      </c>
      <c r="H4378" s="108">
        <v>1</v>
      </c>
    </row>
    <row r="4379" spans="1:8" ht="14">
      <c r="A4379" s="108">
        <v>2025</v>
      </c>
      <c r="B4379" s="108">
        <v>34</v>
      </c>
      <c r="C4379" s="108" t="s">
        <v>30</v>
      </c>
      <c r="D4379" s="108">
        <v>5498.7759213934996</v>
      </c>
      <c r="E4379" s="108">
        <v>471.53919199656201</v>
      </c>
      <c r="F4379" s="108" t="s">
        <v>136</v>
      </c>
      <c r="G4379" s="108">
        <v>1060.9631819922599</v>
      </c>
      <c r="H4379" s="108">
        <v>1</v>
      </c>
    </row>
    <row r="4380" spans="1:8" ht="14">
      <c r="A4380" s="108">
        <v>2025</v>
      </c>
      <c r="B4380" s="108">
        <v>34</v>
      </c>
      <c r="C4380" s="108" t="s">
        <v>138</v>
      </c>
      <c r="D4380" s="108">
        <v>1.09314487632</v>
      </c>
      <c r="E4380" s="108">
        <v>2.1531707311999999E-2</v>
      </c>
      <c r="F4380" s="108" t="s">
        <v>137</v>
      </c>
      <c r="G4380" s="108">
        <v>4.8446341451999997E-2</v>
      </c>
      <c r="H4380" s="108">
        <v>1</v>
      </c>
    </row>
    <row r="4381" spans="1:8" ht="14">
      <c r="A4381" s="108">
        <v>2025</v>
      </c>
      <c r="B4381" s="108">
        <v>34</v>
      </c>
      <c r="C4381" s="108" t="s">
        <v>138</v>
      </c>
      <c r="D4381" s="108">
        <v>108.140229587085</v>
      </c>
      <c r="E4381" s="108">
        <v>7.7026698647289997</v>
      </c>
      <c r="F4381" s="108" t="s">
        <v>135</v>
      </c>
      <c r="G4381" s="108">
        <v>17.331007195640201</v>
      </c>
      <c r="H4381" s="108">
        <v>1</v>
      </c>
    </row>
    <row r="4382" spans="1:8" ht="14">
      <c r="A4382" s="108">
        <v>2025</v>
      </c>
      <c r="B4382" s="108">
        <v>34</v>
      </c>
      <c r="C4382" s="108" t="s">
        <v>138</v>
      </c>
      <c r="D4382" s="108">
        <v>4433.0880804400103</v>
      </c>
      <c r="E4382" s="108">
        <v>237.95379839482499</v>
      </c>
      <c r="F4382" s="108" t="s">
        <v>136</v>
      </c>
      <c r="G4382" s="108">
        <v>535.39604638835704</v>
      </c>
      <c r="H4382" s="108">
        <v>1</v>
      </c>
    </row>
    <row r="4383" spans="1:8" ht="14">
      <c r="A4383" s="108">
        <v>2025</v>
      </c>
      <c r="B4383" s="108">
        <v>34</v>
      </c>
      <c r="C4383" s="108" t="s">
        <v>139</v>
      </c>
      <c r="D4383" s="108">
        <v>3.9506637213340001</v>
      </c>
      <c r="E4383" s="108">
        <v>3.8203714751669899</v>
      </c>
      <c r="F4383" s="108" t="s">
        <v>135</v>
      </c>
      <c r="G4383" s="108">
        <v>8.5958358191257496</v>
      </c>
      <c r="H4383" s="108">
        <v>1</v>
      </c>
    </row>
    <row r="4384" spans="1:8" ht="14">
      <c r="A4384" s="108">
        <v>2025</v>
      </c>
      <c r="B4384" s="108">
        <v>34</v>
      </c>
      <c r="C4384" s="108" t="s">
        <v>139</v>
      </c>
      <c r="D4384" s="108">
        <v>0</v>
      </c>
      <c r="E4384" s="108">
        <v>3.9234905974999998E-2</v>
      </c>
      <c r="F4384" s="108" t="s">
        <v>137</v>
      </c>
      <c r="G4384" s="108">
        <v>8.8278538443749999E-2</v>
      </c>
      <c r="H4384" s="108">
        <v>1</v>
      </c>
    </row>
    <row r="4385" spans="1:8" ht="14">
      <c r="A4385" s="108">
        <v>2025</v>
      </c>
      <c r="B4385" s="108">
        <v>34</v>
      </c>
      <c r="C4385" s="108" t="s">
        <v>139</v>
      </c>
      <c r="D4385" s="108">
        <v>1065.68784095349</v>
      </c>
      <c r="E4385" s="108">
        <v>233.585393601736</v>
      </c>
      <c r="F4385" s="108" t="s">
        <v>136</v>
      </c>
      <c r="G4385" s="108">
        <v>525.56713560390597</v>
      </c>
      <c r="H4385" s="108">
        <v>1</v>
      </c>
    </row>
    <row r="4386" spans="1:8" ht="14">
      <c r="A4386" s="108">
        <v>2025</v>
      </c>
      <c r="B4386" s="108">
        <v>51</v>
      </c>
      <c r="C4386" s="108" t="s">
        <v>30</v>
      </c>
      <c r="D4386" s="108">
        <v>9379.7892275950799</v>
      </c>
      <c r="E4386" s="108">
        <v>750.46845545457199</v>
      </c>
      <c r="F4386" s="108" t="s">
        <v>135</v>
      </c>
      <c r="G4386" s="108"/>
      <c r="H4386" s="108">
        <v>1</v>
      </c>
    </row>
    <row r="4387" spans="1:8" ht="14">
      <c r="A4387" s="108">
        <v>2025</v>
      </c>
      <c r="B4387" s="108">
        <v>51</v>
      </c>
      <c r="C4387" s="108" t="s">
        <v>30</v>
      </c>
      <c r="D4387" s="108">
        <v>28023.9230209081</v>
      </c>
      <c r="E4387" s="108">
        <v>3013.4945449523302</v>
      </c>
      <c r="F4387" s="108" t="s">
        <v>136</v>
      </c>
      <c r="G4387" s="108"/>
      <c r="H4387" s="108">
        <v>1</v>
      </c>
    </row>
    <row r="4388" spans="1:8" ht="14">
      <c r="A4388" s="108">
        <v>2025</v>
      </c>
      <c r="B4388" s="108">
        <v>51</v>
      </c>
      <c r="C4388" s="108" t="s">
        <v>138</v>
      </c>
      <c r="D4388" s="108">
        <v>4800.4072446160399</v>
      </c>
      <c r="E4388" s="108">
        <v>378.73071220575002</v>
      </c>
      <c r="F4388" s="108" t="s">
        <v>135</v>
      </c>
      <c r="G4388" s="108"/>
      <c r="H4388" s="108">
        <v>1</v>
      </c>
    </row>
    <row r="4389" spans="1:8" ht="14">
      <c r="A4389" s="108">
        <v>2025</v>
      </c>
      <c r="B4389" s="108">
        <v>51</v>
      </c>
      <c r="C4389" s="108" t="s">
        <v>138</v>
      </c>
      <c r="D4389" s="108">
        <v>18001.751762329601</v>
      </c>
      <c r="E4389" s="108">
        <v>1508.8052877948901</v>
      </c>
      <c r="F4389" s="108" t="s">
        <v>136</v>
      </c>
      <c r="G4389" s="108"/>
      <c r="H4389" s="108">
        <v>1</v>
      </c>
    </row>
    <row r="4390" spans="1:8" ht="14">
      <c r="A4390" s="108">
        <v>2025</v>
      </c>
      <c r="B4390" s="108">
        <v>51</v>
      </c>
      <c r="C4390" s="108" t="s">
        <v>139</v>
      </c>
      <c r="D4390" s="108">
        <v>4579.38198297903</v>
      </c>
      <c r="E4390" s="108">
        <v>371.737743248821</v>
      </c>
      <c r="F4390" s="108" t="s">
        <v>135</v>
      </c>
      <c r="G4390" s="108"/>
      <c r="H4390" s="108">
        <v>1</v>
      </c>
    </row>
    <row r="4391" spans="1:8" ht="14">
      <c r="A4391" s="108">
        <v>2025</v>
      </c>
      <c r="B4391" s="108">
        <v>51</v>
      </c>
      <c r="C4391" s="108" t="s">
        <v>139</v>
      </c>
      <c r="D4391" s="108">
        <v>10022.171258578501</v>
      </c>
      <c r="E4391" s="108">
        <v>1504.6892571574299</v>
      </c>
      <c r="F4391" s="108" t="s">
        <v>136</v>
      </c>
      <c r="G4391" s="108"/>
      <c r="H4391" s="108">
        <v>1</v>
      </c>
    </row>
    <row r="4392" spans="1:8" ht="14">
      <c r="A4392" s="108">
        <v>2025</v>
      </c>
      <c r="B4392" s="108">
        <v>52</v>
      </c>
      <c r="C4392" s="108" t="s">
        <v>30</v>
      </c>
      <c r="D4392" s="108">
        <v>0</v>
      </c>
      <c r="E4392" s="108">
        <v>3559.6720004806798</v>
      </c>
      <c r="F4392" s="108" t="s">
        <v>136</v>
      </c>
      <c r="G4392" s="108"/>
      <c r="H4392" s="108">
        <v>1</v>
      </c>
    </row>
    <row r="4393" spans="1:8" ht="14">
      <c r="A4393" s="108">
        <v>2025</v>
      </c>
      <c r="B4393" s="108">
        <v>52</v>
      </c>
      <c r="C4393" s="108" t="s">
        <v>30</v>
      </c>
      <c r="D4393" s="108">
        <v>0</v>
      </c>
      <c r="E4393" s="108">
        <v>1435.7410000770101</v>
      </c>
      <c r="F4393" s="108" t="s">
        <v>135</v>
      </c>
      <c r="G4393" s="108"/>
      <c r="H4393" s="108">
        <v>1</v>
      </c>
    </row>
    <row r="4394" spans="1:8" ht="14">
      <c r="A4394" s="108">
        <v>2025</v>
      </c>
      <c r="B4394" s="108">
        <v>52</v>
      </c>
      <c r="C4394" s="108" t="s">
        <v>138</v>
      </c>
      <c r="D4394" s="108">
        <v>0</v>
      </c>
      <c r="E4394" s="108">
        <v>720.695000047294</v>
      </c>
      <c r="F4394" s="108" t="s">
        <v>135</v>
      </c>
      <c r="G4394" s="108"/>
      <c r="H4394" s="108">
        <v>1</v>
      </c>
    </row>
    <row r="4395" spans="1:8" ht="14">
      <c r="A4395" s="108">
        <v>2025</v>
      </c>
      <c r="B4395" s="108">
        <v>52</v>
      </c>
      <c r="C4395" s="108" t="s">
        <v>138</v>
      </c>
      <c r="D4395" s="108">
        <v>0</v>
      </c>
      <c r="E4395" s="108">
        <v>1738.2590000326099</v>
      </c>
      <c r="F4395" s="108" t="s">
        <v>136</v>
      </c>
      <c r="G4395" s="108"/>
      <c r="H4395" s="108">
        <v>1</v>
      </c>
    </row>
    <row r="4396" spans="1:8" ht="14">
      <c r="A4396" s="108">
        <v>2025</v>
      </c>
      <c r="B4396" s="108">
        <v>52</v>
      </c>
      <c r="C4396" s="108" t="s">
        <v>139</v>
      </c>
      <c r="D4396" s="108">
        <v>0</v>
      </c>
      <c r="E4396" s="108">
        <v>715.04600002972199</v>
      </c>
      <c r="F4396" s="108" t="s">
        <v>135</v>
      </c>
      <c r="G4396" s="108"/>
      <c r="H4396" s="108">
        <v>1</v>
      </c>
    </row>
    <row r="4397" spans="1:8" ht="14">
      <c r="A4397" s="108">
        <v>2025</v>
      </c>
      <c r="B4397" s="108">
        <v>52</v>
      </c>
      <c r="C4397" s="108" t="s">
        <v>139</v>
      </c>
      <c r="D4397" s="108">
        <v>0</v>
      </c>
      <c r="E4397" s="108">
        <v>1821.4130004480701</v>
      </c>
      <c r="F4397" s="108" t="s">
        <v>136</v>
      </c>
      <c r="G4397" s="108"/>
      <c r="H4397" s="108">
        <v>1</v>
      </c>
    </row>
    <row r="4398" spans="1:8" ht="14">
      <c r="A4398" s="108">
        <v>2025</v>
      </c>
      <c r="B4398" s="108">
        <v>53</v>
      </c>
      <c r="C4398" s="108" t="s">
        <v>30</v>
      </c>
      <c r="D4398" s="108">
        <v>0</v>
      </c>
      <c r="E4398" s="108">
        <v>27.5690000000649</v>
      </c>
      <c r="F4398" s="108" t="s">
        <v>135</v>
      </c>
      <c r="G4398" s="108"/>
      <c r="H4398" s="108">
        <v>1</v>
      </c>
    </row>
    <row r="4399" spans="1:8" ht="14">
      <c r="A4399" s="108">
        <v>2025</v>
      </c>
      <c r="B4399" s="108">
        <v>53</v>
      </c>
      <c r="C4399" s="108" t="s">
        <v>30</v>
      </c>
      <c r="D4399" s="108">
        <v>0</v>
      </c>
      <c r="E4399" s="108">
        <v>80.291999997987006</v>
      </c>
      <c r="F4399" s="108" t="s">
        <v>136</v>
      </c>
      <c r="G4399" s="108"/>
      <c r="H4399" s="108">
        <v>1</v>
      </c>
    </row>
    <row r="4400" spans="1:8" ht="14">
      <c r="A4400" s="108">
        <v>2025</v>
      </c>
      <c r="B4400" s="108">
        <v>53</v>
      </c>
      <c r="C4400" s="108" t="s">
        <v>138</v>
      </c>
      <c r="D4400" s="108">
        <v>0</v>
      </c>
      <c r="E4400" s="108">
        <v>39.951000007426899</v>
      </c>
      <c r="F4400" s="108" t="s">
        <v>136</v>
      </c>
      <c r="G4400" s="108"/>
      <c r="H4400" s="108">
        <v>1</v>
      </c>
    </row>
    <row r="4401" spans="1:8" ht="14">
      <c r="A4401" s="108">
        <v>2025</v>
      </c>
      <c r="B4401" s="108">
        <v>53</v>
      </c>
      <c r="C4401" s="108" t="s">
        <v>138</v>
      </c>
      <c r="D4401" s="108">
        <v>0</v>
      </c>
      <c r="E4401" s="108">
        <v>13.912000000114899</v>
      </c>
      <c r="F4401" s="108" t="s">
        <v>135</v>
      </c>
      <c r="G4401" s="108"/>
      <c r="H4401" s="108">
        <v>1</v>
      </c>
    </row>
    <row r="4402" spans="1:8" ht="14">
      <c r="A4402" s="108">
        <v>2025</v>
      </c>
      <c r="B4402" s="108">
        <v>53</v>
      </c>
      <c r="C4402" s="108" t="s">
        <v>139</v>
      </c>
      <c r="D4402" s="108">
        <v>0</v>
      </c>
      <c r="E4402" s="108">
        <v>13.656999999949999</v>
      </c>
      <c r="F4402" s="108" t="s">
        <v>135</v>
      </c>
      <c r="G4402" s="108"/>
      <c r="H4402" s="108">
        <v>1</v>
      </c>
    </row>
    <row r="4403" spans="1:8" ht="14">
      <c r="A4403" s="108">
        <v>2025</v>
      </c>
      <c r="B4403" s="108">
        <v>53</v>
      </c>
      <c r="C4403" s="108" t="s">
        <v>139</v>
      </c>
      <c r="D4403" s="108">
        <v>0</v>
      </c>
      <c r="E4403" s="108">
        <v>40.34099999056</v>
      </c>
      <c r="F4403" s="108" t="s">
        <v>136</v>
      </c>
      <c r="G4403" s="108"/>
      <c r="H4403" s="108">
        <v>1</v>
      </c>
    </row>
    <row r="4404" spans="1:8" ht="14">
      <c r="A4404" s="108">
        <v>2025</v>
      </c>
      <c r="B4404" s="108">
        <v>54</v>
      </c>
      <c r="C4404" s="108" t="s">
        <v>30</v>
      </c>
      <c r="D4404" s="108">
        <v>97.751586875678996</v>
      </c>
      <c r="E4404" s="108">
        <v>74.261517003696</v>
      </c>
      <c r="F4404" s="108" t="s">
        <v>135</v>
      </c>
      <c r="G4404" s="108"/>
      <c r="H4404" s="108">
        <v>1</v>
      </c>
    </row>
    <row r="4405" spans="1:8" ht="14">
      <c r="A4405" s="108">
        <v>2025</v>
      </c>
      <c r="B4405" s="108">
        <v>54</v>
      </c>
      <c r="C4405" s="108" t="s">
        <v>30</v>
      </c>
      <c r="D4405" s="108">
        <v>5445.3578463469903</v>
      </c>
      <c r="E4405" s="108">
        <v>2703.25848280535</v>
      </c>
      <c r="F4405" s="108" t="s">
        <v>136</v>
      </c>
      <c r="G4405" s="108"/>
      <c r="H4405" s="108">
        <v>1</v>
      </c>
    </row>
    <row r="4406" spans="1:8" ht="14">
      <c r="A4406" s="108">
        <v>2025</v>
      </c>
      <c r="B4406" s="108">
        <v>54</v>
      </c>
      <c r="C4406" s="108" t="s">
        <v>30</v>
      </c>
      <c r="D4406" s="108">
        <v>7.2700000021499998</v>
      </c>
      <c r="E4406" s="108">
        <v>0.50400000001</v>
      </c>
      <c r="F4406" s="108" t="s">
        <v>137</v>
      </c>
      <c r="G4406" s="108"/>
      <c r="H4406" s="108">
        <v>1</v>
      </c>
    </row>
    <row r="4407" spans="1:8" ht="14">
      <c r="A4407" s="108">
        <v>2025</v>
      </c>
      <c r="B4407" s="108">
        <v>54</v>
      </c>
      <c r="C4407" s="108" t="s">
        <v>138</v>
      </c>
      <c r="D4407" s="108">
        <v>4167.0164720570801</v>
      </c>
      <c r="E4407" s="108">
        <v>2154.8975725589999</v>
      </c>
      <c r="F4407" s="108" t="s">
        <v>136</v>
      </c>
      <c r="G4407" s="108"/>
      <c r="H4407" s="108">
        <v>1</v>
      </c>
    </row>
    <row r="4408" spans="1:8" ht="14">
      <c r="A4408" s="108">
        <v>2025</v>
      </c>
      <c r="B4408" s="108">
        <v>54</v>
      </c>
      <c r="C4408" s="108" t="s">
        <v>138</v>
      </c>
      <c r="D4408" s="108">
        <v>7.2700000021499998</v>
      </c>
      <c r="E4408" s="108">
        <v>0.50400000001</v>
      </c>
      <c r="F4408" s="108" t="s">
        <v>137</v>
      </c>
      <c r="G4408" s="108"/>
      <c r="H4408" s="108">
        <v>1</v>
      </c>
    </row>
    <row r="4409" spans="1:8" ht="14">
      <c r="A4409" s="108">
        <v>2025</v>
      </c>
      <c r="B4409" s="108">
        <v>54</v>
      </c>
      <c r="C4409" s="108" t="s">
        <v>138</v>
      </c>
      <c r="D4409" s="108">
        <v>46.364975306801</v>
      </c>
      <c r="E4409" s="108">
        <v>40.064427057205997</v>
      </c>
      <c r="F4409" s="108" t="s">
        <v>135</v>
      </c>
      <c r="G4409" s="108"/>
      <c r="H4409" s="108">
        <v>1</v>
      </c>
    </row>
    <row r="4410" spans="1:8" ht="14">
      <c r="A4410" s="108">
        <v>2025</v>
      </c>
      <c r="B4410" s="108">
        <v>54</v>
      </c>
      <c r="C4410" s="108" t="s">
        <v>139</v>
      </c>
      <c r="D4410" s="108">
        <v>1278.3413742899199</v>
      </c>
      <c r="E4410" s="108">
        <v>548.36091024634402</v>
      </c>
      <c r="F4410" s="108" t="s">
        <v>136</v>
      </c>
      <c r="G4410" s="108"/>
      <c r="H4410" s="108">
        <v>1</v>
      </c>
    </row>
    <row r="4411" spans="1:8" ht="14">
      <c r="A4411" s="108">
        <v>2025</v>
      </c>
      <c r="B4411" s="108">
        <v>54</v>
      </c>
      <c r="C4411" s="108" t="s">
        <v>139</v>
      </c>
      <c r="D4411" s="108">
        <v>51.386611568878003</v>
      </c>
      <c r="E4411" s="108">
        <v>34.197089946490003</v>
      </c>
      <c r="F4411" s="108" t="s">
        <v>135</v>
      </c>
      <c r="G4411" s="108"/>
      <c r="H4411" s="108">
        <v>1</v>
      </c>
    </row>
    <row r="4412" spans="1:8" ht="14">
      <c r="A4412" s="108">
        <v>2025</v>
      </c>
      <c r="B4412" s="108">
        <v>59</v>
      </c>
      <c r="C4412" s="108" t="s">
        <v>30</v>
      </c>
      <c r="D4412" s="108">
        <v>123.97768000001</v>
      </c>
      <c r="E4412" s="108">
        <v>15.881999999993999</v>
      </c>
      <c r="F4412" s="108" t="s">
        <v>136</v>
      </c>
      <c r="G4412" s="108"/>
      <c r="H4412" s="108">
        <v>1</v>
      </c>
    </row>
    <row r="4413" spans="1:8" ht="14">
      <c r="A4413" s="108">
        <v>2025</v>
      </c>
      <c r="B4413" s="108">
        <v>59</v>
      </c>
      <c r="C4413" s="108" t="s">
        <v>138</v>
      </c>
      <c r="D4413" s="108">
        <v>76.977000000019999</v>
      </c>
      <c r="E4413" s="108">
        <v>8.7080000000059901</v>
      </c>
      <c r="F4413" s="108" t="s">
        <v>136</v>
      </c>
      <c r="G4413" s="108"/>
      <c r="H4413" s="108">
        <v>1</v>
      </c>
    </row>
    <row r="4414" spans="1:8" ht="14">
      <c r="A4414" s="108">
        <v>2025</v>
      </c>
      <c r="B4414" s="108">
        <v>59</v>
      </c>
      <c r="C4414" s="108" t="s">
        <v>139</v>
      </c>
      <c r="D4414" s="108">
        <v>47.000679999991</v>
      </c>
      <c r="E4414" s="108">
        <v>7.1739999999880002</v>
      </c>
      <c r="F4414" s="108" t="s">
        <v>136</v>
      </c>
      <c r="G4414" s="108"/>
      <c r="H4414" s="108">
        <v>1</v>
      </c>
    </row>
    <row r="4415" spans="1:8" ht="14">
      <c r="A4415" s="108">
        <v>2025</v>
      </c>
      <c r="B4415" s="108">
        <v>61</v>
      </c>
      <c r="C4415" s="108" t="s">
        <v>30</v>
      </c>
      <c r="D4415" s="108">
        <v>26390.503422764501</v>
      </c>
      <c r="E4415" s="108">
        <v>1977.6894824691201</v>
      </c>
      <c r="F4415" s="108" t="s">
        <v>136</v>
      </c>
      <c r="G4415" s="108"/>
      <c r="H4415" s="108">
        <v>1</v>
      </c>
    </row>
    <row r="4416" spans="1:8" ht="14">
      <c r="A4416" s="108">
        <v>2025</v>
      </c>
      <c r="B4416" s="108">
        <v>61</v>
      </c>
      <c r="C4416" s="108" t="s">
        <v>30</v>
      </c>
      <c r="D4416" s="108">
        <v>20034.043173274102</v>
      </c>
      <c r="E4416" s="108">
        <v>1268.2055173189001</v>
      </c>
      <c r="F4416" s="108" t="s">
        <v>135</v>
      </c>
      <c r="G4416" s="108"/>
      <c r="H4416" s="108">
        <v>1</v>
      </c>
    </row>
    <row r="4417" spans="1:8" ht="14">
      <c r="A4417" s="108">
        <v>2025</v>
      </c>
      <c r="B4417" s="108">
        <v>61</v>
      </c>
      <c r="C4417" s="108" t="s">
        <v>138</v>
      </c>
      <c r="D4417" s="108">
        <v>16936.202750446599</v>
      </c>
      <c r="E4417" s="108">
        <v>1004.01867600293</v>
      </c>
      <c r="F4417" s="108" t="s">
        <v>136</v>
      </c>
      <c r="G4417" s="108"/>
      <c r="H4417" s="108">
        <v>1</v>
      </c>
    </row>
    <row r="4418" spans="1:8" ht="14">
      <c r="A4418" s="108">
        <v>2025</v>
      </c>
      <c r="B4418" s="108">
        <v>61</v>
      </c>
      <c r="C4418" s="108" t="s">
        <v>138</v>
      </c>
      <c r="D4418" s="108">
        <v>9918.5288395227508</v>
      </c>
      <c r="E4418" s="108">
        <v>636.15132391626901</v>
      </c>
      <c r="F4418" s="108" t="s">
        <v>135</v>
      </c>
      <c r="G4418" s="108"/>
      <c r="H4418" s="108">
        <v>1</v>
      </c>
    </row>
    <row r="4419" spans="1:8" ht="14">
      <c r="A4419" s="108">
        <v>2025</v>
      </c>
      <c r="B4419" s="108">
        <v>61</v>
      </c>
      <c r="C4419" s="108" t="s">
        <v>139</v>
      </c>
      <c r="D4419" s="108">
        <v>9454.3006723178205</v>
      </c>
      <c r="E4419" s="108">
        <v>973.67080646620002</v>
      </c>
      <c r="F4419" s="108" t="s">
        <v>136</v>
      </c>
      <c r="G4419" s="108"/>
      <c r="H4419" s="108">
        <v>1</v>
      </c>
    </row>
    <row r="4420" spans="1:8" ht="14">
      <c r="A4420" s="108">
        <v>2025</v>
      </c>
      <c r="B4420" s="108">
        <v>61</v>
      </c>
      <c r="C4420" s="108" t="s">
        <v>139</v>
      </c>
      <c r="D4420" s="108">
        <v>10115.5143337514</v>
      </c>
      <c r="E4420" s="108">
        <v>632.05419340263495</v>
      </c>
      <c r="F4420" s="108" t="s">
        <v>135</v>
      </c>
      <c r="G4420" s="108"/>
      <c r="H4420" s="108">
        <v>1</v>
      </c>
    </row>
    <row r="4421" spans="1:8" ht="14">
      <c r="A4421" s="108">
        <v>2025</v>
      </c>
      <c r="B4421" s="108">
        <v>62</v>
      </c>
      <c r="C4421" s="108" t="s">
        <v>30</v>
      </c>
      <c r="D4421" s="108">
        <v>20.275544119884</v>
      </c>
      <c r="E4421" s="108">
        <v>18.147974890830898</v>
      </c>
      <c r="F4421" s="108" t="s">
        <v>135</v>
      </c>
      <c r="G4421" s="108"/>
      <c r="H4421" s="108">
        <v>1</v>
      </c>
    </row>
    <row r="4422" spans="1:8" ht="14">
      <c r="A4422" s="108">
        <v>2025</v>
      </c>
      <c r="B4422" s="108">
        <v>62</v>
      </c>
      <c r="C4422" s="108" t="s">
        <v>30</v>
      </c>
      <c r="D4422" s="108">
        <v>133.49693586978</v>
      </c>
      <c r="E4422" s="108">
        <v>17.577025102428902</v>
      </c>
      <c r="F4422" s="108" t="s">
        <v>136</v>
      </c>
      <c r="G4422" s="108"/>
      <c r="H4422" s="108">
        <v>1</v>
      </c>
    </row>
    <row r="4423" spans="1:8" ht="14">
      <c r="A4423" s="108">
        <v>2025</v>
      </c>
      <c r="B4423" s="108">
        <v>62</v>
      </c>
      <c r="C4423" s="108" t="s">
        <v>138</v>
      </c>
      <c r="D4423" s="108">
        <v>2.688937624592</v>
      </c>
      <c r="E4423" s="108">
        <v>1.322420512898</v>
      </c>
      <c r="F4423" s="108" t="s">
        <v>135</v>
      </c>
      <c r="G4423" s="108"/>
      <c r="H4423" s="108">
        <v>1</v>
      </c>
    </row>
    <row r="4424" spans="1:8" ht="14">
      <c r="A4424" s="108">
        <v>2025</v>
      </c>
      <c r="B4424" s="108">
        <v>62</v>
      </c>
      <c r="C4424" s="108" t="s">
        <v>138</v>
      </c>
      <c r="D4424" s="108">
        <v>97.414562371921903</v>
      </c>
      <c r="E4424" s="108">
        <v>9.5355794858280003</v>
      </c>
      <c r="F4424" s="108" t="s">
        <v>136</v>
      </c>
      <c r="G4424" s="108"/>
      <c r="H4424" s="108">
        <v>1</v>
      </c>
    </row>
    <row r="4425" spans="1:8" ht="14">
      <c r="A4425" s="108">
        <v>2025</v>
      </c>
      <c r="B4425" s="108">
        <v>62</v>
      </c>
      <c r="C4425" s="108" t="s">
        <v>139</v>
      </c>
      <c r="D4425" s="108">
        <v>36.082373497858903</v>
      </c>
      <c r="E4425" s="108">
        <v>8.0414456166009796</v>
      </c>
      <c r="F4425" s="108" t="s">
        <v>136</v>
      </c>
      <c r="G4425" s="108"/>
      <c r="H4425" s="108">
        <v>1</v>
      </c>
    </row>
    <row r="4426" spans="1:8" ht="14">
      <c r="A4426" s="108">
        <v>2025</v>
      </c>
      <c r="B4426" s="108">
        <v>62</v>
      </c>
      <c r="C4426" s="108" t="s">
        <v>139</v>
      </c>
      <c r="D4426" s="108">
        <v>17.586606495291999</v>
      </c>
      <c r="E4426" s="108">
        <v>16.825554377932999</v>
      </c>
      <c r="F4426" s="108" t="s">
        <v>135</v>
      </c>
      <c r="G4426" s="108"/>
      <c r="H4426" s="108">
        <v>1</v>
      </c>
    </row>
    <row r="4427" spans="1:8" ht="14">
      <c r="A4427" s="108">
        <v>2025</v>
      </c>
      <c r="B4427" s="108">
        <v>63</v>
      </c>
      <c r="C4427" s="108" t="s">
        <v>30</v>
      </c>
      <c r="D4427" s="108">
        <v>7358.4912907787702</v>
      </c>
      <c r="E4427" s="108">
        <v>429.51399992854499</v>
      </c>
      <c r="F4427" s="108" t="s">
        <v>136</v>
      </c>
      <c r="G4427" s="108"/>
      <c r="H4427" s="108">
        <v>1</v>
      </c>
    </row>
    <row r="4428" spans="1:8" ht="14">
      <c r="A4428" s="108">
        <v>2025</v>
      </c>
      <c r="B4428" s="108">
        <v>63</v>
      </c>
      <c r="C4428" s="108" t="s">
        <v>30</v>
      </c>
      <c r="D4428" s="108">
        <v>31.395999999502902</v>
      </c>
      <c r="E4428" s="108">
        <v>7.9719999999339999</v>
      </c>
      <c r="F4428" s="108" t="s">
        <v>135</v>
      </c>
      <c r="G4428" s="108"/>
      <c r="H4428" s="108">
        <v>1</v>
      </c>
    </row>
    <row r="4429" spans="1:8" ht="14">
      <c r="A4429" s="108">
        <v>2025</v>
      </c>
      <c r="B4429" s="108">
        <v>63</v>
      </c>
      <c r="C4429" s="108" t="s">
        <v>138</v>
      </c>
      <c r="D4429" s="108">
        <v>17.455000000036001</v>
      </c>
      <c r="E4429" s="108">
        <v>3.9839999999339999</v>
      </c>
      <c r="F4429" s="108" t="s">
        <v>135</v>
      </c>
      <c r="G4429" s="108"/>
      <c r="H4429" s="108">
        <v>1</v>
      </c>
    </row>
    <row r="4430" spans="1:8" ht="14">
      <c r="A4430" s="108">
        <v>2025</v>
      </c>
      <c r="B4430" s="108">
        <v>63</v>
      </c>
      <c r="C4430" s="108" t="s">
        <v>138</v>
      </c>
      <c r="D4430" s="108">
        <v>5756.6532013463102</v>
      </c>
      <c r="E4430" s="108">
        <v>229.153999991912</v>
      </c>
      <c r="F4430" s="108" t="s">
        <v>136</v>
      </c>
      <c r="G4430" s="108"/>
      <c r="H4430" s="108">
        <v>1</v>
      </c>
    </row>
    <row r="4431" spans="1:8" ht="14">
      <c r="A4431" s="108">
        <v>2025</v>
      </c>
      <c r="B4431" s="108">
        <v>63</v>
      </c>
      <c r="C4431" s="108" t="s">
        <v>139</v>
      </c>
      <c r="D4431" s="108">
        <v>13.940999999467</v>
      </c>
      <c r="E4431" s="108">
        <v>3.988</v>
      </c>
      <c r="F4431" s="108" t="s">
        <v>135</v>
      </c>
      <c r="G4431" s="108"/>
      <c r="H4431" s="108">
        <v>1</v>
      </c>
    </row>
    <row r="4432" spans="1:8" ht="14">
      <c r="A4432" s="108">
        <v>2025</v>
      </c>
      <c r="B4432" s="108">
        <v>63</v>
      </c>
      <c r="C4432" s="108" t="s">
        <v>139</v>
      </c>
      <c r="D4432" s="108">
        <v>1601.83808943245</v>
      </c>
      <c r="E4432" s="108">
        <v>200.35999993663199</v>
      </c>
      <c r="F4432" s="108" t="s">
        <v>136</v>
      </c>
      <c r="G4432" s="108"/>
      <c r="H4432" s="108">
        <v>1</v>
      </c>
    </row>
    <row r="4433" spans="1:8" ht="14">
      <c r="A4433" s="108">
        <v>2025</v>
      </c>
      <c r="B4433" s="108">
        <v>69</v>
      </c>
      <c r="C4433" s="108" t="s">
        <v>30</v>
      </c>
      <c r="D4433" s="108">
        <v>3.3149999999999999</v>
      </c>
      <c r="E4433" s="108">
        <v>1.2</v>
      </c>
      <c r="F4433" s="108" t="s">
        <v>136</v>
      </c>
      <c r="G4433" s="108"/>
      <c r="H4433" s="108">
        <v>1</v>
      </c>
    </row>
    <row r="4434" spans="1:8" ht="14">
      <c r="A4434" s="108">
        <v>2025</v>
      </c>
      <c r="B4434" s="108">
        <v>69</v>
      </c>
      <c r="C4434" s="108" t="s">
        <v>138</v>
      </c>
      <c r="D4434" s="108">
        <v>3.3149999999999999</v>
      </c>
      <c r="E4434" s="108">
        <v>1.1990000000000001</v>
      </c>
      <c r="F4434" s="108" t="s">
        <v>136</v>
      </c>
      <c r="G4434" s="108"/>
      <c r="H4434" s="108">
        <v>1</v>
      </c>
    </row>
    <row r="4435" spans="1:8" ht="14">
      <c r="A4435" s="108">
        <v>2025</v>
      </c>
      <c r="B4435" s="108">
        <v>69</v>
      </c>
      <c r="C4435" s="108" t="s">
        <v>139</v>
      </c>
      <c r="D4435" s="108">
        <v>0</v>
      </c>
      <c r="E4435" s="108">
        <v>1E-3</v>
      </c>
      <c r="F4435" s="108" t="s">
        <v>136</v>
      </c>
      <c r="G4435" s="108"/>
      <c r="H4435" s="108">
        <v>1</v>
      </c>
    </row>
    <row r="4436" spans="1:8" ht="14">
      <c r="A4436" s="108">
        <v>2025</v>
      </c>
      <c r="B4436" s="108">
        <v>91</v>
      </c>
      <c r="C4436" s="108" t="s">
        <v>30</v>
      </c>
      <c r="D4436" s="108">
        <v>4392.4748876127396</v>
      </c>
      <c r="E4436" s="108">
        <v>0</v>
      </c>
      <c r="F4436" s="108" t="s">
        <v>136</v>
      </c>
      <c r="G4436" s="108"/>
      <c r="H4436" s="108">
        <v>1</v>
      </c>
    </row>
    <row r="4437" spans="1:8" ht="14">
      <c r="A4437" s="108">
        <v>2025</v>
      </c>
      <c r="B4437" s="108">
        <v>91</v>
      </c>
      <c r="C4437" s="108" t="s">
        <v>30</v>
      </c>
      <c r="D4437" s="108">
        <v>97.741177654772997</v>
      </c>
      <c r="E4437" s="108">
        <v>0</v>
      </c>
      <c r="F4437" s="108" t="s">
        <v>135</v>
      </c>
      <c r="G4437" s="108"/>
      <c r="H4437" s="108">
        <v>1</v>
      </c>
    </row>
    <row r="4438" spans="1:8" ht="14">
      <c r="A4438" s="108">
        <v>2025</v>
      </c>
      <c r="B4438" s="108">
        <v>91</v>
      </c>
      <c r="C4438" s="108" t="s">
        <v>30</v>
      </c>
      <c r="D4438" s="108">
        <v>4.5979999999999999</v>
      </c>
      <c r="E4438" s="108">
        <v>0</v>
      </c>
      <c r="F4438" s="108" t="s">
        <v>137</v>
      </c>
      <c r="G4438" s="108"/>
      <c r="H4438" s="108">
        <v>1</v>
      </c>
    </row>
    <row r="4439" spans="1:8" ht="14">
      <c r="A4439" s="108">
        <v>2025</v>
      </c>
      <c r="B4439" s="108">
        <v>91</v>
      </c>
      <c r="C4439" s="108" t="s">
        <v>138</v>
      </c>
      <c r="D4439" s="108">
        <v>4235.7725487725802</v>
      </c>
      <c r="E4439" s="108">
        <v>0</v>
      </c>
      <c r="F4439" s="108" t="s">
        <v>136</v>
      </c>
      <c r="G4439" s="108"/>
      <c r="H4439" s="108">
        <v>1</v>
      </c>
    </row>
    <row r="4440" spans="1:8" ht="14">
      <c r="A4440" s="108">
        <v>2025</v>
      </c>
      <c r="B4440" s="108">
        <v>91</v>
      </c>
      <c r="C4440" s="108" t="s">
        <v>138</v>
      </c>
      <c r="D4440" s="108">
        <v>80.418711504862998</v>
      </c>
      <c r="E4440" s="108">
        <v>0</v>
      </c>
      <c r="F4440" s="108" t="s">
        <v>135</v>
      </c>
      <c r="G4440" s="108"/>
      <c r="H4440" s="108">
        <v>1</v>
      </c>
    </row>
    <row r="4441" spans="1:8" ht="14">
      <c r="A4441" s="108">
        <v>2025</v>
      </c>
      <c r="B4441" s="108">
        <v>91</v>
      </c>
      <c r="C4441" s="108" t="s">
        <v>139</v>
      </c>
      <c r="D4441" s="108">
        <v>4.5979999999999999</v>
      </c>
      <c r="E4441" s="108">
        <v>0</v>
      </c>
      <c r="F4441" s="108" t="s">
        <v>137</v>
      </c>
      <c r="G4441" s="108"/>
      <c r="H4441" s="108">
        <v>1</v>
      </c>
    </row>
    <row r="4442" spans="1:8" ht="14">
      <c r="A4442" s="108">
        <v>2025</v>
      </c>
      <c r="B4442" s="108">
        <v>91</v>
      </c>
      <c r="C4442" s="108" t="s">
        <v>139</v>
      </c>
      <c r="D4442" s="108">
        <v>17.3224661499099</v>
      </c>
      <c r="E4442" s="108">
        <v>0</v>
      </c>
      <c r="F4442" s="108" t="s">
        <v>135</v>
      </c>
      <c r="G4442" s="108"/>
      <c r="H4442" s="108">
        <v>1</v>
      </c>
    </row>
    <row r="4443" spans="1:8" ht="14">
      <c r="A4443" s="108">
        <v>2025</v>
      </c>
      <c r="B4443" s="108">
        <v>91</v>
      </c>
      <c r="C4443" s="108" t="s">
        <v>139</v>
      </c>
      <c r="D4443" s="108">
        <v>156.70233884016801</v>
      </c>
      <c r="E4443" s="108">
        <v>0</v>
      </c>
      <c r="F4443" s="108" t="s">
        <v>136</v>
      </c>
      <c r="G4443" s="108"/>
      <c r="H4443" s="108">
        <v>1</v>
      </c>
    </row>
    <row r="4444" spans="1:8" ht="14">
      <c r="A4444" s="108">
        <v>2025</v>
      </c>
      <c r="B4444" s="108">
        <v>92</v>
      </c>
      <c r="C4444" s="108" t="s">
        <v>30</v>
      </c>
      <c r="D4444" s="108">
        <v>35.204999999999998</v>
      </c>
      <c r="E4444" s="108">
        <v>0</v>
      </c>
      <c r="F4444" s="108" t="s">
        <v>137</v>
      </c>
      <c r="G4444" s="108"/>
      <c r="H4444" s="108">
        <v>1</v>
      </c>
    </row>
    <row r="4445" spans="1:8" ht="14">
      <c r="A4445" s="108">
        <v>2025</v>
      </c>
      <c r="B4445" s="108">
        <v>92</v>
      </c>
      <c r="C4445" s="108" t="s">
        <v>30</v>
      </c>
      <c r="D4445" s="108">
        <v>226.66464189697501</v>
      </c>
      <c r="E4445" s="108">
        <v>0</v>
      </c>
      <c r="F4445" s="108" t="s">
        <v>135</v>
      </c>
      <c r="G4445" s="108"/>
      <c r="H4445" s="108">
        <v>1</v>
      </c>
    </row>
    <row r="4446" spans="1:8" ht="14">
      <c r="A4446" s="108">
        <v>2025</v>
      </c>
      <c r="B4446" s="108">
        <v>92</v>
      </c>
      <c r="C4446" s="108" t="s">
        <v>30</v>
      </c>
      <c r="D4446" s="108">
        <v>7579.5381179451297</v>
      </c>
      <c r="E4446" s="108">
        <v>0</v>
      </c>
      <c r="F4446" s="108" t="s">
        <v>136</v>
      </c>
      <c r="G4446" s="108"/>
      <c r="H4446" s="108">
        <v>1</v>
      </c>
    </row>
    <row r="4447" spans="1:8" ht="14">
      <c r="A4447" s="108">
        <v>2025</v>
      </c>
      <c r="B4447" s="108">
        <v>92</v>
      </c>
      <c r="C4447" s="108" t="s">
        <v>138</v>
      </c>
      <c r="D4447" s="108">
        <v>6418.13330978063</v>
      </c>
      <c r="E4447" s="108">
        <v>0</v>
      </c>
      <c r="F4447" s="108" t="s">
        <v>136</v>
      </c>
      <c r="G4447" s="108"/>
      <c r="H4447" s="108">
        <v>1</v>
      </c>
    </row>
    <row r="4448" spans="1:8" ht="14">
      <c r="A4448" s="108">
        <v>2025</v>
      </c>
      <c r="B4448" s="108">
        <v>92</v>
      </c>
      <c r="C4448" s="108" t="s">
        <v>138</v>
      </c>
      <c r="D4448" s="108">
        <v>128.05602788674901</v>
      </c>
      <c r="E4448" s="108">
        <v>0</v>
      </c>
      <c r="F4448" s="108" t="s">
        <v>135</v>
      </c>
      <c r="G4448" s="108"/>
      <c r="H4448" s="108">
        <v>1</v>
      </c>
    </row>
    <row r="4449" spans="1:8" ht="14">
      <c r="A4449" s="108">
        <v>2025</v>
      </c>
      <c r="B4449" s="108">
        <v>92</v>
      </c>
      <c r="C4449" s="108" t="s">
        <v>139</v>
      </c>
      <c r="D4449" s="108">
        <v>98.608614010225907</v>
      </c>
      <c r="E4449" s="108">
        <v>0</v>
      </c>
      <c r="F4449" s="108" t="s">
        <v>135</v>
      </c>
      <c r="G4449" s="108"/>
      <c r="H4449" s="108">
        <v>1</v>
      </c>
    </row>
    <row r="4450" spans="1:8" ht="14">
      <c r="A4450" s="108">
        <v>2025</v>
      </c>
      <c r="B4450" s="108">
        <v>92</v>
      </c>
      <c r="C4450" s="108" t="s">
        <v>139</v>
      </c>
      <c r="D4450" s="108">
        <v>1161.4048081645001</v>
      </c>
      <c r="E4450" s="108">
        <v>0</v>
      </c>
      <c r="F4450" s="108" t="s">
        <v>136</v>
      </c>
      <c r="G4450" s="108"/>
      <c r="H4450" s="108">
        <v>1</v>
      </c>
    </row>
    <row r="4451" spans="1:8" ht="14">
      <c r="A4451" s="108">
        <v>2025</v>
      </c>
      <c r="B4451" s="108">
        <v>92</v>
      </c>
      <c r="C4451" s="108" t="s">
        <v>139</v>
      </c>
      <c r="D4451" s="108">
        <v>35.204999999999998</v>
      </c>
      <c r="E4451" s="108">
        <v>0</v>
      </c>
      <c r="F4451" s="108" t="s">
        <v>137</v>
      </c>
      <c r="G4451" s="108"/>
      <c r="H4451" s="108">
        <v>1</v>
      </c>
    </row>
    <row r="4452" spans="1:8" ht="14">
      <c r="A4452" s="108">
        <v>2025</v>
      </c>
      <c r="B4452" s="108">
        <v>93</v>
      </c>
      <c r="C4452" s="108" t="s">
        <v>30</v>
      </c>
      <c r="D4452" s="108">
        <v>297.68321426721502</v>
      </c>
      <c r="E4452" s="108">
        <v>0</v>
      </c>
      <c r="F4452" s="108" t="s">
        <v>136</v>
      </c>
      <c r="G4452" s="108"/>
      <c r="H4452" s="108">
        <v>1</v>
      </c>
    </row>
    <row r="4453" spans="1:8" ht="14">
      <c r="A4453" s="108">
        <v>2025</v>
      </c>
      <c r="B4453" s="108">
        <v>93</v>
      </c>
      <c r="C4453" s="108" t="s">
        <v>30</v>
      </c>
      <c r="D4453" s="108">
        <v>99.749154037770893</v>
      </c>
      <c r="E4453" s="108">
        <v>0</v>
      </c>
      <c r="F4453" s="108" t="s">
        <v>137</v>
      </c>
      <c r="G4453" s="108"/>
      <c r="H4453" s="108">
        <v>1</v>
      </c>
    </row>
    <row r="4454" spans="1:8" ht="14">
      <c r="A4454" s="108">
        <v>2025</v>
      </c>
      <c r="B4454" s="108">
        <v>93</v>
      </c>
      <c r="C4454" s="108" t="s">
        <v>30</v>
      </c>
      <c r="D4454" s="108">
        <v>224.07019674737501</v>
      </c>
      <c r="E4454" s="108">
        <v>0</v>
      </c>
      <c r="F4454" s="108" t="s">
        <v>135</v>
      </c>
      <c r="G4454" s="108"/>
      <c r="H4454" s="108">
        <v>1</v>
      </c>
    </row>
    <row r="4455" spans="1:8" ht="14">
      <c r="A4455" s="108">
        <v>2025</v>
      </c>
      <c r="B4455" s="108">
        <v>93</v>
      </c>
      <c r="C4455" s="108" t="s">
        <v>138</v>
      </c>
      <c r="D4455" s="108">
        <v>93.835196746476001</v>
      </c>
      <c r="E4455" s="108">
        <v>0</v>
      </c>
      <c r="F4455" s="108" t="s">
        <v>135</v>
      </c>
      <c r="G4455" s="108"/>
      <c r="H4455" s="108">
        <v>1</v>
      </c>
    </row>
    <row r="4456" spans="1:8" ht="14">
      <c r="A4456" s="108">
        <v>2025</v>
      </c>
      <c r="B4456" s="108">
        <v>93</v>
      </c>
      <c r="C4456" s="108" t="s">
        <v>138</v>
      </c>
      <c r="D4456" s="108">
        <v>295.57521426786502</v>
      </c>
      <c r="E4456" s="108">
        <v>0</v>
      </c>
      <c r="F4456" s="108" t="s">
        <v>136</v>
      </c>
      <c r="G4456" s="108"/>
      <c r="H4456" s="108">
        <v>1</v>
      </c>
    </row>
    <row r="4457" spans="1:8" ht="14">
      <c r="A4457" s="108">
        <v>2025</v>
      </c>
      <c r="B4457" s="108">
        <v>93</v>
      </c>
      <c r="C4457" s="108" t="s">
        <v>139</v>
      </c>
      <c r="D4457" s="108">
        <v>130.23500000089899</v>
      </c>
      <c r="E4457" s="108">
        <v>0</v>
      </c>
      <c r="F4457" s="108" t="s">
        <v>135</v>
      </c>
      <c r="G4457" s="108"/>
      <c r="H4457" s="108">
        <v>1</v>
      </c>
    </row>
    <row r="4458" spans="1:8" ht="14">
      <c r="A4458" s="108">
        <v>2025</v>
      </c>
      <c r="B4458" s="108">
        <v>93</v>
      </c>
      <c r="C4458" s="108" t="s">
        <v>139</v>
      </c>
      <c r="D4458" s="108">
        <v>99.749154037770893</v>
      </c>
      <c r="E4458" s="108">
        <v>0</v>
      </c>
      <c r="F4458" s="108" t="s">
        <v>137</v>
      </c>
      <c r="G4458" s="108"/>
      <c r="H4458" s="108">
        <v>1</v>
      </c>
    </row>
    <row r="4459" spans="1:8" ht="14">
      <c r="A4459" s="108">
        <v>2025</v>
      </c>
      <c r="B4459" s="108">
        <v>93</v>
      </c>
      <c r="C4459" s="108" t="s">
        <v>139</v>
      </c>
      <c r="D4459" s="108">
        <v>2.10799999935</v>
      </c>
      <c r="E4459" s="108">
        <v>0</v>
      </c>
      <c r="F4459" s="108" t="s">
        <v>136</v>
      </c>
      <c r="G4459" s="108"/>
      <c r="H4459" s="108">
        <v>1</v>
      </c>
    </row>
    <row r="4460" spans="1:8" ht="14">
      <c r="A4460" s="108">
        <v>2025</v>
      </c>
      <c r="B4460" s="108">
        <v>99</v>
      </c>
      <c r="C4460" s="108" t="s">
        <v>30</v>
      </c>
      <c r="D4460" s="108">
        <v>1322.6493799263501</v>
      </c>
      <c r="E4460" s="108">
        <v>0</v>
      </c>
      <c r="F4460" s="108" t="s">
        <v>135</v>
      </c>
      <c r="G4460" s="108"/>
      <c r="H4460" s="108">
        <v>1</v>
      </c>
    </row>
    <row r="4461" spans="1:8" ht="14">
      <c r="A4461" s="108">
        <v>2025</v>
      </c>
      <c r="B4461" s="108">
        <v>99</v>
      </c>
      <c r="C4461" s="108" t="s">
        <v>30</v>
      </c>
      <c r="D4461" s="108">
        <v>0.1424784966</v>
      </c>
      <c r="E4461" s="108">
        <v>0</v>
      </c>
      <c r="F4461" s="108" t="s">
        <v>137</v>
      </c>
      <c r="G4461" s="108"/>
      <c r="H4461" s="108">
        <v>1</v>
      </c>
    </row>
    <row r="4462" spans="1:8" ht="14">
      <c r="A4462" s="108">
        <v>2025</v>
      </c>
      <c r="B4462" s="108">
        <v>99</v>
      </c>
      <c r="C4462" s="108" t="s">
        <v>30</v>
      </c>
      <c r="D4462" s="108">
        <v>2603.0288907085501</v>
      </c>
      <c r="E4462" s="108">
        <v>0</v>
      </c>
      <c r="F4462" s="108" t="s">
        <v>136</v>
      </c>
      <c r="G4462" s="108"/>
      <c r="H4462" s="108">
        <v>1</v>
      </c>
    </row>
    <row r="4463" spans="1:8" ht="14">
      <c r="A4463" s="108">
        <v>2025</v>
      </c>
      <c r="B4463" s="108">
        <v>99</v>
      </c>
      <c r="C4463" s="108" t="s">
        <v>138</v>
      </c>
      <c r="D4463" s="108">
        <v>0.1424784966</v>
      </c>
      <c r="E4463" s="108">
        <v>0</v>
      </c>
      <c r="F4463" s="108" t="s">
        <v>137</v>
      </c>
      <c r="G4463" s="108"/>
      <c r="H4463" s="108">
        <v>1</v>
      </c>
    </row>
    <row r="4464" spans="1:8" ht="14">
      <c r="A4464" s="108">
        <v>2025</v>
      </c>
      <c r="B4464" s="108">
        <v>99</v>
      </c>
      <c r="C4464" s="108" t="s">
        <v>138</v>
      </c>
      <c r="D4464" s="108">
        <v>616.01417974468404</v>
      </c>
      <c r="E4464" s="108">
        <v>0</v>
      </c>
      <c r="F4464" s="108" t="s">
        <v>135</v>
      </c>
      <c r="G4464" s="108"/>
      <c r="H4464" s="108">
        <v>1</v>
      </c>
    </row>
    <row r="4465" spans="1:8" ht="14">
      <c r="A4465" s="108">
        <v>2025</v>
      </c>
      <c r="B4465" s="108">
        <v>99</v>
      </c>
      <c r="C4465" s="108" t="s">
        <v>138</v>
      </c>
      <c r="D4465" s="108">
        <v>1695.5507158502401</v>
      </c>
      <c r="E4465" s="108">
        <v>0</v>
      </c>
      <c r="F4465" s="108" t="s">
        <v>136</v>
      </c>
      <c r="G4465" s="108"/>
      <c r="H4465" s="108">
        <v>1</v>
      </c>
    </row>
    <row r="4466" spans="1:8" ht="14">
      <c r="A4466" s="108">
        <v>2025</v>
      </c>
      <c r="B4466" s="108">
        <v>99</v>
      </c>
      <c r="C4466" s="108" t="s">
        <v>139</v>
      </c>
      <c r="D4466" s="108">
        <v>907.47817485830899</v>
      </c>
      <c r="E4466" s="108">
        <v>0</v>
      </c>
      <c r="F4466" s="108" t="s">
        <v>136</v>
      </c>
      <c r="G4466" s="108"/>
      <c r="H4466" s="108">
        <v>1</v>
      </c>
    </row>
    <row r="4467" spans="1:8" ht="14">
      <c r="A4467" s="108">
        <v>2025</v>
      </c>
      <c r="B4467" s="108">
        <v>99</v>
      </c>
      <c r="C4467" s="108" t="s">
        <v>139</v>
      </c>
      <c r="D4467" s="108">
        <v>706.63520018167503</v>
      </c>
      <c r="E4467" s="108">
        <v>0</v>
      </c>
      <c r="F4467" s="108" t="s">
        <v>135</v>
      </c>
      <c r="G4467" s="108"/>
      <c r="H4467" s="108">
        <v>1</v>
      </c>
    </row>
  </sheetData>
  <pageMargins left="0.7" right="0.7" top="0.75" bottom="0.75" header="0.3" footer="0.3"/>
  <pageSetup paperSize="0" fitToWidth="0" fitToHeight="0" orientation="portrait" horizontalDpi="0" verticalDpi="0" copies="0"/>
  <headerFooter>
    <oddHeader xml:space="preserve">&amp;C&amp;"Calibri,Regular"&amp;10&amp;K000000 OFFICIAL-SENSITIVE&amp;1#
</oddHeader>
    <oddFooter>&amp;C
&amp;1#&amp;"Calibri,Regular"&amp;10&amp;K000000 OFFICIAL-SENSITIVE</oddFooter>
  </headerFooter>
  <tableParts count="1">
    <tablePart r:id="rId1"/>
  </tablePart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9C91F-94E3-CE4D-9790-B899A17205EF}">
  <sheetPr>
    <tabColor rgb="FF006853"/>
  </sheetPr>
  <dimension ref="A1:AK48"/>
  <sheetViews>
    <sheetView workbookViewId="0"/>
  </sheetViews>
  <sheetFormatPr baseColWidth="10" defaultColWidth="12" defaultRowHeight="12.75" customHeight="1"/>
  <cols>
    <col min="1" max="1" width="29.83203125" style="112" customWidth="1"/>
    <col min="2" max="2" width="35.5" style="112" customWidth="1"/>
    <col min="3" max="3" width="42.33203125" style="113" customWidth="1"/>
    <col min="4" max="4" width="20.1640625" style="114" customWidth="1"/>
    <col min="5" max="5" width="19.5" style="112" customWidth="1"/>
    <col min="6" max="6" width="20" style="112" customWidth="1"/>
    <col min="7" max="7" width="18.6640625" style="112" customWidth="1"/>
    <col min="8" max="8" width="18" style="112" customWidth="1"/>
    <col min="9" max="9" width="19.5" style="112" customWidth="1"/>
    <col min="10" max="11" width="17.83203125" style="112" customWidth="1"/>
    <col min="12" max="12" width="20.83203125" style="112" customWidth="1"/>
    <col min="13" max="13" width="19" style="112" customWidth="1"/>
    <col min="14" max="14" width="17.6640625" style="112" customWidth="1"/>
    <col min="15" max="15" width="18.1640625" style="112" customWidth="1"/>
    <col min="16" max="17" width="17.5" style="112" customWidth="1"/>
    <col min="18" max="18" width="17.6640625" style="112" customWidth="1"/>
    <col min="19" max="19" width="18.1640625" style="112" customWidth="1"/>
    <col min="20" max="20" width="17.33203125" style="112" customWidth="1"/>
    <col min="21" max="21" width="18.1640625" style="112" customWidth="1"/>
    <col min="22" max="22" width="17.5" style="112" customWidth="1"/>
    <col min="23" max="23" width="18.83203125" style="112" customWidth="1"/>
    <col min="24" max="24" width="17.83203125" style="112" bestFit="1" customWidth="1"/>
    <col min="25" max="25" width="17.83203125" style="112" customWidth="1"/>
    <col min="26" max="27" width="15.6640625" style="112" customWidth="1"/>
    <col min="28" max="29" width="12" style="112" customWidth="1"/>
    <col min="30" max="30" width="14.6640625" style="112" bestFit="1" customWidth="1"/>
    <col min="31" max="35" width="14.6640625" style="112" customWidth="1"/>
    <col min="36" max="36" width="12.5" style="112" customWidth="1"/>
    <col min="37" max="37" width="12" style="112" customWidth="1"/>
    <col min="38" max="16384" width="12" style="112"/>
  </cols>
  <sheetData>
    <row r="1" spans="1:37" ht="20">
      <c r="A1" s="111" t="s">
        <v>140</v>
      </c>
    </row>
    <row r="2" spans="1:37" ht="13">
      <c r="A2" s="115" t="s">
        <v>141</v>
      </c>
      <c r="B2" s="116"/>
      <c r="C2" s="116"/>
      <c r="D2" s="116"/>
      <c r="E2" s="116"/>
      <c r="F2" s="116"/>
      <c r="G2" s="116" t="str">
        <f>port0201!$B$8</f>
        <v>Tonnage</v>
      </c>
      <c r="H2" s="116" t="str">
        <f>CONCATENATE("Thousand ",CHOOSE(VLOOKUP(port0201!$B$8,Lookup!$A$1:$B$3,2,FALSE),"tonnes","units","TEUs"))</f>
        <v>Thousand tonnes</v>
      </c>
      <c r="I2" s="116"/>
      <c r="J2" s="116"/>
      <c r="K2" s="116"/>
      <c r="L2" s="116"/>
      <c r="M2" s="116"/>
      <c r="N2" s="116"/>
      <c r="O2" s="116"/>
      <c r="P2" s="116"/>
      <c r="Q2" s="116"/>
      <c r="R2" s="116"/>
      <c r="S2" s="116"/>
      <c r="T2" s="116"/>
      <c r="U2" s="116"/>
      <c r="V2" s="116"/>
      <c r="W2" s="116"/>
      <c r="X2" s="116"/>
      <c r="Y2" s="116"/>
      <c r="AD2" s="112" t="s">
        <v>142</v>
      </c>
    </row>
    <row r="3" spans="1:37" s="114" customFormat="1" ht="13">
      <c r="C3" s="114" t="s">
        <v>143</v>
      </c>
      <c r="D3" s="114" t="str">
        <f>port0201!$B$9</f>
        <v>All Routes</v>
      </c>
      <c r="E3" s="114" t="str">
        <f>port0201!$B$9</f>
        <v>All Routes</v>
      </c>
      <c r="F3" s="114" t="str">
        <f>port0201!$B$9</f>
        <v>All Routes</v>
      </c>
      <c r="G3" s="114" t="str">
        <f>port0201!$B$9</f>
        <v>All Routes</v>
      </c>
      <c r="H3" s="114" t="str">
        <f>port0201!$B$9</f>
        <v>All Routes</v>
      </c>
      <c r="I3" s="114" t="str">
        <f>port0201!$B$9</f>
        <v>All Routes</v>
      </c>
      <c r="J3" s="114" t="str">
        <f>port0201!$B$9</f>
        <v>All Routes</v>
      </c>
      <c r="K3" s="114" t="str">
        <f>port0201!$B$9</f>
        <v>All Routes</v>
      </c>
      <c r="L3" s="114" t="str">
        <f>port0201!$B$9</f>
        <v>All Routes</v>
      </c>
      <c r="M3" s="114" t="str">
        <f>port0201!$B$9</f>
        <v>All Routes</v>
      </c>
      <c r="N3" s="114" t="str">
        <f>port0201!$B$9</f>
        <v>All Routes</v>
      </c>
      <c r="O3" s="114" t="str">
        <f>port0201!$B$9</f>
        <v>All Routes</v>
      </c>
      <c r="P3" s="114" t="str">
        <f>port0201!$B$9</f>
        <v>All Routes</v>
      </c>
      <c r="Q3" s="114" t="str">
        <f>port0201!$B$9</f>
        <v>All Routes</v>
      </c>
      <c r="R3" s="114" t="str">
        <f>port0201!$B$9</f>
        <v>All Routes</v>
      </c>
      <c r="S3" s="114" t="str">
        <f>port0201!$B$9</f>
        <v>All Routes</v>
      </c>
      <c r="T3" s="114" t="str">
        <f>port0201!$B$9</f>
        <v>All Routes</v>
      </c>
      <c r="U3" s="114" t="str">
        <f>port0201!$B$9</f>
        <v>All Routes</v>
      </c>
      <c r="V3" s="114" t="str">
        <f>port0201!$B$9</f>
        <v>All Routes</v>
      </c>
      <c r="W3" s="114" t="str">
        <f>port0201!$B$9</f>
        <v>All Routes</v>
      </c>
      <c r="X3" s="114" t="str">
        <f>port0201!$B$9</f>
        <v>All Routes</v>
      </c>
      <c r="Y3" s="114" t="str">
        <f>port0201!$B$9</f>
        <v>All Routes</v>
      </c>
      <c r="Z3" s="117" t="str">
        <f>port0201!$B$9</f>
        <v>All Routes</v>
      </c>
      <c r="AA3" s="117" t="str">
        <f>port0201!$B$9</f>
        <v>All Routes</v>
      </c>
      <c r="AB3" s="117" t="str">
        <f>port0201!$B$9</f>
        <v>All Routes</v>
      </c>
      <c r="AC3" s="117" t="str">
        <f>port0201!$B$9</f>
        <v>All Routes</v>
      </c>
    </row>
    <row r="4" spans="1:37" s="114" customFormat="1" ht="13">
      <c r="C4" s="114" t="s">
        <v>29</v>
      </c>
      <c r="D4" s="114" t="str">
        <f>port0201!$B$7</f>
        <v>Both Directions</v>
      </c>
      <c r="E4" s="114" t="str">
        <f>port0201!$B$7</f>
        <v>Both Directions</v>
      </c>
      <c r="F4" s="114" t="str">
        <f>port0201!$B$7</f>
        <v>Both Directions</v>
      </c>
      <c r="G4" s="114" t="str">
        <f>port0201!$B$7</f>
        <v>Both Directions</v>
      </c>
      <c r="H4" s="114" t="str">
        <f>port0201!$B$7</f>
        <v>Both Directions</v>
      </c>
      <c r="I4" s="114" t="str">
        <f>port0201!$B$7</f>
        <v>Both Directions</v>
      </c>
      <c r="J4" s="114" t="str">
        <f>port0201!$B$7</f>
        <v>Both Directions</v>
      </c>
      <c r="K4" s="114" t="str">
        <f>port0201!$B$7</f>
        <v>Both Directions</v>
      </c>
      <c r="L4" s="114" t="str">
        <f>port0201!$B$7</f>
        <v>Both Directions</v>
      </c>
      <c r="M4" s="114" t="str">
        <f>port0201!$B$7</f>
        <v>Both Directions</v>
      </c>
      <c r="N4" s="114" t="str">
        <f>port0201!$B$7</f>
        <v>Both Directions</v>
      </c>
      <c r="O4" s="114" t="str">
        <f>port0201!$B$7</f>
        <v>Both Directions</v>
      </c>
      <c r="P4" s="114" t="str">
        <f>port0201!$B$7</f>
        <v>Both Directions</v>
      </c>
      <c r="Q4" s="114" t="str">
        <f>port0201!$B$7</f>
        <v>Both Directions</v>
      </c>
      <c r="R4" s="114" t="str">
        <f>port0201!$B$7</f>
        <v>Both Directions</v>
      </c>
      <c r="S4" s="114" t="str">
        <f>port0201!$B$7</f>
        <v>Both Directions</v>
      </c>
      <c r="T4" s="114" t="str">
        <f>port0201!$B$7</f>
        <v>Both Directions</v>
      </c>
      <c r="U4" s="114" t="str">
        <f>port0201!$B$7</f>
        <v>Both Directions</v>
      </c>
      <c r="V4" s="114" t="str">
        <f>port0201!$B$7</f>
        <v>Both Directions</v>
      </c>
      <c r="W4" s="114" t="str">
        <f>port0201!$B$7</f>
        <v>Both Directions</v>
      </c>
      <c r="X4" s="114" t="str">
        <f>port0201!$B$7</f>
        <v>Both Directions</v>
      </c>
      <c r="Y4" s="114" t="str">
        <f>port0201!$B$7</f>
        <v>Both Directions</v>
      </c>
      <c r="Z4" s="114" t="str">
        <f>port0201!$B$7</f>
        <v>Both Directions</v>
      </c>
      <c r="AA4" s="114" t="str">
        <f>port0201!$B$7</f>
        <v>Both Directions</v>
      </c>
      <c r="AB4" s="114" t="str">
        <f>port0201!$B$7</f>
        <v>Both Directions</v>
      </c>
      <c r="AC4" s="114" t="str">
        <f>port0201!$B$7</f>
        <v>Both Directions</v>
      </c>
    </row>
    <row r="5" spans="1:37" s="114" customFormat="1" ht="13.5" customHeight="1">
      <c r="A5" s="115" t="s">
        <v>35</v>
      </c>
      <c r="B5" s="115" t="s">
        <v>144</v>
      </c>
      <c r="C5" s="115" t="s">
        <v>129</v>
      </c>
      <c r="D5" s="115">
        <v>2000</v>
      </c>
      <c r="E5" s="115">
        <v>2001</v>
      </c>
      <c r="F5" s="115">
        <v>2002</v>
      </c>
      <c r="G5" s="115">
        <v>2003</v>
      </c>
      <c r="H5" s="115">
        <v>2004</v>
      </c>
      <c r="I5" s="115">
        <v>2005</v>
      </c>
      <c r="J5" s="115">
        <v>2006</v>
      </c>
      <c r="K5" s="115">
        <v>2007</v>
      </c>
      <c r="L5" s="115">
        <v>2008</v>
      </c>
      <c r="M5" s="115">
        <v>2009</v>
      </c>
      <c r="N5" s="115">
        <v>2010</v>
      </c>
      <c r="O5" s="115">
        <v>2011</v>
      </c>
      <c r="P5" s="115">
        <v>2012</v>
      </c>
      <c r="Q5" s="115">
        <v>2013</v>
      </c>
      <c r="R5" s="115">
        <v>2014</v>
      </c>
      <c r="S5" s="115">
        <v>2015</v>
      </c>
      <c r="T5" s="115">
        <v>2016</v>
      </c>
      <c r="U5" s="115">
        <v>2017</v>
      </c>
      <c r="V5" s="115">
        <v>2018</v>
      </c>
      <c r="W5" s="115">
        <v>2019</v>
      </c>
      <c r="X5" s="115">
        <v>2020</v>
      </c>
      <c r="Y5" s="115">
        <v>2021</v>
      </c>
      <c r="Z5" s="115">
        <v>2022</v>
      </c>
      <c r="AA5" s="115">
        <v>2023</v>
      </c>
      <c r="AB5" s="115">
        <v>2024</v>
      </c>
      <c r="AC5" s="115">
        <v>2025</v>
      </c>
      <c r="AE5" s="114" t="s">
        <v>145</v>
      </c>
      <c r="AF5" s="114" t="s">
        <v>146</v>
      </c>
      <c r="AK5" s="114" t="s">
        <v>147</v>
      </c>
    </row>
    <row r="6" spans="1:37" ht="14">
      <c r="A6" s="118" t="s">
        <v>148</v>
      </c>
      <c r="B6" s="119">
        <v>11</v>
      </c>
      <c r="C6" s="120" t="s">
        <v>149</v>
      </c>
      <c r="D6" s="121">
        <f>IF(port0201!$B$9="All Routes",IF(port0201!$B$8&lt;&gt;"Tonnage","z",ROUND(SUMIFS(Data!$D:$D,Data!$A:$A,D$5,Data!$C:$C,D$4,Data!$B:$B,$B6),3)),IF(port0201!$B$8&lt;&gt;"Tonnage","z",ROUND(SUMIFS(Data!$D:$D,Data!$A:$A,D$5,Data!$C:$C,D$4,Data!$B:$B,$B6,Data!$F:$F,port0201!$B$9),3)))</f>
        <v>6499.7349999999997</v>
      </c>
      <c r="E6" s="121">
        <f>IF(port0201!$B$9="All Routes",IF(port0201!$B$8&lt;&gt;"Tonnage","z",ROUND(SUMIFS(Data!$D:$D,Data!$A:$A,E$5,Data!$C:$C,E$4,Data!$B:$B,$B6),3)),IF(port0201!$B$8&lt;&gt;"Tonnage","z",ROUND(SUMIFS(Data!$D:$D,Data!$A:$A,E$5,Data!$C:$C,E$4,Data!$B:$B,$B6,Data!$F:$F,port0201!$B$9),3)))</f>
        <v>8051.473</v>
      </c>
      <c r="F6" s="121">
        <f>IF(port0201!$B$9="All Routes",IF(port0201!$B$8&lt;&gt;"Tonnage","z",ROUND(SUMIFS(Data!$D:$D,Data!$A:$A,F$5,Data!$C:$C,F$4,Data!$B:$B,$B6),3)),IF(port0201!$B$8&lt;&gt;"Tonnage","z",ROUND(SUMIFS(Data!$D:$D,Data!$A:$A,F$5,Data!$C:$C,F$4,Data!$B:$B,$B6,Data!$F:$F,port0201!$B$9),3)))</f>
        <v>7850.18</v>
      </c>
      <c r="G6" s="121">
        <f>IF(port0201!$B$9="All Routes",IF(port0201!$B$8&lt;&gt;"Tonnage","z",ROUND(SUMIFS(Data!$D:$D,Data!$A:$A,G$5,Data!$C:$C,G$4,Data!$B:$B,$B6),3)),IF(port0201!$B$8&lt;&gt;"Tonnage","z",ROUND(SUMIFS(Data!$D:$D,Data!$A:$A,G$5,Data!$C:$C,G$4,Data!$B:$B,$B6,Data!$F:$F,port0201!$B$9),3)))</f>
        <v>7542.9560000000001</v>
      </c>
      <c r="H6" s="121">
        <f>IF(port0201!$B$9="All Routes",IF(port0201!$B$8&lt;&gt;"Tonnage","z",ROUND(SUMIFS(Data!$D:$D,Data!$A:$A,H$5,Data!$C:$C,H$4,Data!$B:$B,$B6),3)),IF(port0201!$B$8&lt;&gt;"Tonnage","z",ROUND(SUMIFS(Data!$D:$D,Data!$A:$A,H$5,Data!$C:$C,H$4,Data!$B:$B,$B6,Data!$F:$F,port0201!$B$9),3)))</f>
        <v>7410.348</v>
      </c>
      <c r="I6" s="121">
        <f>IF(port0201!$B$9="All Routes",IF(port0201!$B$8&lt;&gt;"Tonnage","z",ROUND(SUMIFS(Data!$D:$D,Data!$A:$A,I$5,Data!$C:$C,I$4,Data!$B:$B,$B6),3)),IF(port0201!$B$8&lt;&gt;"Tonnage","z",ROUND(SUMIFS(Data!$D:$D,Data!$A:$A,I$5,Data!$C:$C,I$4,Data!$B:$B,$B6,Data!$F:$F,port0201!$B$9),3)))</f>
        <v>7899.5540000000001</v>
      </c>
      <c r="J6" s="121">
        <f>IF(port0201!$B$9="All Routes",IF(port0201!$B$8&lt;&gt;"Tonnage","z",ROUND(SUMIFS(Data!$D:$D,Data!$A:$A,J$5,Data!$C:$C,J$4,Data!$B:$B,$B6),3)),IF(port0201!$B$8&lt;&gt;"Tonnage","z",ROUND(SUMIFS(Data!$D:$D,Data!$A:$A,J$5,Data!$C:$C,J$4,Data!$B:$B,$B6,Data!$F:$F,port0201!$B$9),3)))</f>
        <v>9470.6010000000006</v>
      </c>
      <c r="K6" s="121">
        <f>IF(port0201!$B$9="All Routes",IF(port0201!$B$8&lt;&gt;"Tonnage","z",ROUND(SUMIFS(Data!$D:$D,Data!$A:$A,K$5,Data!$C:$C,K$4,Data!$B:$B,$B6),3)),IF(port0201!$B$8&lt;&gt;"Tonnage","z",ROUND(SUMIFS(Data!$D:$D,Data!$A:$A,K$5,Data!$C:$C,K$4,Data!$B:$B,$B6,Data!$F:$F,port0201!$B$9),3)))</f>
        <v>7901.7539999999999</v>
      </c>
      <c r="L6" s="121">
        <f>IF(port0201!$B$9="All Routes",IF(port0201!$B$8&lt;&gt;"Tonnage","z",ROUND(SUMIFS(Data!$D:$D,Data!$A:$A,L$5,Data!$C:$C,L$4,Data!$B:$B,$B6),3)),IF(port0201!$B$8&lt;&gt;"Tonnage","z",ROUND(SUMIFS(Data!$D:$D,Data!$A:$A,L$5,Data!$C:$C,L$4,Data!$B:$B,$B6,Data!$F:$F,port0201!$B$9),3)))</f>
        <v>7443.7889999999998</v>
      </c>
      <c r="M6" s="121">
        <f>IF(port0201!$B$9="All Routes",IF(port0201!$B$8&lt;&gt;"Tonnage","z",ROUND(SUMIFS(Data!$D:$D,Data!$A:$A,M$5,Data!$C:$C,M$4,Data!$B:$B,$B6),3)),IF(port0201!$B$8&lt;&gt;"Tonnage","z",ROUND(SUMIFS(Data!$D:$D,Data!$A:$A,M$5,Data!$C:$C,M$4,Data!$B:$B,$B6,Data!$F:$F,port0201!$B$9),3)))</f>
        <v>13051.076999999999</v>
      </c>
      <c r="N6" s="121">
        <f>IF(port0201!$B$9="All Routes",IF(port0201!$B$8&lt;&gt;"Tonnage","z",ROUND(SUMIFS(Data!$D:$D,Data!$A:$A,N$5,Data!$C:$C,N$4,Data!$B:$B,$B6),3)),IF(port0201!$B$8&lt;&gt;"Tonnage","z",ROUND(SUMIFS(Data!$D:$D,Data!$A:$A,N$5,Data!$C:$C,N$4,Data!$B:$B,$B6,Data!$F:$F,port0201!$B$9),3)))</f>
        <v>21240.054</v>
      </c>
      <c r="O6" s="121">
        <f>IF(port0201!$B$9="All Routes",IF(port0201!$B$8&lt;&gt;"Tonnage","z",ROUND(SUMIFS(Data!$D:$D,Data!$A:$A,O$5,Data!$C:$C,O$4,Data!$B:$B,$B6),3)),IF(port0201!$B$8&lt;&gt;"Tonnage","z",ROUND(SUMIFS(Data!$D:$D,Data!$A:$A,O$5,Data!$C:$C,O$4,Data!$B:$B,$B6,Data!$F:$F,port0201!$B$9),3)))</f>
        <v>24088.416000000001</v>
      </c>
      <c r="P6" s="121">
        <f>IF(port0201!$B$9="All Routes",IF(port0201!$B$8&lt;&gt;"Tonnage","z",ROUND(SUMIFS(Data!$D:$D,Data!$A:$A,P$5,Data!$C:$C,P$4,Data!$B:$B,$B6),3)),IF(port0201!$B$8&lt;&gt;"Tonnage","z",ROUND(SUMIFS(Data!$D:$D,Data!$A:$A,P$5,Data!$C:$C,P$4,Data!$B:$B,$B6,Data!$F:$F,port0201!$B$9),3)))</f>
        <v>15869.328</v>
      </c>
      <c r="Q6" s="121">
        <f>IF(port0201!$B$9="All Routes",IF(port0201!$B$8&lt;&gt;"Tonnage","z",ROUND(SUMIFS(Data!$D:$D,Data!$A:$A,Q$5,Data!$C:$C,Q$4,Data!$B:$B,$B6),3)),IF(port0201!$B$8&lt;&gt;"Tonnage","z",ROUND(SUMIFS(Data!$D:$D,Data!$A:$A,Q$5,Data!$C:$C,Q$4,Data!$B:$B,$B6,Data!$F:$F,port0201!$B$9),3)))</f>
        <v>12437.218000000001</v>
      </c>
      <c r="R6" s="121">
        <f>IF(port0201!$B$9="All Routes",IF(port0201!$B$8&lt;&gt;"Tonnage","z",ROUND(SUMIFS(Data!$D:$D,Data!$A:$A,R$5,Data!$C:$C,R$4,Data!$B:$B,$B6),3)),IF(port0201!$B$8&lt;&gt;"Tonnage","z",ROUND(SUMIFS(Data!$D:$D,Data!$A:$A,R$5,Data!$C:$C,R$4,Data!$B:$B,$B6,Data!$F:$F,port0201!$B$9),3)))</f>
        <v>12794.97</v>
      </c>
      <c r="S6" s="121">
        <f>IF(port0201!$B$9="All Routes",IF(port0201!$B$8&lt;&gt;"Tonnage","z",ROUND(SUMIFS(Data!$D:$D,Data!$A:$A,S$5,Data!$C:$C,S$4,Data!$B:$B,$B6),3)),IF(port0201!$B$8&lt;&gt;"Tonnage","z",ROUND(SUMIFS(Data!$D:$D,Data!$A:$A,S$5,Data!$C:$C,S$4,Data!$B:$B,$B6,Data!$F:$F,port0201!$B$9),3)))</f>
        <v>15218.352999999999</v>
      </c>
      <c r="T6" s="121">
        <f>IF(port0201!$B$9="All Routes",IF(port0201!$B$8&lt;&gt;"Tonnage","z",ROUND(SUMIFS(Data!$D:$D,Data!$A:$A,T$5,Data!$C:$C,T$4,Data!$B:$B,$B6),3)),IF(port0201!$B$8&lt;&gt;"Tonnage","z",ROUND(SUMIFS(Data!$D:$D,Data!$A:$A,T$5,Data!$C:$C,T$4,Data!$B:$B,$B6,Data!$F:$F,port0201!$B$9),3)))</f>
        <v>13401.210999999999</v>
      </c>
      <c r="U6" s="121">
        <f>IF(port0201!$B$9="All Routes",IF(port0201!$B$8&lt;&gt;"Tonnage","z",ROUND(SUMIFS(Data!$D:$D,Data!$A:$A,U$5,Data!$C:$C,U$4,Data!$B:$B,$B6),3)),IF(port0201!$B$8&lt;&gt;"Tonnage","z",ROUND(SUMIFS(Data!$D:$D,Data!$A:$A,U$5,Data!$C:$C,U$4,Data!$B:$B,$B6,Data!$F:$F,port0201!$B$9),3)))</f>
        <v>11181.804</v>
      </c>
      <c r="V6" s="121">
        <f>IF(port0201!$B$9="All Routes",IF(port0201!$B$8&lt;&gt;"Tonnage","z",ROUND(SUMIFS(Data!$D:$D,Data!$A:$A,V$5,Data!$C:$C,V$4,Data!$B:$B,$B6),3)),IF(port0201!$B$8&lt;&gt;"Tonnage","z",ROUND(SUMIFS(Data!$D:$D,Data!$A:$A,V$5,Data!$C:$C,V$4,Data!$B:$B,$B6,Data!$F:$F,port0201!$B$9),3)))</f>
        <v>12165.976000000001</v>
      </c>
      <c r="W6" s="121">
        <f>IF(port0201!$B$9="All Routes",IF(port0201!$B$8&lt;&gt;"Tonnage","z",ROUND(SUMIFS(Data!$D:$D,Data!$A:$A,W$5,Data!$C:$C,W$4,Data!$B:$B,$B6),3)),IF(port0201!$B$8&lt;&gt;"Tonnage","z",ROUND(SUMIFS(Data!$D:$D,Data!$A:$A,W$5,Data!$C:$C,W$4,Data!$B:$B,$B6,Data!$F:$F,port0201!$B$9),3)))</f>
        <v>19007.501</v>
      </c>
      <c r="X6" s="121">
        <f>IF(port0201!$B$9="All Routes",IF(port0201!$B$8&lt;&gt;"Tonnage","z",ROUND(SUMIFS(Data!$D:$D,Data!$A:$A,X$5,Data!$C:$C,X$4,Data!$B:$B,$B6),3)),IF(port0201!$B$8&lt;&gt;"Tonnage","z",ROUND(SUMIFS(Data!$D:$D,Data!$A:$A,X$5,Data!$C:$C,X$4,Data!$B:$B,$B6,Data!$F:$F,port0201!$B$9),3)))</f>
        <v>19147.124</v>
      </c>
      <c r="Y6" s="121">
        <f>IF(port0201!$B$9="All Routes",IF(port0201!$B$8&lt;&gt;"Tonnage","z",ROUND(SUMIFS(Data!$D:$D,Data!$A:$A,Y$5,Data!$C:$C,Y$4,Data!$B:$B,$B6),3)),IF(port0201!$B$8&lt;&gt;"Tonnage","z",ROUND(SUMIFS(Data!$D:$D,Data!$A:$A,Y$5,Data!$C:$C,Y$4,Data!$B:$B,$B6,Data!$F:$F,port0201!$B$9),3)))</f>
        <v>14035.544</v>
      </c>
      <c r="Z6" s="121">
        <f>IF(port0201!$B$9="All Routes",IF(port0201!$B$8&lt;&gt;"Tonnage","z",ROUND(SUMIFS(Data!$D:$D,Data!$A:$A,Z$5,Data!$C:$C,Z$4,Data!$B:$B,$B6),3)),IF(port0201!$B$8&lt;&gt;"Tonnage","z",ROUND(SUMIFS(Data!$D:$D,Data!$A:$A,Z$5,Data!$C:$C,Z$4,Data!$B:$B,$B6,Data!$F:$F,port0201!$B$9),3)))</f>
        <v>22261.337</v>
      </c>
      <c r="AA6" s="121">
        <f>IF(port0201!$B$9="All Routes",IF(port0201!$B$8&lt;&gt;"Tonnage","z",ROUND(SUMIFS(Data!$D:$D,Data!$A:$A,AA$5,Data!$C:$C,AA$4,Data!$B:$B,$B6),3)),IF(port0201!$B$8&lt;&gt;"Tonnage","z",ROUND(SUMIFS(Data!$D:$D,Data!$A:$A,AA$5,Data!$C:$C,AA$4,Data!$B:$B,$B6,Data!$F:$F,port0201!$B$9),3)))</f>
        <v>17954.952000000001</v>
      </c>
      <c r="AB6" s="121">
        <f>IF(port0201!$B$9="All Routes",IF(port0201!$B$8&lt;&gt;"Tonnage","z",ROUND(SUMIFS(Data!$D:$D,Data!$A:$A,AB$5,Data!$C:$C,AB$4,Data!$B:$B,$B6),3)),IF(port0201!$B$8&lt;&gt;"Tonnage","z",ROUND(SUMIFS(Data!$D:$D,Data!$A:$A,AB$5,Data!$C:$C,AB$4,Data!$B:$B,$B6,Data!$F:$F,port0201!$B$9),3)))</f>
        <v>13904.569</v>
      </c>
      <c r="AC6" s="121">
        <f>IF(port0201!$B$9="All Routes",IF(port0201!$B$8&lt;&gt;"Tonnage","z",ROUND(SUMIFS(Data!$D:$D,Data!$A:$A,AC$5,Data!$C:$C,AC$4,Data!$B:$B,$B6),3)),IF(port0201!$B$8&lt;&gt;"Tonnage","z",ROUND(SUMIFS(Data!$D:$D,Data!$A:$A,AC$5,Data!$C:$C,AC$4,Data!$B:$B,$B6,Data!$F:$F,port0201!$B$9),3)))</f>
        <v>16954.294999999998</v>
      </c>
      <c r="AE6" s="122">
        <f t="shared" ref="AE6:AE42" si="0">(AC6-AB6)/AB6</f>
        <v>0.2193326524540242</v>
      </c>
      <c r="AF6" s="123">
        <f t="shared" ref="AF6:AF42" si="1">AC6-AB6</f>
        <v>3049.7259999999987</v>
      </c>
      <c r="AH6" s="124">
        <v>111155</v>
      </c>
      <c r="AJ6" s="125">
        <f t="shared" ref="AJ6:AJ42" si="2">AB6-AA6</f>
        <v>-4050.3830000000016</v>
      </c>
      <c r="AK6" s="126">
        <f t="shared" ref="AK6:AK42" si="3">AJ6/AA6</f>
        <v>-0.22558584394990314</v>
      </c>
    </row>
    <row r="7" spans="1:37" ht="14">
      <c r="A7" s="118" t="s">
        <v>148</v>
      </c>
      <c r="B7" s="119">
        <v>12</v>
      </c>
      <c r="C7" s="120" t="s">
        <v>150</v>
      </c>
      <c r="D7" s="121">
        <f>IF(port0201!$B$9="All Routes",IF(port0201!$B$8&lt;&gt;"Tonnage","z",ROUND(SUMIFS(Data!$D:$D,Data!$A:$A,D$5,Data!$C:$C,D$4,Data!$B:$B,$B7),3)),IF(port0201!$B$8&lt;&gt;"Tonnage","z",ROUND(SUMIFS(Data!$D:$D,Data!$A:$A,D$5,Data!$C:$C,D$4,Data!$B:$B,$B7,Data!$F:$F,port0201!$B$9),3)))</f>
        <v>184344.348</v>
      </c>
      <c r="E7" s="121">
        <f>IF(port0201!$B$9="All Routes",IF(port0201!$B$8&lt;&gt;"Tonnage","z",ROUND(SUMIFS(Data!$D:$D,Data!$A:$A,E$5,Data!$C:$C,E$4,Data!$B:$B,$B7),3)),IF(port0201!$B$8&lt;&gt;"Tonnage","z",ROUND(SUMIFS(Data!$D:$D,Data!$A:$A,E$5,Data!$C:$C,E$4,Data!$B:$B,$B7,Data!$F:$F,port0201!$B$9),3)))</f>
        <v>168557.06200000001</v>
      </c>
      <c r="F7" s="121">
        <f>IF(port0201!$B$9="All Routes",IF(port0201!$B$8&lt;&gt;"Tonnage","z",ROUND(SUMIFS(Data!$D:$D,Data!$A:$A,F$5,Data!$C:$C,F$4,Data!$B:$B,$B7),3)),IF(port0201!$B$8&lt;&gt;"Tonnage","z",ROUND(SUMIFS(Data!$D:$D,Data!$A:$A,F$5,Data!$C:$C,F$4,Data!$B:$B,$B7,Data!$F:$F,port0201!$B$9),3)))</f>
        <v>172523.72899999999</v>
      </c>
      <c r="G7" s="121">
        <f>IF(port0201!$B$9="All Routes",IF(port0201!$B$8&lt;&gt;"Tonnage","z",ROUND(SUMIFS(Data!$D:$D,Data!$A:$A,G$5,Data!$C:$C,G$4,Data!$B:$B,$B7),3)),IF(port0201!$B$8&lt;&gt;"Tonnage","z",ROUND(SUMIFS(Data!$D:$D,Data!$A:$A,G$5,Data!$C:$C,G$4,Data!$B:$B,$B7,Data!$F:$F,port0201!$B$9),3)))</f>
        <v>160318.891</v>
      </c>
      <c r="H7" s="121">
        <f>IF(port0201!$B$9="All Routes",IF(port0201!$B$8&lt;&gt;"Tonnage","z",ROUND(SUMIFS(Data!$D:$D,Data!$A:$A,H$5,Data!$C:$C,H$4,Data!$B:$B,$B7),3)),IF(port0201!$B$8&lt;&gt;"Tonnage","z",ROUND(SUMIFS(Data!$D:$D,Data!$A:$A,H$5,Data!$C:$C,H$4,Data!$B:$B,$B7,Data!$F:$F,port0201!$B$9),3)))</f>
        <v>161595.492</v>
      </c>
      <c r="I7" s="121">
        <f>IF(port0201!$B$9="All Routes",IF(port0201!$B$8&lt;&gt;"Tonnage","z",ROUND(SUMIFS(Data!$D:$D,Data!$A:$A,I$5,Data!$C:$C,I$4,Data!$B:$B,$B7),3)),IF(port0201!$B$8&lt;&gt;"Tonnage","z",ROUND(SUMIFS(Data!$D:$D,Data!$A:$A,I$5,Data!$C:$C,I$4,Data!$B:$B,$B7,Data!$F:$F,port0201!$B$9),3)))</f>
        <v>153498.948</v>
      </c>
      <c r="J7" s="121">
        <f>IF(port0201!$B$9="All Routes",IF(port0201!$B$8&lt;&gt;"Tonnage","z",ROUND(SUMIFS(Data!$D:$D,Data!$A:$A,J$5,Data!$C:$C,J$4,Data!$B:$B,$B7),3)),IF(port0201!$B$8&lt;&gt;"Tonnage","z",ROUND(SUMIFS(Data!$D:$D,Data!$A:$A,J$5,Data!$C:$C,J$4,Data!$B:$B,$B7,Data!$F:$F,port0201!$B$9),3)))</f>
        <v>142200.27299999999</v>
      </c>
      <c r="K7" s="121">
        <f>IF(port0201!$B$9="All Routes",IF(port0201!$B$8&lt;&gt;"Tonnage","z",ROUND(SUMIFS(Data!$D:$D,Data!$A:$A,K$5,Data!$C:$C,K$4,Data!$B:$B,$B7),3)),IF(port0201!$B$8&lt;&gt;"Tonnage","z",ROUND(SUMIFS(Data!$D:$D,Data!$A:$A,K$5,Data!$C:$C,K$4,Data!$B:$B,$B7,Data!$F:$F,port0201!$B$9),3)))</f>
        <v>140131.86499999999</v>
      </c>
      <c r="L7" s="121">
        <f>IF(port0201!$B$9="All Routes",IF(port0201!$B$8&lt;&gt;"Tonnage","z",ROUND(SUMIFS(Data!$D:$D,Data!$A:$A,L$5,Data!$C:$C,L$4,Data!$B:$B,$B7),3)),IF(port0201!$B$8&lt;&gt;"Tonnage","z",ROUND(SUMIFS(Data!$D:$D,Data!$A:$A,L$5,Data!$C:$C,L$4,Data!$B:$B,$B7,Data!$F:$F,port0201!$B$9),3)))</f>
        <v>132145.60399999999</v>
      </c>
      <c r="M7" s="121">
        <f>IF(port0201!$B$9="All Routes",IF(port0201!$B$8&lt;&gt;"Tonnage","z",ROUND(SUMIFS(Data!$D:$D,Data!$A:$A,M$5,Data!$C:$C,M$4,Data!$B:$B,$B7),3)),IF(port0201!$B$8&lt;&gt;"Tonnage","z",ROUND(SUMIFS(Data!$D:$D,Data!$A:$A,M$5,Data!$C:$C,M$4,Data!$B:$B,$B7,Data!$F:$F,port0201!$B$9),3)))</f>
        <v>122924.245</v>
      </c>
      <c r="N7" s="121">
        <f>IF(port0201!$B$9="All Routes",IF(port0201!$B$8&lt;&gt;"Tonnage","z",ROUND(SUMIFS(Data!$D:$D,Data!$A:$A,N$5,Data!$C:$C,N$4,Data!$B:$B,$B7),3)),IF(port0201!$B$8&lt;&gt;"Tonnage","z",ROUND(SUMIFS(Data!$D:$D,Data!$A:$A,N$5,Data!$C:$C,N$4,Data!$B:$B,$B7,Data!$F:$F,port0201!$B$9),3)))</f>
        <v>118188.841</v>
      </c>
      <c r="O7" s="121">
        <f>IF(port0201!$B$9="All Routes",IF(port0201!$B$8&lt;&gt;"Tonnage","z",ROUND(SUMIFS(Data!$D:$D,Data!$A:$A,O$5,Data!$C:$C,O$4,Data!$B:$B,$B7),3)),IF(port0201!$B$8&lt;&gt;"Tonnage","z",ROUND(SUMIFS(Data!$D:$D,Data!$A:$A,O$5,Data!$C:$C,O$4,Data!$B:$B,$B7,Data!$F:$F,port0201!$B$9),3)))</f>
        <v>113045.443</v>
      </c>
      <c r="P7" s="121">
        <f>IF(port0201!$B$9="All Routes",IF(port0201!$B$8&lt;&gt;"Tonnage","z",ROUND(SUMIFS(Data!$D:$D,Data!$A:$A,P$5,Data!$C:$C,P$4,Data!$B:$B,$B7),3)),IF(port0201!$B$8&lt;&gt;"Tonnage","z",ROUND(SUMIFS(Data!$D:$D,Data!$A:$A,P$5,Data!$C:$C,P$4,Data!$B:$B,$B7,Data!$F:$F,port0201!$B$9),3)))</f>
        <v>105028.056</v>
      </c>
      <c r="Q7" s="121">
        <f>IF(port0201!$B$9="All Routes",IF(port0201!$B$8&lt;&gt;"Tonnage","z",ROUND(SUMIFS(Data!$D:$D,Data!$A:$A,Q$5,Data!$C:$C,Q$4,Data!$B:$B,$B7),3)),IF(port0201!$B$8&lt;&gt;"Tonnage","z",ROUND(SUMIFS(Data!$D:$D,Data!$A:$A,Q$5,Data!$C:$C,Q$4,Data!$B:$B,$B7,Data!$F:$F,port0201!$B$9),3)))</f>
        <v>93041.656000000003</v>
      </c>
      <c r="R7" s="121">
        <f>IF(port0201!$B$9="All Routes",IF(port0201!$B$8&lt;&gt;"Tonnage","z",ROUND(SUMIFS(Data!$D:$D,Data!$A:$A,R$5,Data!$C:$C,R$4,Data!$B:$B,$B7),3)),IF(port0201!$B$8&lt;&gt;"Tonnage","z",ROUND(SUMIFS(Data!$D:$D,Data!$A:$A,R$5,Data!$C:$C,R$4,Data!$B:$B,$B7,Data!$F:$F,port0201!$B$9),3)))</f>
        <v>89461.184999999998</v>
      </c>
      <c r="S7" s="121">
        <f>IF(port0201!$B$9="All Routes",IF(port0201!$B$8&lt;&gt;"Tonnage","z",ROUND(SUMIFS(Data!$D:$D,Data!$A:$A,S$5,Data!$C:$C,S$4,Data!$B:$B,$B7),3)),IF(port0201!$B$8&lt;&gt;"Tonnage","z",ROUND(SUMIFS(Data!$D:$D,Data!$A:$A,S$5,Data!$C:$C,S$4,Data!$B:$B,$B7,Data!$F:$F,port0201!$B$9),3)))</f>
        <v>90717.600999999995</v>
      </c>
      <c r="T7" s="121">
        <f>IF(port0201!$B$9="All Routes",IF(port0201!$B$8&lt;&gt;"Tonnage","z",ROUND(SUMIFS(Data!$D:$D,Data!$A:$A,T$5,Data!$C:$C,T$4,Data!$B:$B,$B7),3)),IF(port0201!$B$8&lt;&gt;"Tonnage","z",ROUND(SUMIFS(Data!$D:$D,Data!$A:$A,T$5,Data!$C:$C,T$4,Data!$B:$B,$B7,Data!$F:$F,port0201!$B$9),3)))</f>
        <v>87089.775999999998</v>
      </c>
      <c r="U7" s="121">
        <f>IF(port0201!$B$9="All Routes",IF(port0201!$B$8&lt;&gt;"Tonnage","z",ROUND(SUMIFS(Data!$D:$D,Data!$A:$A,U$5,Data!$C:$C,U$4,Data!$B:$B,$B7),3)),IF(port0201!$B$8&lt;&gt;"Tonnage","z",ROUND(SUMIFS(Data!$D:$D,Data!$A:$A,U$5,Data!$C:$C,U$4,Data!$B:$B,$B7,Data!$F:$F,port0201!$B$9),3)))</f>
        <v>86340.256999999998</v>
      </c>
      <c r="V7" s="121">
        <f>IF(port0201!$B$9="All Routes",IF(port0201!$B$8&lt;&gt;"Tonnage","z",ROUND(SUMIFS(Data!$D:$D,Data!$A:$A,V$5,Data!$C:$C,V$4,Data!$B:$B,$B7),3)),IF(port0201!$B$8&lt;&gt;"Tonnage","z",ROUND(SUMIFS(Data!$D:$D,Data!$A:$A,V$5,Data!$C:$C,V$4,Data!$B:$B,$B7,Data!$F:$F,port0201!$B$9),3)))</f>
        <v>82435.657999999996</v>
      </c>
      <c r="W7" s="121">
        <f>IF(port0201!$B$9="All Routes",IF(port0201!$B$8&lt;&gt;"Tonnage","z",ROUND(SUMIFS(Data!$D:$D,Data!$A:$A,W$5,Data!$C:$C,W$4,Data!$B:$B,$B7),3)),IF(port0201!$B$8&lt;&gt;"Tonnage","z",ROUND(SUMIFS(Data!$D:$D,Data!$A:$A,W$5,Data!$C:$C,W$4,Data!$B:$B,$B7,Data!$F:$F,port0201!$B$9),3)))</f>
        <v>84951.691999999995</v>
      </c>
      <c r="X7" s="121">
        <f>IF(port0201!$B$9="All Routes",IF(port0201!$B$8&lt;&gt;"Tonnage","z",ROUND(SUMIFS(Data!$D:$D,Data!$A:$A,X$5,Data!$C:$C,X$4,Data!$B:$B,$B7),3)),IF(port0201!$B$8&lt;&gt;"Tonnage","z",ROUND(SUMIFS(Data!$D:$D,Data!$A:$A,X$5,Data!$C:$C,X$4,Data!$B:$B,$B7,Data!$F:$F,port0201!$B$9),3)))</f>
        <v>78096.259000000005</v>
      </c>
      <c r="Y7" s="121">
        <f>IF(port0201!$B$9="All Routes",IF(port0201!$B$8&lt;&gt;"Tonnage","z",ROUND(SUMIFS(Data!$D:$D,Data!$A:$A,Y$5,Data!$C:$C,Y$4,Data!$B:$B,$B7),3)),IF(port0201!$B$8&lt;&gt;"Tonnage","z",ROUND(SUMIFS(Data!$D:$D,Data!$A:$A,Y$5,Data!$C:$C,Y$4,Data!$B:$B,$B7,Data!$F:$F,port0201!$B$9),3)))</f>
        <v>75401.899999999994</v>
      </c>
      <c r="Z7" s="121">
        <f>IF(port0201!$B$9="All Routes",IF(port0201!$B$8&lt;&gt;"Tonnage","z",ROUND(SUMIFS(Data!$D:$D,Data!$A:$A,Z$5,Data!$C:$C,Z$4,Data!$B:$B,$B7),3)),IF(port0201!$B$8&lt;&gt;"Tonnage","z",ROUND(SUMIFS(Data!$D:$D,Data!$A:$A,Z$5,Data!$C:$C,Z$4,Data!$B:$B,$B7,Data!$F:$F,port0201!$B$9),3)))</f>
        <v>78516.737999999998</v>
      </c>
      <c r="AA7" s="121">
        <f>IF(port0201!$B$9="All Routes",IF(port0201!$B$8&lt;&gt;"Tonnage","z",ROUND(SUMIFS(Data!$D:$D,Data!$A:$A,AA$5,Data!$C:$C,AA$4,Data!$B:$B,$B7),3)),IF(port0201!$B$8&lt;&gt;"Tonnage","z",ROUND(SUMIFS(Data!$D:$D,Data!$A:$A,AA$5,Data!$C:$C,AA$4,Data!$B:$B,$B7,Data!$F:$F,port0201!$B$9),3)))</f>
        <v>73684.087</v>
      </c>
      <c r="AB7" s="121">
        <f>IF(port0201!$B$9="All Routes",IF(port0201!$B$8&lt;&gt;"Tonnage","z",ROUND(SUMIFS(Data!$D:$D,Data!$A:$A,AB$5,Data!$C:$C,AB$4,Data!$B:$B,$B7),3)),IF(port0201!$B$8&lt;&gt;"Tonnage","z",ROUND(SUMIFS(Data!$D:$D,Data!$A:$A,AB$5,Data!$C:$C,AB$4,Data!$B:$B,$B7,Data!$F:$F,port0201!$B$9),3)))</f>
        <v>70293.255000000005</v>
      </c>
      <c r="AC7" s="121">
        <f>IF(port0201!$B$9="All Routes",IF(port0201!$B$8&lt;&gt;"Tonnage","z",ROUND(SUMIFS(Data!$D:$D,Data!$A:$A,AC$5,Data!$C:$C,AC$4,Data!$B:$B,$B7),3)),IF(port0201!$B$8&lt;&gt;"Tonnage","z",ROUND(SUMIFS(Data!$D:$D,Data!$A:$A,AC$5,Data!$C:$C,AC$4,Data!$B:$B,$B7,Data!$F:$F,port0201!$B$9),3)))</f>
        <v>62509.23</v>
      </c>
      <c r="AE7" s="127">
        <f t="shared" si="0"/>
        <v>-0.11073644263592575</v>
      </c>
      <c r="AF7" s="112">
        <f t="shared" si="1"/>
        <v>-7784.0250000000015</v>
      </c>
      <c r="AH7" s="124">
        <v>137364</v>
      </c>
      <c r="AJ7" s="125">
        <f t="shared" si="2"/>
        <v>-3390.8319999999949</v>
      </c>
      <c r="AK7" s="126">
        <f t="shared" si="3"/>
        <v>-4.6018511432461599E-2</v>
      </c>
    </row>
    <row r="8" spans="1:37" s="123" customFormat="1" ht="15">
      <c r="A8" s="128" t="s">
        <v>148</v>
      </c>
      <c r="B8" s="129">
        <v>13</v>
      </c>
      <c r="C8" s="130" t="s">
        <v>151</v>
      </c>
      <c r="D8" s="123">
        <f>IF(port0201!$B$9="All Routes",IF(port0201!$B$8&lt;&gt;"Tonnage","z",ROUND(SUMIFS(Data!$D:$D,Data!$A:$A,D$5,Data!$C:$C,D$4,Data!$B:$B,$B8),3)),IF(port0201!$B$8&lt;&gt;"Tonnage","z",ROUND(SUMIFS(Data!$D:$D,Data!$A:$A,D$5,Data!$C:$C,D$4,Data!$B:$B,$B8,Data!$F:$F,port0201!$B$9),3)))</f>
        <v>86249.524999999994</v>
      </c>
      <c r="E8" s="123">
        <f>IF(port0201!$B$9="All Routes",IF(port0201!$B$8&lt;&gt;"Tonnage","z",ROUND(SUMIFS(Data!$D:$D,Data!$A:$A,E$5,Data!$C:$C,E$4,Data!$B:$B,$B8),3)),IF(port0201!$B$8&lt;&gt;"Tonnage","z",ROUND(SUMIFS(Data!$D:$D,Data!$A:$A,E$5,Data!$C:$C,E$4,Data!$B:$B,$B8,Data!$F:$F,port0201!$B$9),3)))</f>
        <v>82592.957999999999</v>
      </c>
      <c r="F8" s="123">
        <f>IF(port0201!$B$9="All Routes",IF(port0201!$B$8&lt;&gt;"Tonnage","z",ROUND(SUMIFS(Data!$D:$D,Data!$A:$A,F$5,Data!$C:$C,F$4,Data!$B:$B,$B8),3)),IF(port0201!$B$8&lt;&gt;"Tonnage","z",ROUND(SUMIFS(Data!$D:$D,Data!$A:$A,F$5,Data!$C:$C,F$4,Data!$B:$B,$B8,Data!$F:$F,port0201!$B$9),3)))</f>
        <v>78163.915999999997</v>
      </c>
      <c r="G8" s="123">
        <f>IF(port0201!$B$9="All Routes",IF(port0201!$B$8&lt;&gt;"Tonnage","z",ROUND(SUMIFS(Data!$D:$D,Data!$A:$A,G$5,Data!$C:$C,G$4,Data!$B:$B,$B8),3)),IF(port0201!$B$8&lt;&gt;"Tonnage","z",ROUND(SUMIFS(Data!$D:$D,Data!$A:$A,G$5,Data!$C:$C,G$4,Data!$B:$B,$B8,Data!$F:$F,port0201!$B$9),3)))</f>
        <v>80351.013000000006</v>
      </c>
      <c r="H8" s="123">
        <f>IF(port0201!$B$9="All Routes",IF(port0201!$B$8&lt;&gt;"Tonnage","z",ROUND(SUMIFS(Data!$D:$D,Data!$A:$A,H$5,Data!$C:$C,H$4,Data!$B:$B,$B8),3)),IF(port0201!$B$8&lt;&gt;"Tonnage","z",ROUND(SUMIFS(Data!$D:$D,Data!$A:$A,H$5,Data!$C:$C,H$4,Data!$B:$B,$B8,Data!$F:$F,port0201!$B$9),3)))</f>
        <v>85975.959000000003</v>
      </c>
      <c r="I8" s="123">
        <f>IF(port0201!$B$9="All Routes",IF(port0201!$B$8&lt;&gt;"Tonnage","z",ROUND(SUMIFS(Data!$D:$D,Data!$A:$A,I$5,Data!$C:$C,I$4,Data!$B:$B,$B8),3)),IF(port0201!$B$8&lt;&gt;"Tonnage","z",ROUND(SUMIFS(Data!$D:$D,Data!$A:$A,I$5,Data!$C:$C,I$4,Data!$B:$B,$B8,Data!$F:$F,port0201!$B$9),3)))</f>
        <v>89000.682000000001</v>
      </c>
      <c r="J8" s="123">
        <f>IF(port0201!$B$9="All Routes",IF(port0201!$B$8&lt;&gt;"Tonnage","z",ROUND(SUMIFS(Data!$D:$D,Data!$A:$A,J$5,Data!$C:$C,J$4,Data!$B:$B,$B8),3)),IF(port0201!$B$8&lt;&gt;"Tonnage","z",ROUND(SUMIFS(Data!$D:$D,Data!$A:$A,J$5,Data!$C:$C,J$4,Data!$B:$B,$B8,Data!$F:$F,port0201!$B$9),3)))</f>
        <v>85119.501000000004</v>
      </c>
      <c r="K8" s="123">
        <f>IF(port0201!$B$9="All Routes",IF(port0201!$B$8&lt;&gt;"Tonnage","z",ROUND(SUMIFS(Data!$D:$D,Data!$A:$A,K$5,Data!$C:$C,K$4,Data!$B:$B,$B8),3)),IF(port0201!$B$8&lt;&gt;"Tonnage","z",ROUND(SUMIFS(Data!$D:$D,Data!$A:$A,K$5,Data!$C:$C,K$4,Data!$B:$B,$B8,Data!$F:$F,port0201!$B$9),3)))</f>
        <v>85960.271999999997</v>
      </c>
      <c r="L8" s="123">
        <f>IF(port0201!$B$9="All Routes",IF(port0201!$B$8&lt;&gt;"Tonnage","z",ROUND(SUMIFS(Data!$D:$D,Data!$A:$A,L$5,Data!$C:$C,L$4,Data!$B:$B,$B8),3)),IF(port0201!$B$8&lt;&gt;"Tonnage","z",ROUND(SUMIFS(Data!$D:$D,Data!$A:$A,L$5,Data!$C:$C,L$4,Data!$B:$B,$B8,Data!$F:$F,port0201!$B$9),3)))</f>
        <v>86814.273000000001</v>
      </c>
      <c r="M8" s="123">
        <f>IF(port0201!$B$9="All Routes",IF(port0201!$B$8&lt;&gt;"Tonnage","z",ROUND(SUMIFS(Data!$D:$D,Data!$A:$A,M$5,Data!$C:$C,M$4,Data!$B:$B,$B8),3)),IF(port0201!$B$8&lt;&gt;"Tonnage","z",ROUND(SUMIFS(Data!$D:$D,Data!$A:$A,M$5,Data!$C:$C,M$4,Data!$B:$B,$B8,Data!$F:$F,port0201!$B$9),3)))</f>
        <v>79093.557000000001</v>
      </c>
      <c r="N8" s="123">
        <f>IF(port0201!$B$9="All Routes",IF(port0201!$B$8&lt;&gt;"Tonnage","z",ROUND(SUMIFS(Data!$D:$D,Data!$A:$A,N$5,Data!$C:$C,N$4,Data!$B:$B,$B8),3)),IF(port0201!$B$8&lt;&gt;"Tonnage","z",ROUND(SUMIFS(Data!$D:$D,Data!$A:$A,N$5,Data!$C:$C,N$4,Data!$B:$B,$B8,Data!$F:$F,port0201!$B$9),3)))</f>
        <v>79415.267000000007</v>
      </c>
      <c r="O8" s="123">
        <f>IF(port0201!$B$9="All Routes",IF(port0201!$B$8&lt;&gt;"Tonnage","z",ROUND(SUMIFS(Data!$D:$D,Data!$A:$A,O$5,Data!$C:$C,O$4,Data!$B:$B,$B8),3)),IF(port0201!$B$8&lt;&gt;"Tonnage","z",ROUND(SUMIFS(Data!$D:$D,Data!$A:$A,O$5,Data!$C:$C,O$4,Data!$B:$B,$B8,Data!$F:$F,port0201!$B$9),3)))</f>
        <v>81413.577000000005</v>
      </c>
      <c r="P8" s="123">
        <f>IF(port0201!$B$9="All Routes",IF(port0201!$B$8&lt;&gt;"Tonnage","z",ROUND(SUMIFS(Data!$D:$D,Data!$A:$A,P$5,Data!$C:$C,P$4,Data!$B:$B,$B8),3)),IF(port0201!$B$8&lt;&gt;"Tonnage","z",ROUND(SUMIFS(Data!$D:$D,Data!$A:$A,P$5,Data!$C:$C,P$4,Data!$B:$B,$B8,Data!$F:$F,port0201!$B$9),3)))</f>
        <v>78793.611999999994</v>
      </c>
      <c r="Q8" s="123">
        <f>IF(port0201!$B$9="All Routes",IF(port0201!$B$8&lt;&gt;"Tonnage","z",ROUND(SUMIFS(Data!$D:$D,Data!$A:$A,Q$5,Data!$C:$C,Q$4,Data!$B:$B,$B8),3)),IF(port0201!$B$8&lt;&gt;"Tonnage","z",ROUND(SUMIFS(Data!$D:$D,Data!$A:$A,Q$5,Data!$C:$C,Q$4,Data!$B:$B,$B8,Data!$F:$F,port0201!$B$9),3)))</f>
        <v>81868.335999999996</v>
      </c>
      <c r="R8" s="123">
        <f>IF(port0201!$B$9="All Routes",IF(port0201!$B$8&lt;&gt;"Tonnage","z",ROUND(SUMIFS(Data!$D:$D,Data!$A:$A,R$5,Data!$C:$C,R$4,Data!$B:$B,$B8),3)),IF(port0201!$B$8&lt;&gt;"Tonnage","z",ROUND(SUMIFS(Data!$D:$D,Data!$A:$A,R$5,Data!$C:$C,R$4,Data!$B:$B,$B8,Data!$F:$F,port0201!$B$9),3)))</f>
        <v>74454.710000000006</v>
      </c>
      <c r="S8" s="123">
        <f>IF(port0201!$B$9="All Routes",IF(port0201!$B$8&lt;&gt;"Tonnage","z",ROUND(SUMIFS(Data!$D:$D,Data!$A:$A,S$5,Data!$C:$C,S$4,Data!$B:$B,$B8),3)),IF(port0201!$B$8&lt;&gt;"Tonnage","z",ROUND(SUMIFS(Data!$D:$D,Data!$A:$A,S$5,Data!$C:$C,S$4,Data!$B:$B,$B8,Data!$F:$F,port0201!$B$9),3)))</f>
        <v>77953.320999999996</v>
      </c>
      <c r="T8" s="123">
        <f>IF(port0201!$B$9="All Routes",IF(port0201!$B$8&lt;&gt;"Tonnage","z",ROUND(SUMIFS(Data!$D:$D,Data!$A:$A,T$5,Data!$C:$C,T$4,Data!$B:$B,$B8),3)),IF(port0201!$B$8&lt;&gt;"Tonnage","z",ROUND(SUMIFS(Data!$D:$D,Data!$A:$A,T$5,Data!$C:$C,T$4,Data!$B:$B,$B8,Data!$F:$F,port0201!$B$9),3)))</f>
        <v>78450.172999999995</v>
      </c>
      <c r="U8" s="123">
        <f>IF(port0201!$B$9="All Routes",IF(port0201!$B$8&lt;&gt;"Tonnage","z",ROUND(SUMIFS(Data!$D:$D,Data!$A:$A,U$5,Data!$C:$C,U$4,Data!$B:$B,$B8),3)),IF(port0201!$B$8&lt;&gt;"Tonnage","z",ROUND(SUMIFS(Data!$D:$D,Data!$A:$A,U$5,Data!$C:$C,U$4,Data!$B:$B,$B8,Data!$F:$F,port0201!$B$9),3)))</f>
        <v>80416.149000000005</v>
      </c>
      <c r="V8" s="123">
        <f>IF(port0201!$B$9="All Routes",IF(port0201!$B$8&lt;&gt;"Tonnage","z",ROUND(SUMIFS(Data!$D:$D,Data!$A:$A,V$5,Data!$C:$C,V$4,Data!$B:$B,$B8),3)),IF(port0201!$B$8&lt;&gt;"Tonnage","z",ROUND(SUMIFS(Data!$D:$D,Data!$A:$A,V$5,Data!$C:$C,V$4,Data!$B:$B,$B8,Data!$F:$F,port0201!$B$9),3)))</f>
        <v>78410.311000000002</v>
      </c>
      <c r="W8" s="123">
        <f>IF(port0201!$B$9="All Routes",IF(port0201!$B$8&lt;&gt;"Tonnage","z",ROUND(SUMIFS(Data!$D:$D,Data!$A:$A,W$5,Data!$C:$C,W$4,Data!$B:$B,$B8),3)),IF(port0201!$B$8&lt;&gt;"Tonnage","z",ROUND(SUMIFS(Data!$D:$D,Data!$A:$A,W$5,Data!$C:$C,W$4,Data!$B:$B,$B8,Data!$F:$F,port0201!$B$9),3)))</f>
        <v>75767.304999999993</v>
      </c>
      <c r="X8" s="123">
        <f>IF(port0201!$B$9="All Routes",IF(port0201!$B$8&lt;&gt;"Tonnage","z",ROUND(SUMIFS(Data!$D:$D,Data!$A:$A,X$5,Data!$C:$C,X$4,Data!$B:$B,$B8),3)),IF(port0201!$B$8&lt;&gt;"Tonnage","z",ROUND(SUMIFS(Data!$D:$D,Data!$A:$A,X$5,Data!$C:$C,X$4,Data!$B:$B,$B8,Data!$F:$F,port0201!$B$9),3)))</f>
        <v>58648.83</v>
      </c>
      <c r="Y8" s="123">
        <f>IF(port0201!$B$9="All Routes",IF(port0201!$B$8&lt;&gt;"Tonnage","z",ROUND(SUMIFS(Data!$D:$D,Data!$A:$A,Y$5,Data!$C:$C,Y$4,Data!$B:$B,$B8),3)),IF(port0201!$B$8&lt;&gt;"Tonnage","z",ROUND(SUMIFS(Data!$D:$D,Data!$A:$A,Y$5,Data!$C:$C,Y$4,Data!$B:$B,$B8,Data!$F:$F,port0201!$B$9),3)))</f>
        <v>63276.707000000002</v>
      </c>
      <c r="Z8" s="123">
        <f>IF(port0201!$B$9="All Routes",IF(port0201!$B$8&lt;&gt;"Tonnage","z",ROUND(SUMIFS(Data!$D:$D,Data!$A:$A,Z$5,Data!$C:$C,Z$4,Data!$B:$B,$B8),3)),IF(port0201!$B$8&lt;&gt;"Tonnage","z",ROUND(SUMIFS(Data!$D:$D,Data!$A:$A,Z$5,Data!$C:$C,Z$4,Data!$B:$B,$B8,Data!$F:$F,port0201!$B$9),3)))</f>
        <v>70461.357999999993</v>
      </c>
      <c r="AA8" s="123">
        <f>IF(port0201!$B$9="All Routes",IF(port0201!$B$8&lt;&gt;"Tonnage","z",ROUND(SUMIFS(Data!$D:$D,Data!$A:$A,AA$5,Data!$C:$C,AA$4,Data!$B:$B,$B8),3)),IF(port0201!$B$8&lt;&gt;"Tonnage","z",ROUND(SUMIFS(Data!$D:$D,Data!$A:$A,AA$5,Data!$C:$C,AA$4,Data!$B:$B,$B8,Data!$F:$F,port0201!$B$9),3)))</f>
        <v>69100.558000000005</v>
      </c>
      <c r="AB8" s="123">
        <f>IF(port0201!$B$9="All Routes",IF(port0201!$B$8&lt;&gt;"Tonnage","z",ROUND(SUMIFS(Data!$D:$D,Data!$A:$A,AB$5,Data!$C:$C,AB$4,Data!$B:$B,$B8),3)),IF(port0201!$B$8&lt;&gt;"Tonnage","z",ROUND(SUMIFS(Data!$D:$D,Data!$A:$A,AB$5,Data!$C:$C,AB$4,Data!$B:$B,$B8,Data!$F:$F,port0201!$B$9),3)))</f>
        <v>70436.150999999998</v>
      </c>
      <c r="AC8" s="123">
        <f>IF(port0201!$B$9="All Routes",IF(port0201!$B$8&lt;&gt;"Tonnage","z",ROUND(SUMIFS(Data!$D:$D,Data!$A:$A,AC$5,Data!$C:$C,AC$4,Data!$B:$B,$B8),3)),IF(port0201!$B$8&lt;&gt;"Tonnage","z",ROUND(SUMIFS(Data!$D:$D,Data!$A:$A,AC$5,Data!$C:$C,AC$4,Data!$B:$B,$B8,Data!$F:$F,port0201!$B$9),3)))</f>
        <v>72004.881999999998</v>
      </c>
      <c r="AE8" s="127">
        <f t="shared" si="0"/>
        <v>2.2271674100988282E-2</v>
      </c>
      <c r="AF8" s="112">
        <f t="shared" si="1"/>
        <v>1568.7309999999998</v>
      </c>
      <c r="AJ8" s="131">
        <f t="shared" si="2"/>
        <v>1335.5929999999935</v>
      </c>
      <c r="AK8" s="132">
        <f t="shared" si="3"/>
        <v>1.9328252023666632E-2</v>
      </c>
    </row>
    <row r="9" spans="1:37" ht="14">
      <c r="A9" s="118" t="s">
        <v>148</v>
      </c>
      <c r="B9" s="119">
        <v>19</v>
      </c>
      <c r="C9" s="120" t="s">
        <v>152</v>
      </c>
      <c r="D9" s="121">
        <f>IF(port0201!$B$9="All Routes",IF(port0201!$B$8&lt;&gt;"Tonnage","z",ROUND(SUMIFS(Data!$D:$D,Data!$A:$A,D$5,Data!$C:$C,D$4,Data!$B:$B,$B9),3)),IF(port0201!$B$8&lt;&gt;"Tonnage","z",ROUND(SUMIFS(Data!$D:$D,Data!$A:$A,D$5,Data!$C:$C,D$4,Data!$B:$B,$B9,Data!$F:$F,port0201!$B$9),3)))</f>
        <v>13456.65</v>
      </c>
      <c r="E9" s="121">
        <f>IF(port0201!$B$9="All Routes",IF(port0201!$B$8&lt;&gt;"Tonnage","z",ROUND(SUMIFS(Data!$D:$D,Data!$A:$A,E$5,Data!$C:$C,E$4,Data!$B:$B,$B9),3)),IF(port0201!$B$8&lt;&gt;"Tonnage","z",ROUND(SUMIFS(Data!$D:$D,Data!$A:$A,E$5,Data!$C:$C,E$4,Data!$B:$B,$B9,Data!$F:$F,port0201!$B$9),3)))</f>
        <v>14332.779</v>
      </c>
      <c r="F9" s="121">
        <f>IF(port0201!$B$9="All Routes",IF(port0201!$B$8&lt;&gt;"Tonnage","z",ROUND(SUMIFS(Data!$D:$D,Data!$A:$A,F$5,Data!$C:$C,F$4,Data!$B:$B,$B9),3)),IF(port0201!$B$8&lt;&gt;"Tonnage","z",ROUND(SUMIFS(Data!$D:$D,Data!$A:$A,F$5,Data!$C:$C,F$4,Data!$B:$B,$B9,Data!$F:$F,port0201!$B$9),3)))</f>
        <v>12257.987999999999</v>
      </c>
      <c r="G9" s="121">
        <f>IF(port0201!$B$9="All Routes",IF(port0201!$B$8&lt;&gt;"Tonnage","z",ROUND(SUMIFS(Data!$D:$D,Data!$A:$A,G$5,Data!$C:$C,G$4,Data!$B:$B,$B9),3)),IF(port0201!$B$8&lt;&gt;"Tonnage","z",ROUND(SUMIFS(Data!$D:$D,Data!$A:$A,G$5,Data!$C:$C,G$4,Data!$B:$B,$B9,Data!$F:$F,port0201!$B$9),3)))</f>
        <v>12086.552</v>
      </c>
      <c r="H9" s="121">
        <f>IF(port0201!$B$9="All Routes",IF(port0201!$B$8&lt;&gt;"Tonnage","z",ROUND(SUMIFS(Data!$D:$D,Data!$A:$A,H$5,Data!$C:$C,H$4,Data!$B:$B,$B9),3)),IF(port0201!$B$8&lt;&gt;"Tonnage","z",ROUND(SUMIFS(Data!$D:$D,Data!$A:$A,H$5,Data!$C:$C,H$4,Data!$B:$B,$B9,Data!$F:$F,port0201!$B$9),3)))</f>
        <v>12451.715</v>
      </c>
      <c r="I9" s="121">
        <f>IF(port0201!$B$9="All Routes",IF(port0201!$B$8&lt;&gt;"Tonnage","z",ROUND(SUMIFS(Data!$D:$D,Data!$A:$A,I$5,Data!$C:$C,I$4,Data!$B:$B,$B9),3)),IF(port0201!$B$8&lt;&gt;"Tonnage","z",ROUND(SUMIFS(Data!$D:$D,Data!$A:$A,I$5,Data!$C:$C,I$4,Data!$B:$B,$B9,Data!$F:$F,port0201!$B$9),3)))</f>
        <v>12767.421</v>
      </c>
      <c r="J9" s="121">
        <f>IF(port0201!$B$9="All Routes",IF(port0201!$B$8&lt;&gt;"Tonnage","z",ROUND(SUMIFS(Data!$D:$D,Data!$A:$A,J$5,Data!$C:$C,J$4,Data!$B:$B,$B9),3)),IF(port0201!$B$8&lt;&gt;"Tonnage","z",ROUND(SUMIFS(Data!$D:$D,Data!$A:$A,J$5,Data!$C:$C,J$4,Data!$B:$B,$B9,Data!$F:$F,port0201!$B$9),3)))</f>
        <v>13597.769</v>
      </c>
      <c r="K9" s="121">
        <f>IF(port0201!$B$9="All Routes",IF(port0201!$B$8&lt;&gt;"Tonnage","z",ROUND(SUMIFS(Data!$D:$D,Data!$A:$A,K$5,Data!$C:$C,K$4,Data!$B:$B,$B9),3)),IF(port0201!$B$8&lt;&gt;"Tonnage","z",ROUND(SUMIFS(Data!$D:$D,Data!$A:$A,K$5,Data!$C:$C,K$4,Data!$B:$B,$B9,Data!$F:$F,port0201!$B$9),3)))</f>
        <v>14598.532999999999</v>
      </c>
      <c r="L9" s="121">
        <f>IF(port0201!$B$9="All Routes",IF(port0201!$B$8&lt;&gt;"Tonnage","z",ROUND(SUMIFS(Data!$D:$D,Data!$A:$A,L$5,Data!$C:$C,L$4,Data!$B:$B,$B9),3)),IF(port0201!$B$8&lt;&gt;"Tonnage","z",ROUND(SUMIFS(Data!$D:$D,Data!$A:$A,L$5,Data!$C:$C,L$4,Data!$B:$B,$B9,Data!$F:$F,port0201!$B$9),3)))</f>
        <v>12770.232</v>
      </c>
      <c r="M9" s="121">
        <f>IF(port0201!$B$9="All Routes",IF(port0201!$B$8&lt;&gt;"Tonnage","z",ROUND(SUMIFS(Data!$D:$D,Data!$A:$A,M$5,Data!$C:$C,M$4,Data!$B:$B,$B9),3)),IF(port0201!$B$8&lt;&gt;"Tonnage","z",ROUND(SUMIFS(Data!$D:$D,Data!$A:$A,M$5,Data!$C:$C,M$4,Data!$B:$B,$B9,Data!$F:$F,port0201!$B$9),3)))</f>
        <v>12474.835999999999</v>
      </c>
      <c r="N9" s="121">
        <f>IF(port0201!$B$9="All Routes",IF(port0201!$B$8&lt;&gt;"Tonnage","z",ROUND(SUMIFS(Data!$D:$D,Data!$A:$A,N$5,Data!$C:$C,N$4,Data!$B:$B,$B9),3)),IF(port0201!$B$8&lt;&gt;"Tonnage","z",ROUND(SUMIFS(Data!$D:$D,Data!$A:$A,N$5,Data!$C:$C,N$4,Data!$B:$B,$B9,Data!$F:$F,port0201!$B$9),3)))</f>
        <v>12765.126</v>
      </c>
      <c r="O9" s="121">
        <f>IF(port0201!$B$9="All Routes",IF(port0201!$B$8&lt;&gt;"Tonnage","z",ROUND(SUMIFS(Data!$D:$D,Data!$A:$A,O$5,Data!$C:$C,O$4,Data!$B:$B,$B9),3)),IF(port0201!$B$8&lt;&gt;"Tonnage","z",ROUND(SUMIFS(Data!$D:$D,Data!$A:$A,O$5,Data!$C:$C,O$4,Data!$B:$B,$B9,Data!$F:$F,port0201!$B$9),3)))</f>
        <v>12010.852000000001</v>
      </c>
      <c r="P9" s="121">
        <f>IF(port0201!$B$9="All Routes",IF(port0201!$B$8&lt;&gt;"Tonnage","z",ROUND(SUMIFS(Data!$D:$D,Data!$A:$A,P$5,Data!$C:$C,P$4,Data!$B:$B,$B9),3)),IF(port0201!$B$8&lt;&gt;"Tonnage","z",ROUND(SUMIFS(Data!$D:$D,Data!$A:$A,P$5,Data!$C:$C,P$4,Data!$B:$B,$B9,Data!$F:$F,port0201!$B$9),3)))</f>
        <v>11166.602000000001</v>
      </c>
      <c r="Q9" s="121">
        <f>IF(port0201!$B$9="All Routes",IF(port0201!$B$8&lt;&gt;"Tonnage","z",ROUND(SUMIFS(Data!$D:$D,Data!$A:$A,Q$5,Data!$C:$C,Q$4,Data!$B:$B,$B9),3)),IF(port0201!$B$8&lt;&gt;"Tonnage","z",ROUND(SUMIFS(Data!$D:$D,Data!$A:$A,Q$5,Data!$C:$C,Q$4,Data!$B:$B,$B9,Data!$F:$F,port0201!$B$9),3)))</f>
        <v>9632.8189999999995</v>
      </c>
      <c r="R9" s="121">
        <f>IF(port0201!$B$9="All Routes",IF(port0201!$B$8&lt;&gt;"Tonnage","z",ROUND(SUMIFS(Data!$D:$D,Data!$A:$A,R$5,Data!$C:$C,R$4,Data!$B:$B,$B9),3)),IF(port0201!$B$8&lt;&gt;"Tonnage","z",ROUND(SUMIFS(Data!$D:$D,Data!$A:$A,R$5,Data!$C:$C,R$4,Data!$B:$B,$B9,Data!$F:$F,port0201!$B$9),3)))</f>
        <v>11085.731</v>
      </c>
      <c r="S9" s="121">
        <f>IF(port0201!$B$9="All Routes",IF(port0201!$B$8&lt;&gt;"Tonnage","z",ROUND(SUMIFS(Data!$D:$D,Data!$A:$A,S$5,Data!$C:$C,S$4,Data!$B:$B,$B9),3)),IF(port0201!$B$8&lt;&gt;"Tonnage","z",ROUND(SUMIFS(Data!$D:$D,Data!$A:$A,S$5,Data!$C:$C,S$4,Data!$B:$B,$B9,Data!$F:$F,port0201!$B$9),3)))</f>
        <v>10461.398999999999</v>
      </c>
      <c r="T9" s="121">
        <f>IF(port0201!$B$9="All Routes",IF(port0201!$B$8&lt;&gt;"Tonnage","z",ROUND(SUMIFS(Data!$D:$D,Data!$A:$A,T$5,Data!$C:$C,T$4,Data!$B:$B,$B9),3)),IF(port0201!$B$8&lt;&gt;"Tonnage","z",ROUND(SUMIFS(Data!$D:$D,Data!$A:$A,T$5,Data!$C:$C,T$4,Data!$B:$B,$B9,Data!$F:$F,port0201!$B$9),3)))</f>
        <v>12053.045</v>
      </c>
      <c r="U9" s="121">
        <f>IF(port0201!$B$9="All Routes",IF(port0201!$B$8&lt;&gt;"Tonnage","z",ROUND(SUMIFS(Data!$D:$D,Data!$A:$A,U$5,Data!$C:$C,U$4,Data!$B:$B,$B9),3)),IF(port0201!$B$8&lt;&gt;"Tonnage","z",ROUND(SUMIFS(Data!$D:$D,Data!$A:$A,U$5,Data!$C:$C,U$4,Data!$B:$B,$B9,Data!$F:$F,port0201!$B$9),3)))</f>
        <v>11205.803</v>
      </c>
      <c r="V9" s="121">
        <f>IF(port0201!$B$9="All Routes",IF(port0201!$B$8&lt;&gt;"Tonnage","z",ROUND(SUMIFS(Data!$D:$D,Data!$A:$A,V$5,Data!$C:$C,V$4,Data!$B:$B,$B9),3)),IF(port0201!$B$8&lt;&gt;"Tonnage","z",ROUND(SUMIFS(Data!$D:$D,Data!$A:$A,V$5,Data!$C:$C,V$4,Data!$B:$B,$B9,Data!$F:$F,port0201!$B$9),3)))</f>
        <v>11161.873</v>
      </c>
      <c r="W9" s="121">
        <f>IF(port0201!$B$9="All Routes",IF(port0201!$B$8&lt;&gt;"Tonnage","z",ROUND(SUMIFS(Data!$D:$D,Data!$A:$A,W$5,Data!$C:$C,W$4,Data!$B:$B,$B9),3)),IF(port0201!$B$8&lt;&gt;"Tonnage","z",ROUND(SUMIFS(Data!$D:$D,Data!$A:$A,W$5,Data!$C:$C,W$4,Data!$B:$B,$B9,Data!$F:$F,port0201!$B$9),3)))</f>
        <v>11743.457</v>
      </c>
      <c r="X9" s="121">
        <f>IF(port0201!$B$9="All Routes",IF(port0201!$B$8&lt;&gt;"Tonnage","z",ROUND(SUMIFS(Data!$D:$D,Data!$A:$A,X$5,Data!$C:$C,X$4,Data!$B:$B,$B9),3)),IF(port0201!$B$8&lt;&gt;"Tonnage","z",ROUND(SUMIFS(Data!$D:$D,Data!$A:$A,X$5,Data!$C:$C,X$4,Data!$B:$B,$B9,Data!$F:$F,port0201!$B$9),3)))</f>
        <v>9658.6990000000005</v>
      </c>
      <c r="Y9" s="121">
        <f>IF(port0201!$B$9="All Routes",IF(port0201!$B$8&lt;&gt;"Tonnage","z",ROUND(SUMIFS(Data!$D:$D,Data!$A:$A,Y$5,Data!$C:$C,Y$4,Data!$B:$B,$B9),3)),IF(port0201!$B$8&lt;&gt;"Tonnage","z",ROUND(SUMIFS(Data!$D:$D,Data!$A:$A,Y$5,Data!$C:$C,Y$4,Data!$B:$B,$B9,Data!$F:$F,port0201!$B$9),3)))</f>
        <v>9145.1910000000007</v>
      </c>
      <c r="Z9" s="121">
        <f>IF(port0201!$B$9="All Routes",IF(port0201!$B$8&lt;&gt;"Tonnage","z",ROUND(SUMIFS(Data!$D:$D,Data!$A:$A,Z$5,Data!$C:$C,Z$4,Data!$B:$B,$B9),3)),IF(port0201!$B$8&lt;&gt;"Tonnage","z",ROUND(SUMIFS(Data!$D:$D,Data!$A:$A,Z$5,Data!$C:$C,Z$4,Data!$B:$B,$B9,Data!$F:$F,port0201!$B$9),3)))</f>
        <v>8786.9549999999999</v>
      </c>
      <c r="AA9" s="121">
        <f>IF(port0201!$B$9="All Routes",IF(port0201!$B$8&lt;&gt;"Tonnage","z",ROUND(SUMIFS(Data!$D:$D,Data!$A:$A,AA$5,Data!$C:$C,AA$4,Data!$B:$B,$B9),3)),IF(port0201!$B$8&lt;&gt;"Tonnage","z",ROUND(SUMIFS(Data!$D:$D,Data!$A:$A,AA$5,Data!$C:$C,AA$4,Data!$B:$B,$B9,Data!$F:$F,port0201!$B$9),3)))</f>
        <v>8525.1679999999997</v>
      </c>
      <c r="AB9" s="121">
        <f>IF(port0201!$B$9="All Routes",IF(port0201!$B$8&lt;&gt;"Tonnage","z",ROUND(SUMIFS(Data!$D:$D,Data!$A:$A,AB$5,Data!$C:$C,AB$4,Data!$B:$B,$B9),3)),IF(port0201!$B$8&lt;&gt;"Tonnage","z",ROUND(SUMIFS(Data!$D:$D,Data!$A:$A,AB$5,Data!$C:$C,AB$4,Data!$B:$B,$B9,Data!$F:$F,port0201!$B$9),3)))</f>
        <v>8465.7080000000005</v>
      </c>
      <c r="AC9" s="121">
        <f>IF(port0201!$B$9="All Routes",IF(port0201!$B$8&lt;&gt;"Tonnage","z",ROUND(SUMIFS(Data!$D:$D,Data!$A:$A,AC$5,Data!$C:$C,AC$4,Data!$B:$B,$B9),3)),IF(port0201!$B$8&lt;&gt;"Tonnage","z",ROUND(SUMIFS(Data!$D:$D,Data!$A:$A,AC$5,Data!$C:$C,AC$4,Data!$B:$B,$B9,Data!$F:$F,port0201!$B$9),3)))</f>
        <v>8519.2450000000008</v>
      </c>
      <c r="AD9" s="133"/>
      <c r="AE9" s="127">
        <f t="shared" si="0"/>
        <v>6.3239837707608458E-3</v>
      </c>
      <c r="AF9" s="112">
        <f t="shared" si="1"/>
        <v>53.537000000000262</v>
      </c>
      <c r="AG9" s="133"/>
      <c r="AH9" s="133"/>
      <c r="AI9" s="133"/>
      <c r="AJ9" s="125">
        <f t="shared" si="2"/>
        <v>-59.459999999999127</v>
      </c>
      <c r="AK9" s="126">
        <f t="shared" si="3"/>
        <v>-6.9746426111484405E-3</v>
      </c>
    </row>
    <row r="10" spans="1:37" ht="13">
      <c r="A10" s="134" t="s">
        <v>148</v>
      </c>
      <c r="B10" s="135" t="s">
        <v>153</v>
      </c>
      <c r="C10" s="136" t="s">
        <v>154</v>
      </c>
      <c r="D10" s="137">
        <f>IF(port0201!$B$8&lt;&gt;"Tonnage","z",ROUND(SUM(D6:D9),3))</f>
        <v>290550.25799999997</v>
      </c>
      <c r="E10" s="137">
        <f>IF(port0201!$B$8&lt;&gt;"Tonnage","z",ROUND(SUM(E6:E9),3))</f>
        <v>273534.272</v>
      </c>
      <c r="F10" s="137">
        <f>IF(port0201!$B$8&lt;&gt;"Tonnage","z",ROUND(SUM(F6:F9),3))</f>
        <v>270795.81300000002</v>
      </c>
      <c r="G10" s="137">
        <f>IF(port0201!$B$8&lt;&gt;"Tonnage","z",ROUND(SUM(G6:G9),3))</f>
        <v>260299.41200000001</v>
      </c>
      <c r="H10" s="137">
        <f>IF(port0201!$B$8&lt;&gt;"Tonnage","z",ROUND(SUM(H6:H9),3))</f>
        <v>267433.51400000002</v>
      </c>
      <c r="I10" s="137">
        <f>IF(port0201!$B$8&lt;&gt;"Tonnage","z",ROUND(SUM(I6:I9),3))</f>
        <v>263166.60499999998</v>
      </c>
      <c r="J10" s="137">
        <f>IF(port0201!$B$8&lt;&gt;"Tonnage","z",ROUND(SUM(J6:J9),3))</f>
        <v>250388.144</v>
      </c>
      <c r="K10" s="137">
        <f>IF(port0201!$B$8&lt;&gt;"Tonnage","z",ROUND(SUM(K6:K9),3))</f>
        <v>248592.424</v>
      </c>
      <c r="L10" s="137">
        <f>IF(port0201!$B$8&lt;&gt;"Tonnage","z",ROUND(SUM(L6:L9),3))</f>
        <v>239173.89799999999</v>
      </c>
      <c r="M10" s="137">
        <f>IF(port0201!$B$8&lt;&gt;"Tonnage","z",ROUND(SUM(M6:M9),3))</f>
        <v>227543.715</v>
      </c>
      <c r="N10" s="137">
        <f>IF(port0201!$B$8&lt;&gt;"Tonnage","z",ROUND(SUM(N6:N9),3))</f>
        <v>231609.288</v>
      </c>
      <c r="O10" s="137">
        <f>IF(port0201!$B$8&lt;&gt;"Tonnage","z",ROUND(SUM(O6:O9),3))</f>
        <v>230558.288</v>
      </c>
      <c r="P10" s="137">
        <f>IF(port0201!$B$8&lt;&gt;"Tonnage","z",ROUND(SUM(P6:P9),3))</f>
        <v>210857.598</v>
      </c>
      <c r="Q10" s="137">
        <f>IF(port0201!$B$8&lt;&gt;"Tonnage","z",ROUND(SUM(Q6:Q9),3))</f>
        <v>196980.02900000001</v>
      </c>
      <c r="R10" s="137">
        <f>IF(port0201!$B$8&lt;&gt;"Tonnage","z",ROUND(SUM(R6:R9),3))</f>
        <v>187796.59599999999</v>
      </c>
      <c r="S10" s="137">
        <f>IF(port0201!$B$8&lt;&gt;"Tonnage","z",ROUND(SUM(S6:S9),3))</f>
        <v>194350.674</v>
      </c>
      <c r="T10" s="137">
        <f>IF(port0201!$B$8&lt;&gt;"Tonnage","z",ROUND(SUM(T6:T9),3))</f>
        <v>190994.20499999999</v>
      </c>
      <c r="U10" s="137">
        <f>IF(port0201!$B$8&lt;&gt;"Tonnage","z",ROUND(SUM(U6:U9),3))</f>
        <v>189144.01300000001</v>
      </c>
      <c r="V10" s="137">
        <f>IF(port0201!$B$8&lt;&gt;"Tonnage","z",ROUND(SUM(V6:V9),3))</f>
        <v>184173.818</v>
      </c>
      <c r="W10" s="137">
        <f>IF(port0201!$B$8&lt;&gt;"Tonnage","z",ROUND(SUM(W6:W9),3))</f>
        <v>191469.95499999999</v>
      </c>
      <c r="X10" s="137">
        <f>IF(port0201!$B$8&lt;&gt;"Tonnage","z",ROUND(SUM(X6:X9),3))</f>
        <v>165550.91200000001</v>
      </c>
      <c r="Y10" s="137">
        <f>IF(port0201!$B$8&lt;&gt;"Tonnage","z",ROUND(SUM(Y6:Y9),3))</f>
        <v>161859.342</v>
      </c>
      <c r="Z10" s="137">
        <f>IF(port0201!$B$8&lt;&gt;"Tonnage","z",ROUND(SUM(Z6:Z9),3))</f>
        <v>180026.38800000001</v>
      </c>
      <c r="AA10" s="137">
        <f>IF(port0201!$B$8&lt;&gt;"Tonnage","z",ROUND(SUM(AA6:AA9),3))</f>
        <v>169264.76500000001</v>
      </c>
      <c r="AB10" s="137">
        <f>IF(port0201!$B$8&lt;&gt;"Tonnage","z",ROUND(SUM(AB6:AB9),3))</f>
        <v>163099.68299999999</v>
      </c>
      <c r="AC10" s="137">
        <f>IF(port0201!$B$8&lt;&gt;"Tonnage","z",ROUND(SUM(AC6:AC9),3))</f>
        <v>159987.652</v>
      </c>
      <c r="AD10" s="133">
        <f>SUM(AB6:AB9)-AB10</f>
        <v>0</v>
      </c>
      <c r="AE10" s="127">
        <f t="shared" si="0"/>
        <v>-1.9080545975064759E-2</v>
      </c>
      <c r="AF10" s="112">
        <f t="shared" si="1"/>
        <v>-3112.0309999999881</v>
      </c>
      <c r="AG10" s="127">
        <f>AC10/AC36</f>
        <v>0.38134133600482284</v>
      </c>
      <c r="AH10" s="127">
        <f>(AH7-AH6)/AH6</f>
        <v>0.23578786379380146</v>
      </c>
      <c r="AI10" s="133"/>
      <c r="AJ10" s="125">
        <f t="shared" si="2"/>
        <v>-6165.082000000024</v>
      </c>
      <c r="AK10" s="126">
        <f t="shared" si="3"/>
        <v>-3.6422713256359193E-2</v>
      </c>
    </row>
    <row r="11" spans="1:37" ht="14">
      <c r="A11" s="118" t="s">
        <v>155</v>
      </c>
      <c r="B11" s="119">
        <v>21</v>
      </c>
      <c r="C11" s="120" t="s">
        <v>156</v>
      </c>
      <c r="D11" s="121">
        <f>IF(port0201!$B$9="All Routes",IF(port0201!$B$8&lt;&gt;"Tonnage","z",ROUND(SUMIFS(Data!$D:$D,Data!$A:$A,D$5,Data!$C:$C,D$4,Data!$B:$B,$B11),3)),IF(port0201!$B$8&lt;&gt;"Tonnage","z",ROUND(SUMIFS(Data!$D:$D,Data!$A:$A,D$5,Data!$C:$C,D$4,Data!$B:$B,$B11,Data!$F:$F,port0201!$B$9),3)))</f>
        <v>20318.624</v>
      </c>
      <c r="E11" s="121">
        <f>IF(port0201!$B$9="All Routes",IF(port0201!$B$8&lt;&gt;"Tonnage","z",ROUND(SUMIFS(Data!$D:$D,Data!$A:$A,E$5,Data!$C:$C,E$4,Data!$B:$B,$B11),3)),IF(port0201!$B$8&lt;&gt;"Tonnage","z",ROUND(SUMIFS(Data!$D:$D,Data!$A:$A,E$5,Data!$C:$C,E$4,Data!$B:$B,$B11,Data!$F:$F,port0201!$B$9),3)))</f>
        <v>19559.759999999998</v>
      </c>
      <c r="F11" s="121">
        <f>IF(port0201!$B$9="All Routes",IF(port0201!$B$8&lt;&gt;"Tonnage","z",ROUND(SUMIFS(Data!$D:$D,Data!$A:$A,F$5,Data!$C:$C,F$4,Data!$B:$B,$B11),3)),IF(port0201!$B$8&lt;&gt;"Tonnage","z",ROUND(SUMIFS(Data!$D:$D,Data!$A:$A,F$5,Data!$C:$C,F$4,Data!$B:$B,$B11,Data!$F:$F,port0201!$B$9),3)))</f>
        <v>17009.198</v>
      </c>
      <c r="G11" s="121">
        <f>IF(port0201!$B$9="All Routes",IF(port0201!$B$8&lt;&gt;"Tonnage","z",ROUND(SUMIFS(Data!$D:$D,Data!$A:$A,G$5,Data!$C:$C,G$4,Data!$B:$B,$B11),3)),IF(port0201!$B$8&lt;&gt;"Tonnage","z",ROUND(SUMIFS(Data!$D:$D,Data!$A:$A,G$5,Data!$C:$C,G$4,Data!$B:$B,$B11,Data!$F:$F,port0201!$B$9),3)))</f>
        <v>17988.786</v>
      </c>
      <c r="H11" s="121">
        <f>IF(port0201!$B$9="All Routes",IF(port0201!$B$8&lt;&gt;"Tonnage","z",ROUND(SUMIFS(Data!$D:$D,Data!$A:$A,H$5,Data!$C:$C,H$4,Data!$B:$B,$B11),3)),IF(port0201!$B$8&lt;&gt;"Tonnage","z",ROUND(SUMIFS(Data!$D:$D,Data!$A:$A,H$5,Data!$C:$C,H$4,Data!$B:$B,$B11,Data!$F:$F,port0201!$B$9),3)))</f>
        <v>17826.583999999999</v>
      </c>
      <c r="I11" s="121">
        <f>IF(port0201!$B$9="All Routes",IF(port0201!$B$8&lt;&gt;"Tonnage","z",ROUND(SUMIFS(Data!$D:$D,Data!$A:$A,I$5,Data!$C:$C,I$4,Data!$B:$B,$B11),3)),IF(port0201!$B$8&lt;&gt;"Tonnage","z",ROUND(SUMIFS(Data!$D:$D,Data!$A:$A,I$5,Data!$C:$C,I$4,Data!$B:$B,$B11,Data!$F:$F,port0201!$B$9),3)))</f>
        <v>17940.508999999998</v>
      </c>
      <c r="J11" s="121">
        <f>IF(port0201!$B$9="All Routes",IF(port0201!$B$8&lt;&gt;"Tonnage","z",ROUND(SUMIFS(Data!$D:$D,Data!$A:$A,J$5,Data!$C:$C,J$4,Data!$B:$B,$B11),3)),IF(port0201!$B$8&lt;&gt;"Tonnage","z",ROUND(SUMIFS(Data!$D:$D,Data!$A:$A,J$5,Data!$C:$C,J$4,Data!$B:$B,$B11,Data!$F:$F,port0201!$B$9),3)))</f>
        <v>18300.510999999999</v>
      </c>
      <c r="K11" s="121">
        <f>IF(port0201!$B$9="All Routes",IF(port0201!$B$8&lt;&gt;"Tonnage","z",ROUND(SUMIFS(Data!$D:$D,Data!$A:$A,K$5,Data!$C:$C,K$4,Data!$B:$B,$B11),3)),IF(port0201!$B$8&lt;&gt;"Tonnage","z",ROUND(SUMIFS(Data!$D:$D,Data!$A:$A,K$5,Data!$C:$C,K$4,Data!$B:$B,$B11,Data!$F:$F,port0201!$B$9),3)))</f>
        <v>19144.280999999999</v>
      </c>
      <c r="L11" s="121">
        <f>IF(port0201!$B$9="All Routes",IF(port0201!$B$8&lt;&gt;"Tonnage","z",ROUND(SUMIFS(Data!$D:$D,Data!$A:$A,L$5,Data!$C:$C,L$4,Data!$B:$B,$B11),3)),IF(port0201!$B$8&lt;&gt;"Tonnage","z",ROUND(SUMIFS(Data!$D:$D,Data!$A:$A,L$5,Data!$C:$C,L$4,Data!$B:$B,$B11,Data!$F:$F,port0201!$B$9),3)))</f>
        <v>18091.132000000001</v>
      </c>
      <c r="M11" s="121">
        <f>IF(port0201!$B$9="All Routes",IF(port0201!$B$8&lt;&gt;"Tonnage","z",ROUND(SUMIFS(Data!$D:$D,Data!$A:$A,M$5,Data!$C:$C,M$4,Data!$B:$B,$B11),3)),IF(port0201!$B$8&lt;&gt;"Tonnage","z",ROUND(SUMIFS(Data!$D:$D,Data!$A:$A,M$5,Data!$C:$C,M$4,Data!$B:$B,$B11,Data!$F:$F,port0201!$B$9),3)))</f>
        <v>14822.48</v>
      </c>
      <c r="N11" s="121">
        <f>IF(port0201!$B$9="All Routes",IF(port0201!$B$8&lt;&gt;"Tonnage","z",ROUND(SUMIFS(Data!$D:$D,Data!$A:$A,N$5,Data!$C:$C,N$4,Data!$B:$B,$B11),3)),IF(port0201!$B$8&lt;&gt;"Tonnage","z",ROUND(SUMIFS(Data!$D:$D,Data!$A:$A,N$5,Data!$C:$C,N$4,Data!$B:$B,$B11,Data!$F:$F,port0201!$B$9),3)))</f>
        <v>18235.089</v>
      </c>
      <c r="O11" s="121">
        <f>IF(port0201!$B$9="All Routes",IF(port0201!$B$8&lt;&gt;"Tonnage","z",ROUND(SUMIFS(Data!$D:$D,Data!$A:$A,O$5,Data!$C:$C,O$4,Data!$B:$B,$B11),3)),IF(port0201!$B$8&lt;&gt;"Tonnage","z",ROUND(SUMIFS(Data!$D:$D,Data!$A:$A,O$5,Data!$C:$C,O$4,Data!$B:$B,$B11,Data!$F:$F,port0201!$B$9),3)))</f>
        <v>16702.014999999999</v>
      </c>
      <c r="P11" s="121">
        <f>IF(port0201!$B$9="All Routes",IF(port0201!$B$8&lt;&gt;"Tonnage","z",ROUND(SUMIFS(Data!$D:$D,Data!$A:$A,P$5,Data!$C:$C,P$4,Data!$B:$B,$B11),3)),IF(port0201!$B$8&lt;&gt;"Tonnage","z",ROUND(SUMIFS(Data!$D:$D,Data!$A:$A,P$5,Data!$C:$C,P$4,Data!$B:$B,$B11,Data!$F:$F,port0201!$B$9),3)))</f>
        <v>16320.324000000001</v>
      </c>
      <c r="Q11" s="121">
        <f>IF(port0201!$B$9="All Routes",IF(port0201!$B$8&lt;&gt;"Tonnage","z",ROUND(SUMIFS(Data!$D:$D,Data!$A:$A,Q$5,Data!$C:$C,Q$4,Data!$B:$B,$B11),3)),IF(port0201!$B$8&lt;&gt;"Tonnage","z",ROUND(SUMIFS(Data!$D:$D,Data!$A:$A,Q$5,Data!$C:$C,Q$4,Data!$B:$B,$B11,Data!$F:$F,port0201!$B$9),3)))</f>
        <v>20754.350999999999</v>
      </c>
      <c r="R11" s="121">
        <f>IF(port0201!$B$9="All Routes",IF(port0201!$B$8&lt;&gt;"Tonnage","z",ROUND(SUMIFS(Data!$D:$D,Data!$A:$A,R$5,Data!$C:$C,R$4,Data!$B:$B,$B11),3)),IF(port0201!$B$8&lt;&gt;"Tonnage","z",ROUND(SUMIFS(Data!$D:$D,Data!$A:$A,R$5,Data!$C:$C,R$4,Data!$B:$B,$B11,Data!$F:$F,port0201!$B$9),3)))</f>
        <v>20782.526000000002</v>
      </c>
      <c r="S11" s="121">
        <f>IF(port0201!$B$9="All Routes",IF(port0201!$B$8&lt;&gt;"Tonnage","z",ROUND(SUMIFS(Data!$D:$D,Data!$A:$A,S$5,Data!$C:$C,S$4,Data!$B:$B,$B11),3)),IF(port0201!$B$8&lt;&gt;"Tonnage","z",ROUND(SUMIFS(Data!$D:$D,Data!$A:$A,S$5,Data!$C:$C,S$4,Data!$B:$B,$B11,Data!$F:$F,port0201!$B$9),3)))</f>
        <v>17720.308000000001</v>
      </c>
      <c r="T11" s="121">
        <f>IF(port0201!$B$9="All Routes",IF(port0201!$B$8&lt;&gt;"Tonnage","z",ROUND(SUMIFS(Data!$D:$D,Data!$A:$A,T$5,Data!$C:$C,T$4,Data!$B:$B,$B11),3)),IF(port0201!$B$8&lt;&gt;"Tonnage","z",ROUND(SUMIFS(Data!$D:$D,Data!$A:$A,T$5,Data!$C:$C,T$4,Data!$B:$B,$B11,Data!$F:$F,port0201!$B$9),3)))</f>
        <v>15714.373</v>
      </c>
      <c r="U11" s="121">
        <f>IF(port0201!$B$9="All Routes",IF(port0201!$B$8&lt;&gt;"Tonnage","z",ROUND(SUMIFS(Data!$D:$D,Data!$A:$A,U$5,Data!$C:$C,U$4,Data!$B:$B,$B11),3)),IF(port0201!$B$8&lt;&gt;"Tonnage","z",ROUND(SUMIFS(Data!$D:$D,Data!$A:$A,U$5,Data!$C:$C,U$4,Data!$B:$B,$B11,Data!$F:$F,port0201!$B$9),3)))</f>
        <v>17052.631000000001</v>
      </c>
      <c r="V11" s="121">
        <f>IF(port0201!$B$9="All Routes",IF(port0201!$B$8&lt;&gt;"Tonnage","z",ROUND(SUMIFS(Data!$D:$D,Data!$A:$A,V$5,Data!$C:$C,V$4,Data!$B:$B,$B11),3)),IF(port0201!$B$8&lt;&gt;"Tonnage","z",ROUND(SUMIFS(Data!$D:$D,Data!$A:$A,V$5,Data!$C:$C,V$4,Data!$B:$B,$B11,Data!$F:$F,port0201!$B$9),3)))</f>
        <v>15551.995999999999</v>
      </c>
      <c r="W11" s="121">
        <f>IF(port0201!$B$9="All Routes",IF(port0201!$B$8&lt;&gt;"Tonnage","z",ROUND(SUMIFS(Data!$D:$D,Data!$A:$A,W$5,Data!$C:$C,W$4,Data!$B:$B,$B11),3)),IF(port0201!$B$8&lt;&gt;"Tonnage","z",ROUND(SUMIFS(Data!$D:$D,Data!$A:$A,W$5,Data!$C:$C,W$4,Data!$B:$B,$B11,Data!$F:$F,port0201!$B$9),3)))</f>
        <v>15210.142</v>
      </c>
      <c r="X11" s="121">
        <f>IF(port0201!$B$9="All Routes",IF(port0201!$B$8&lt;&gt;"Tonnage","z",ROUND(SUMIFS(Data!$D:$D,Data!$A:$A,X$5,Data!$C:$C,X$4,Data!$B:$B,$B11),3)),IF(port0201!$B$8&lt;&gt;"Tonnage","z",ROUND(SUMIFS(Data!$D:$D,Data!$A:$A,X$5,Data!$C:$C,X$4,Data!$B:$B,$B11,Data!$F:$F,port0201!$B$9),3)))</f>
        <v>15610.288</v>
      </c>
      <c r="Y11" s="121">
        <f>IF(port0201!$B$9="All Routes",IF(port0201!$B$8&lt;&gt;"Tonnage","z",ROUND(SUMIFS(Data!$D:$D,Data!$A:$A,Y$5,Data!$C:$C,Y$4,Data!$B:$B,$B11),3)),IF(port0201!$B$8&lt;&gt;"Tonnage","z",ROUND(SUMIFS(Data!$D:$D,Data!$A:$A,Y$5,Data!$C:$C,Y$4,Data!$B:$B,$B11,Data!$F:$F,port0201!$B$9),3)))</f>
        <v>17703.984</v>
      </c>
      <c r="Z11" s="121">
        <f>IF(port0201!$B$9="All Routes",IF(port0201!$B$8&lt;&gt;"Tonnage","z",ROUND(SUMIFS(Data!$D:$D,Data!$A:$A,Z$5,Data!$C:$C,Z$4,Data!$B:$B,$B11),3)),IF(port0201!$B$8&lt;&gt;"Tonnage","z",ROUND(SUMIFS(Data!$D:$D,Data!$A:$A,Z$5,Data!$C:$C,Z$4,Data!$B:$B,$B11,Data!$F:$F,port0201!$B$9),3)))</f>
        <v>15192.78</v>
      </c>
      <c r="AA11" s="121">
        <f>IF(port0201!$B$9="All Routes",IF(port0201!$B$8&lt;&gt;"Tonnage","z",ROUND(SUMIFS(Data!$D:$D,Data!$A:$A,AA$5,Data!$C:$C,AA$4,Data!$B:$B,$B11),3)),IF(port0201!$B$8&lt;&gt;"Tonnage","z",ROUND(SUMIFS(Data!$D:$D,Data!$A:$A,AA$5,Data!$C:$C,AA$4,Data!$B:$B,$B11,Data!$F:$F,port0201!$B$9),3)))</f>
        <v>13265.441000000001</v>
      </c>
      <c r="AB11" s="121">
        <f>IF(port0201!$B$9="All Routes",IF(port0201!$B$8&lt;&gt;"Tonnage","z",ROUND(SUMIFS(Data!$D:$D,Data!$A:$A,AB$5,Data!$C:$C,AB$4,Data!$B:$B,$B11),3)),IF(port0201!$B$8&lt;&gt;"Tonnage","z",ROUND(SUMIFS(Data!$D:$D,Data!$A:$A,AB$5,Data!$C:$C,AB$4,Data!$B:$B,$B11,Data!$F:$F,port0201!$B$9),3)))</f>
        <v>11407.86</v>
      </c>
      <c r="AC11" s="121">
        <f>IF(port0201!$B$9="All Routes",IF(port0201!$B$8&lt;&gt;"Tonnage","z",ROUND(SUMIFS(Data!$D:$D,Data!$A:$A,AC$5,Data!$C:$C,AC$4,Data!$B:$B,$B11),3)),IF(port0201!$B$8&lt;&gt;"Tonnage","z",ROUND(SUMIFS(Data!$D:$D,Data!$A:$A,AC$5,Data!$C:$C,AC$4,Data!$B:$B,$B11,Data!$F:$F,port0201!$B$9),3)))</f>
        <v>9963.6569999999992</v>
      </c>
      <c r="AD11" s="133"/>
      <c r="AE11" s="127">
        <f t="shared" si="0"/>
        <v>-0.12659718825441418</v>
      </c>
      <c r="AF11" s="112">
        <f t="shared" si="1"/>
        <v>-1444.2030000000013</v>
      </c>
      <c r="AG11" s="133">
        <f>AC11-AB11</f>
        <v>-1444.2030000000013</v>
      </c>
      <c r="AH11" s="133"/>
      <c r="AI11" s="133"/>
      <c r="AJ11" s="125">
        <f t="shared" si="2"/>
        <v>-1857.5810000000001</v>
      </c>
      <c r="AK11" s="126">
        <f t="shared" si="3"/>
        <v>-0.14003160543249185</v>
      </c>
    </row>
    <row r="12" spans="1:37" ht="14">
      <c r="A12" s="118" t="s">
        <v>155</v>
      </c>
      <c r="B12" s="119">
        <v>22</v>
      </c>
      <c r="C12" s="120" t="s">
        <v>157</v>
      </c>
      <c r="D12" s="121">
        <f>IF(port0201!$B$9="All Routes",IF(port0201!$B$8&lt;&gt;"Tonnage","z",ROUND(SUMIFS(Data!$D:$D,Data!$A:$A,D$5,Data!$C:$C,D$4,Data!$B:$B,$B12),3)),IF(port0201!$B$8&lt;&gt;"Tonnage","z",ROUND(SUMIFS(Data!$D:$D,Data!$A:$A,D$5,Data!$C:$C,D$4,Data!$B:$B,$B12,Data!$F:$F,port0201!$B$9),3)))</f>
        <v>27830.276999999998</v>
      </c>
      <c r="E12" s="121">
        <f>IF(port0201!$B$9="All Routes",IF(port0201!$B$8&lt;&gt;"Tonnage","z",ROUND(SUMIFS(Data!$D:$D,Data!$A:$A,E$5,Data!$C:$C,E$4,Data!$B:$B,$B12),3)),IF(port0201!$B$8&lt;&gt;"Tonnage","z",ROUND(SUMIFS(Data!$D:$D,Data!$A:$A,E$5,Data!$C:$C,E$4,Data!$B:$B,$B12,Data!$F:$F,port0201!$B$9),3)))</f>
        <v>39919.834999999999</v>
      </c>
      <c r="F12" s="121">
        <f>IF(port0201!$B$9="All Routes",IF(port0201!$B$8&lt;&gt;"Tonnage","z",ROUND(SUMIFS(Data!$D:$D,Data!$A:$A,F$5,Data!$C:$C,F$4,Data!$B:$B,$B12),3)),IF(port0201!$B$8&lt;&gt;"Tonnage","z",ROUND(SUMIFS(Data!$D:$D,Data!$A:$A,F$5,Data!$C:$C,F$4,Data!$B:$B,$B12,Data!$F:$F,port0201!$B$9),3)))</f>
        <v>32998.074000000001</v>
      </c>
      <c r="G12" s="121">
        <f>IF(port0201!$B$9="All Routes",IF(port0201!$B$8&lt;&gt;"Tonnage","z",ROUND(SUMIFS(Data!$D:$D,Data!$A:$A,G$5,Data!$C:$C,G$4,Data!$B:$B,$B12),3)),IF(port0201!$B$8&lt;&gt;"Tonnage","z",ROUND(SUMIFS(Data!$D:$D,Data!$A:$A,G$5,Data!$C:$C,G$4,Data!$B:$B,$B12,Data!$F:$F,port0201!$B$9),3)))</f>
        <v>37280.728000000003</v>
      </c>
      <c r="H12" s="121">
        <f>IF(port0201!$B$9="All Routes",IF(port0201!$B$8&lt;&gt;"Tonnage","z",ROUND(SUMIFS(Data!$D:$D,Data!$A:$A,H$5,Data!$C:$C,H$4,Data!$B:$B,$B12),3)),IF(port0201!$B$8&lt;&gt;"Tonnage","z",ROUND(SUMIFS(Data!$D:$D,Data!$A:$A,H$5,Data!$C:$C,H$4,Data!$B:$B,$B12,Data!$F:$F,port0201!$B$9),3)))</f>
        <v>41315.997000000003</v>
      </c>
      <c r="I12" s="121">
        <f>IF(port0201!$B$9="All Routes",IF(port0201!$B$8&lt;&gt;"Tonnage","z",ROUND(SUMIFS(Data!$D:$D,Data!$A:$A,I$5,Data!$C:$C,I$4,Data!$B:$B,$B12),3)),IF(port0201!$B$8&lt;&gt;"Tonnage","z",ROUND(SUMIFS(Data!$D:$D,Data!$A:$A,I$5,Data!$C:$C,I$4,Data!$B:$B,$B12,Data!$F:$F,port0201!$B$9),3)))</f>
        <v>51787.366000000002</v>
      </c>
      <c r="J12" s="121">
        <f>IF(port0201!$B$9="All Routes",IF(port0201!$B$8&lt;&gt;"Tonnage","z",ROUND(SUMIFS(Data!$D:$D,Data!$A:$A,J$5,Data!$C:$C,J$4,Data!$B:$B,$B12),3)),IF(port0201!$B$8&lt;&gt;"Tonnage","z",ROUND(SUMIFS(Data!$D:$D,Data!$A:$A,J$5,Data!$C:$C,J$4,Data!$B:$B,$B12,Data!$F:$F,port0201!$B$9),3)))</f>
        <v>57281.96</v>
      </c>
      <c r="K12" s="121">
        <f>IF(port0201!$B$9="All Routes",IF(port0201!$B$8&lt;&gt;"Tonnage","z",ROUND(SUMIFS(Data!$D:$D,Data!$A:$A,K$5,Data!$C:$C,K$4,Data!$B:$B,$B12),3)),IF(port0201!$B$8&lt;&gt;"Tonnage","z",ROUND(SUMIFS(Data!$D:$D,Data!$A:$A,K$5,Data!$C:$C,K$4,Data!$B:$B,$B12,Data!$F:$F,port0201!$B$9),3)))</f>
        <v>47426.646999999997</v>
      </c>
      <c r="L12" s="121">
        <f>IF(port0201!$B$9="All Routes",IF(port0201!$B$8&lt;&gt;"Tonnage","z",ROUND(SUMIFS(Data!$D:$D,Data!$A:$A,L$5,Data!$C:$C,L$4,Data!$B:$B,$B12),3)),IF(port0201!$B$8&lt;&gt;"Tonnage","z",ROUND(SUMIFS(Data!$D:$D,Data!$A:$A,L$5,Data!$C:$C,L$4,Data!$B:$B,$B12,Data!$F:$F,port0201!$B$9),3)))</f>
        <v>50514.656999999999</v>
      </c>
      <c r="M12" s="121">
        <f>IF(port0201!$B$9="All Routes",IF(port0201!$B$8&lt;&gt;"Tonnage","z",ROUND(SUMIFS(Data!$D:$D,Data!$A:$A,M$5,Data!$C:$C,M$4,Data!$B:$B,$B12),3)),IF(port0201!$B$8&lt;&gt;"Tonnage","z",ROUND(SUMIFS(Data!$D:$D,Data!$A:$A,M$5,Data!$C:$C,M$4,Data!$B:$B,$B12,Data!$F:$F,port0201!$B$9),3)))</f>
        <v>39612.493999999999</v>
      </c>
      <c r="N12" s="121">
        <f>IF(port0201!$B$9="All Routes",IF(port0201!$B$8&lt;&gt;"Tonnage","z",ROUND(SUMIFS(Data!$D:$D,Data!$A:$A,N$5,Data!$C:$C,N$4,Data!$B:$B,$B12),3)),IF(port0201!$B$8&lt;&gt;"Tonnage","z",ROUND(SUMIFS(Data!$D:$D,Data!$A:$A,N$5,Data!$C:$C,N$4,Data!$B:$B,$B12,Data!$F:$F,port0201!$B$9),3)))</f>
        <v>29852.026000000002</v>
      </c>
      <c r="O12" s="121">
        <f>IF(port0201!$B$9="All Routes",IF(port0201!$B$8&lt;&gt;"Tonnage","z",ROUND(SUMIFS(Data!$D:$D,Data!$A:$A,O$5,Data!$C:$C,O$4,Data!$B:$B,$B12),3)),IF(port0201!$B$8&lt;&gt;"Tonnage","z",ROUND(SUMIFS(Data!$D:$D,Data!$A:$A,O$5,Data!$C:$C,O$4,Data!$B:$B,$B12,Data!$F:$F,port0201!$B$9),3)))</f>
        <v>36909.595999999998</v>
      </c>
      <c r="P12" s="121">
        <f>IF(port0201!$B$9="All Routes",IF(port0201!$B$8&lt;&gt;"Tonnage","z",ROUND(SUMIFS(Data!$D:$D,Data!$A:$A,P$5,Data!$C:$C,P$4,Data!$B:$B,$B12),3)),IF(port0201!$B$8&lt;&gt;"Tonnage","z",ROUND(SUMIFS(Data!$D:$D,Data!$A:$A,P$5,Data!$C:$C,P$4,Data!$B:$B,$B12,Data!$F:$F,port0201!$B$9),3)))</f>
        <v>47040.152000000002</v>
      </c>
      <c r="Q12" s="121">
        <f>IF(port0201!$B$9="All Routes",IF(port0201!$B$8&lt;&gt;"Tonnage","z",ROUND(SUMIFS(Data!$D:$D,Data!$A:$A,Q$5,Data!$C:$C,Q$4,Data!$B:$B,$B12),3)),IF(port0201!$B$8&lt;&gt;"Tonnage","z",ROUND(SUMIFS(Data!$D:$D,Data!$A:$A,Q$5,Data!$C:$C,Q$4,Data!$B:$B,$B12,Data!$F:$F,port0201!$B$9),3)))</f>
        <v>52186.108</v>
      </c>
      <c r="R12" s="121">
        <f>IF(port0201!$B$9="All Routes",IF(port0201!$B$8&lt;&gt;"Tonnage","z",ROUND(SUMIFS(Data!$D:$D,Data!$A:$A,R$5,Data!$C:$C,R$4,Data!$B:$B,$B12),3)),IF(port0201!$B$8&lt;&gt;"Tonnage","z",ROUND(SUMIFS(Data!$D:$D,Data!$A:$A,R$5,Data!$C:$C,R$4,Data!$B:$B,$B12,Data!$F:$F,port0201!$B$9),3)))</f>
        <v>44658.472000000002</v>
      </c>
      <c r="S12" s="121">
        <f>IF(port0201!$B$9="All Routes",IF(port0201!$B$8&lt;&gt;"Tonnage","z",ROUND(SUMIFS(Data!$D:$D,Data!$A:$A,S$5,Data!$C:$C,S$4,Data!$B:$B,$B12),3)),IF(port0201!$B$8&lt;&gt;"Tonnage","z",ROUND(SUMIFS(Data!$D:$D,Data!$A:$A,S$5,Data!$C:$C,S$4,Data!$B:$B,$B12,Data!$F:$F,port0201!$B$9),3)))</f>
        <v>25341.618999999999</v>
      </c>
      <c r="T12" s="121">
        <f>IF(port0201!$B$9="All Routes",IF(port0201!$B$8&lt;&gt;"Tonnage","z",ROUND(SUMIFS(Data!$D:$D,Data!$A:$A,T$5,Data!$C:$C,T$4,Data!$B:$B,$B12),3)),IF(port0201!$B$8&lt;&gt;"Tonnage","z",ROUND(SUMIFS(Data!$D:$D,Data!$A:$A,T$5,Data!$C:$C,T$4,Data!$B:$B,$B12,Data!$F:$F,port0201!$B$9),3)))</f>
        <v>12011.141</v>
      </c>
      <c r="U12" s="121">
        <f>IF(port0201!$B$9="All Routes",IF(port0201!$B$8&lt;&gt;"Tonnage","z",ROUND(SUMIFS(Data!$D:$D,Data!$A:$A,U$5,Data!$C:$C,U$4,Data!$B:$B,$B12),3)),IF(port0201!$B$8&lt;&gt;"Tonnage","z",ROUND(SUMIFS(Data!$D:$D,Data!$A:$A,U$5,Data!$C:$C,U$4,Data!$B:$B,$B12,Data!$F:$F,port0201!$B$9),3)))</f>
        <v>10547.152</v>
      </c>
      <c r="V12" s="121">
        <f>IF(port0201!$B$9="All Routes",IF(port0201!$B$8&lt;&gt;"Tonnage","z",ROUND(SUMIFS(Data!$D:$D,Data!$A:$A,V$5,Data!$C:$C,V$4,Data!$B:$B,$B12),3)),IF(port0201!$B$8&lt;&gt;"Tonnage","z",ROUND(SUMIFS(Data!$D:$D,Data!$A:$A,V$5,Data!$C:$C,V$4,Data!$B:$B,$B12,Data!$F:$F,port0201!$B$9),3)))</f>
        <v>12929.876</v>
      </c>
      <c r="W12" s="121">
        <f>IF(port0201!$B$9="All Routes",IF(port0201!$B$8&lt;&gt;"Tonnage","z",ROUND(SUMIFS(Data!$D:$D,Data!$A:$A,W$5,Data!$C:$C,W$4,Data!$B:$B,$B12),3)),IF(port0201!$B$8&lt;&gt;"Tonnage","z",ROUND(SUMIFS(Data!$D:$D,Data!$A:$A,W$5,Data!$C:$C,W$4,Data!$B:$B,$B12,Data!$F:$F,port0201!$B$9),3)))</f>
        <v>8736.5660000000007</v>
      </c>
      <c r="X12" s="121">
        <f>IF(port0201!$B$9="All Routes",IF(port0201!$B$8&lt;&gt;"Tonnage","z",ROUND(SUMIFS(Data!$D:$D,Data!$A:$A,X$5,Data!$C:$C,X$4,Data!$B:$B,$B12),3)),IF(port0201!$B$8&lt;&gt;"Tonnage","z",ROUND(SUMIFS(Data!$D:$D,Data!$A:$A,X$5,Data!$C:$C,X$4,Data!$B:$B,$B12,Data!$F:$F,port0201!$B$9),3)))</f>
        <v>7642.28</v>
      </c>
      <c r="Y12" s="121">
        <f>IF(port0201!$B$9="All Routes",IF(port0201!$B$8&lt;&gt;"Tonnage","z",ROUND(SUMIFS(Data!$D:$D,Data!$A:$A,Y$5,Data!$C:$C,Y$4,Data!$B:$B,$B12),3)),IF(port0201!$B$8&lt;&gt;"Tonnage","z",ROUND(SUMIFS(Data!$D:$D,Data!$A:$A,Y$5,Data!$C:$C,Y$4,Data!$B:$B,$B12,Data!$F:$F,port0201!$B$9),3)))</f>
        <v>8472.7389999999996</v>
      </c>
      <c r="Z12" s="121">
        <f>IF(port0201!$B$9="All Routes",IF(port0201!$B$8&lt;&gt;"Tonnage","z",ROUND(SUMIFS(Data!$D:$D,Data!$A:$A,Z$5,Data!$C:$C,Z$4,Data!$B:$B,$B12),3)),IF(port0201!$B$8&lt;&gt;"Tonnage","z",ROUND(SUMIFS(Data!$D:$D,Data!$A:$A,Z$5,Data!$C:$C,Z$4,Data!$B:$B,$B12,Data!$F:$F,port0201!$B$9),3)))</f>
        <v>10174.091</v>
      </c>
      <c r="AA12" s="121">
        <f>IF(port0201!$B$9="All Routes",IF(port0201!$B$8&lt;&gt;"Tonnage","z",ROUND(SUMIFS(Data!$D:$D,Data!$A:$A,AA$5,Data!$C:$C,AA$4,Data!$B:$B,$B12),3)),IF(port0201!$B$8&lt;&gt;"Tonnage","z",ROUND(SUMIFS(Data!$D:$D,Data!$A:$A,AA$5,Data!$C:$C,AA$4,Data!$B:$B,$B12,Data!$F:$F,port0201!$B$9),3)))</f>
        <v>6719.47</v>
      </c>
      <c r="AB12" s="121">
        <f>IF(port0201!$B$9="All Routes",IF(port0201!$B$8&lt;&gt;"Tonnage","z",ROUND(SUMIFS(Data!$D:$D,Data!$A:$A,AB$5,Data!$C:$C,AB$4,Data!$B:$B,$B12),3)),IF(port0201!$B$8&lt;&gt;"Tonnage","z",ROUND(SUMIFS(Data!$D:$D,Data!$A:$A,AB$5,Data!$C:$C,AB$4,Data!$B:$B,$B12,Data!$F:$F,port0201!$B$9),3)))</f>
        <v>4796.08</v>
      </c>
      <c r="AC12" s="121">
        <f>IF(port0201!$B$9="All Routes",IF(port0201!$B$8&lt;&gt;"Tonnage","z",ROUND(SUMIFS(Data!$D:$D,Data!$A:$A,AC$5,Data!$C:$C,AC$4,Data!$B:$B,$B12),3)),IF(port0201!$B$8&lt;&gt;"Tonnage","z",ROUND(SUMIFS(Data!$D:$D,Data!$A:$A,AC$5,Data!$C:$C,AC$4,Data!$B:$B,$B12,Data!$F:$F,port0201!$B$9),3)))</f>
        <v>4358.8729999999996</v>
      </c>
      <c r="AD12" s="133"/>
      <c r="AE12" s="127">
        <f t="shared" si="0"/>
        <v>-9.1159238378008781E-2</v>
      </c>
      <c r="AF12" s="112">
        <f t="shared" si="1"/>
        <v>-437.20700000000033</v>
      </c>
      <c r="AG12" s="133">
        <f>(AC11-AB11)/AB11</f>
        <v>-0.12659718825441418</v>
      </c>
      <c r="AH12" s="133"/>
      <c r="AI12" s="133"/>
      <c r="AJ12" s="125">
        <f t="shared" si="2"/>
        <v>-1923.3900000000003</v>
      </c>
      <c r="AK12" s="126">
        <f t="shared" si="3"/>
        <v>-0.28624132558073778</v>
      </c>
    </row>
    <row r="13" spans="1:37" ht="16">
      <c r="A13" s="118" t="s">
        <v>155</v>
      </c>
      <c r="B13" s="119">
        <v>23</v>
      </c>
      <c r="C13" s="120" t="s">
        <v>158</v>
      </c>
      <c r="D13" s="121">
        <f>IF(port0201!$B$9="All Routes",IF(port0201!$B$8&lt;&gt;"Tonnage","z",ROUND(SUMIFS(Data!$D:$D,Data!$A:$A,D$5,Data!$C:$C,D$4,Data!$B:$B,$B13),3)),IF(port0201!$B$8&lt;&gt;"Tonnage","z",ROUND(SUMIFS(Data!$D:$D,Data!$A:$A,D$5,Data!$C:$C,D$4,Data!$B:$B,$B13,Data!$F:$F,port0201!$B$9),3)))</f>
        <v>14106.536</v>
      </c>
      <c r="E13" s="121">
        <f>IF(port0201!$B$9="All Routes",IF(port0201!$B$8&lt;&gt;"Tonnage","z",ROUND(SUMIFS(Data!$D:$D,Data!$A:$A,E$5,Data!$C:$C,E$4,Data!$B:$B,$B13),3)),IF(port0201!$B$8&lt;&gt;"Tonnage","z",ROUND(SUMIFS(Data!$D:$D,Data!$A:$A,E$5,Data!$C:$C,E$4,Data!$B:$B,$B13,Data!$F:$F,port0201!$B$9),3)))</f>
        <v>13026.302</v>
      </c>
      <c r="F13" s="121">
        <f>IF(port0201!$B$9="All Routes",IF(port0201!$B$8&lt;&gt;"Tonnage","z",ROUND(SUMIFS(Data!$D:$D,Data!$A:$A,F$5,Data!$C:$C,F$4,Data!$B:$B,$B13),3)),IF(port0201!$B$8&lt;&gt;"Tonnage","z",ROUND(SUMIFS(Data!$D:$D,Data!$A:$A,F$5,Data!$C:$C,F$4,Data!$B:$B,$B13,Data!$F:$F,port0201!$B$9),3)))</f>
        <v>13061.468999999999</v>
      </c>
      <c r="G13" s="121">
        <f>IF(port0201!$B$9="All Routes",IF(port0201!$B$8&lt;&gt;"Tonnage","z",ROUND(SUMIFS(Data!$D:$D,Data!$A:$A,G$5,Data!$C:$C,G$4,Data!$B:$B,$B13),3)),IF(port0201!$B$8&lt;&gt;"Tonnage","z",ROUND(SUMIFS(Data!$D:$D,Data!$A:$A,G$5,Data!$C:$C,G$4,Data!$B:$B,$B13,Data!$F:$F,port0201!$B$9),3)))</f>
        <v>14751.974</v>
      </c>
      <c r="H13" s="121">
        <f>IF(port0201!$B$9="All Routes",IF(port0201!$B$8&lt;&gt;"Tonnage","z",ROUND(SUMIFS(Data!$D:$D,Data!$A:$A,H$5,Data!$C:$C,H$4,Data!$B:$B,$B13),3)),IF(port0201!$B$8&lt;&gt;"Tonnage","z",ROUND(SUMIFS(Data!$D:$D,Data!$A:$A,H$5,Data!$C:$C,H$4,Data!$B:$B,$B13,Data!$F:$F,port0201!$B$9),3)))</f>
        <v>12924.523999999999</v>
      </c>
      <c r="I13" s="121">
        <f>IF(port0201!$B$9="All Routes",IF(port0201!$B$8&lt;&gt;"Tonnage","z",ROUND(SUMIFS(Data!$D:$D,Data!$A:$A,I$5,Data!$C:$C,I$4,Data!$B:$B,$B13),3)),IF(port0201!$B$8&lt;&gt;"Tonnage","z",ROUND(SUMIFS(Data!$D:$D,Data!$A:$A,I$5,Data!$C:$C,I$4,Data!$B:$B,$B13,Data!$F:$F,port0201!$B$9),3)))</f>
        <v>13607.652</v>
      </c>
      <c r="J13" s="121">
        <f>IF(port0201!$B$9="All Routes",IF(port0201!$B$8&lt;&gt;"Tonnage","z",ROUND(SUMIFS(Data!$D:$D,Data!$A:$A,J$5,Data!$C:$C,J$4,Data!$B:$B,$B13),3)),IF(port0201!$B$8&lt;&gt;"Tonnage","z",ROUND(SUMIFS(Data!$D:$D,Data!$A:$A,J$5,Data!$C:$C,J$4,Data!$B:$B,$B13,Data!$F:$F,port0201!$B$9),3)))</f>
        <v>13095.04</v>
      </c>
      <c r="K13" s="121">
        <f>IF(port0201!$B$9="All Routes",IF(port0201!$B$8&lt;&gt;"Tonnage","z",ROUND(SUMIFS(Data!$D:$D,Data!$A:$A,K$5,Data!$C:$C,K$4,Data!$B:$B,$B13),3)),IF(port0201!$B$8&lt;&gt;"Tonnage","z",ROUND(SUMIFS(Data!$D:$D,Data!$A:$A,K$5,Data!$C:$C,K$4,Data!$B:$B,$B13,Data!$F:$F,port0201!$B$9),3)))</f>
        <v>12745.616</v>
      </c>
      <c r="L13" s="121">
        <f>IF(port0201!$B$9="All Routes",IF(port0201!$B$8&lt;&gt;"Tonnage","z",ROUND(SUMIFS(Data!$D:$D,Data!$A:$A,L$5,Data!$C:$C,L$4,Data!$B:$B,$B13),3)),IF(port0201!$B$8&lt;&gt;"Tonnage","z",ROUND(SUMIFS(Data!$D:$D,Data!$A:$A,L$5,Data!$C:$C,L$4,Data!$B:$B,$B13,Data!$F:$F,port0201!$B$9),3)))</f>
        <v>13977.72</v>
      </c>
      <c r="M13" s="121">
        <f>IF(port0201!$B$9="All Routes",IF(port0201!$B$8&lt;&gt;"Tonnage","z",ROUND(SUMIFS(Data!$D:$D,Data!$A:$A,M$5,Data!$C:$C,M$4,Data!$B:$B,$B13),3)),IF(port0201!$B$8&lt;&gt;"Tonnage","z",ROUND(SUMIFS(Data!$D:$D,Data!$A:$A,M$5,Data!$C:$C,M$4,Data!$B:$B,$B13,Data!$F:$F,port0201!$B$9),3)))</f>
        <v>13966.156000000001</v>
      </c>
      <c r="N13" s="121">
        <f>IF(port0201!$B$9="All Routes",IF(port0201!$B$8&lt;&gt;"Tonnage","z",ROUND(SUMIFS(Data!$D:$D,Data!$A:$A,N$5,Data!$C:$C,N$4,Data!$B:$B,$B13),3)),IF(port0201!$B$8&lt;&gt;"Tonnage","z",ROUND(SUMIFS(Data!$D:$D,Data!$A:$A,N$5,Data!$C:$C,N$4,Data!$B:$B,$B13,Data!$F:$F,port0201!$B$9),3)))</f>
        <v>15024.225</v>
      </c>
      <c r="O13" s="121">
        <f>IF(port0201!$B$9="All Routes",IF(port0201!$B$8&lt;&gt;"Tonnage","z",ROUND(SUMIFS(Data!$D:$D,Data!$A:$A,O$5,Data!$C:$C,O$4,Data!$B:$B,$B13),3)),IF(port0201!$B$8&lt;&gt;"Tonnage","z",ROUND(SUMIFS(Data!$D:$D,Data!$A:$A,O$5,Data!$C:$C,O$4,Data!$B:$B,$B13,Data!$F:$F,port0201!$B$9),3)))</f>
        <v>13447.603999999999</v>
      </c>
      <c r="P13" s="121">
        <f>IF(port0201!$B$9="All Routes",IF(port0201!$B$8&lt;&gt;"Tonnage","z",ROUND(SUMIFS(Data!$D:$D,Data!$A:$A,P$5,Data!$C:$C,P$4,Data!$B:$B,$B13),3)),IF(port0201!$B$8&lt;&gt;"Tonnage","z",ROUND(SUMIFS(Data!$D:$D,Data!$A:$A,P$5,Data!$C:$C,P$4,Data!$B:$B,$B13,Data!$F:$F,port0201!$B$9),3)))</f>
        <v>13539.716</v>
      </c>
      <c r="Q13" s="121">
        <f>IF(port0201!$B$9="All Routes",IF(port0201!$B$8&lt;&gt;"Tonnage","z",ROUND(SUMIFS(Data!$D:$D,Data!$A:$A,Q$5,Data!$C:$C,Q$4,Data!$B:$B,$B13),3)),IF(port0201!$B$8&lt;&gt;"Tonnage","z",ROUND(SUMIFS(Data!$D:$D,Data!$A:$A,Q$5,Data!$C:$C,Q$4,Data!$B:$B,$B13,Data!$F:$F,port0201!$B$9),3)))</f>
        <v>13098.776</v>
      </c>
      <c r="R13" s="121">
        <f>IF(port0201!$B$9="All Routes",IF(port0201!$B$8&lt;&gt;"Tonnage","z",ROUND(SUMIFS(Data!$D:$D,Data!$A:$A,R$5,Data!$C:$C,R$4,Data!$B:$B,$B13),3)),IF(port0201!$B$8&lt;&gt;"Tonnage","z",ROUND(SUMIFS(Data!$D:$D,Data!$A:$A,R$5,Data!$C:$C,R$4,Data!$B:$B,$B13,Data!$F:$F,port0201!$B$9),3)))</f>
        <v>14126.758</v>
      </c>
      <c r="S13" s="121">
        <f>IF(port0201!$B$9="All Routes",IF(port0201!$B$8&lt;&gt;"Tonnage","z",ROUND(SUMIFS(Data!$D:$D,Data!$A:$A,S$5,Data!$C:$C,S$4,Data!$B:$B,$B13),3)),IF(port0201!$B$8&lt;&gt;"Tonnage","z",ROUND(SUMIFS(Data!$D:$D,Data!$A:$A,S$5,Data!$C:$C,S$4,Data!$B:$B,$B13,Data!$F:$F,port0201!$B$9),3)))</f>
        <v>13241.637000000001</v>
      </c>
      <c r="T13" s="121">
        <f>IF(port0201!$B$9="All Routes",IF(port0201!$B$8&lt;&gt;"Tonnage","z",ROUND(SUMIFS(Data!$D:$D,Data!$A:$A,T$5,Data!$C:$C,T$4,Data!$B:$B,$B13),3)),IF(port0201!$B$8&lt;&gt;"Tonnage","z",ROUND(SUMIFS(Data!$D:$D,Data!$A:$A,T$5,Data!$C:$C,T$4,Data!$B:$B,$B13,Data!$F:$F,port0201!$B$9),3)))</f>
        <v>14007.019</v>
      </c>
      <c r="U13" s="121">
        <f>IF(port0201!$B$9="All Routes",IF(port0201!$B$8&lt;&gt;"Tonnage","z",ROUND(SUMIFS(Data!$D:$D,Data!$A:$A,U$5,Data!$C:$C,U$4,Data!$B:$B,$B13),3)),IF(port0201!$B$8&lt;&gt;"Tonnage","z",ROUND(SUMIFS(Data!$D:$D,Data!$A:$A,U$5,Data!$C:$C,U$4,Data!$B:$B,$B13,Data!$F:$F,port0201!$B$9),3)))</f>
        <v>11315.798000000001</v>
      </c>
      <c r="V13" s="121">
        <f>IF(port0201!$B$9="All Routes",IF(port0201!$B$8&lt;&gt;"Tonnage","z",ROUND(SUMIFS(Data!$D:$D,Data!$A:$A,V$5,Data!$C:$C,V$4,Data!$B:$B,$B13),3)),IF(port0201!$B$8&lt;&gt;"Tonnage","z",ROUND(SUMIFS(Data!$D:$D,Data!$A:$A,V$5,Data!$C:$C,V$4,Data!$B:$B,$B13,Data!$F:$F,port0201!$B$9),3)))</f>
        <v>11262.207</v>
      </c>
      <c r="W13" s="121">
        <f>IF(port0201!$B$9="All Routes",IF(port0201!$B$8&lt;&gt;"Tonnage","z",ROUND(SUMIFS(Data!$D:$D,Data!$A:$A,W$5,Data!$C:$C,W$4,Data!$B:$B,$B13),3)),IF(port0201!$B$8&lt;&gt;"Tonnage","z",ROUND(SUMIFS(Data!$D:$D,Data!$A:$A,W$5,Data!$C:$C,W$4,Data!$B:$B,$B13,Data!$F:$F,port0201!$B$9),3)))</f>
        <v>10482.226000000001</v>
      </c>
      <c r="X13" s="121">
        <f>IF(port0201!$B$9="All Routes",IF(port0201!$B$8&lt;&gt;"Tonnage","z",ROUND(SUMIFS(Data!$D:$D,Data!$A:$A,X$5,Data!$C:$C,X$4,Data!$B:$B,$B13),3)),IF(port0201!$B$8&lt;&gt;"Tonnage","z",ROUND(SUMIFS(Data!$D:$D,Data!$A:$A,X$5,Data!$C:$C,X$4,Data!$B:$B,$B13,Data!$F:$F,port0201!$B$9),3)))</f>
        <v>10209.99</v>
      </c>
      <c r="Y13" s="121">
        <f>IF(port0201!$B$9="All Routes",IF(port0201!$B$8&lt;&gt;"Tonnage","z",ROUND(SUMIFS(Data!$D:$D,Data!$A:$A,Y$5,Data!$C:$C,Y$4,Data!$B:$B,$B13),3)),IF(port0201!$B$8&lt;&gt;"Tonnage","z",ROUND(SUMIFS(Data!$D:$D,Data!$A:$A,Y$5,Data!$C:$C,Y$4,Data!$B:$B,$B13,Data!$F:$F,port0201!$B$9),3)))</f>
        <v>10484.927</v>
      </c>
      <c r="Z13" s="121">
        <f>IF(port0201!$B$9="All Routes",IF(port0201!$B$8&lt;&gt;"Tonnage","z",ROUND(SUMIFS(Data!$D:$D,Data!$A:$A,Z$5,Data!$C:$C,Z$4,Data!$B:$B,$B13),3)),IF(port0201!$B$8&lt;&gt;"Tonnage","z",ROUND(SUMIFS(Data!$D:$D,Data!$A:$A,Z$5,Data!$C:$C,Z$4,Data!$B:$B,$B13,Data!$F:$F,port0201!$B$9),3)))</f>
        <v>10513.290999999999</v>
      </c>
      <c r="AA13" s="121">
        <f>IF(port0201!$B$9="All Routes",IF(port0201!$B$8&lt;&gt;"Tonnage","z",ROUND(SUMIFS(Data!$D:$D,Data!$A:$A,AA$5,Data!$C:$C,AA$4,Data!$B:$B,$B13),3)),IF(port0201!$B$8&lt;&gt;"Tonnage","z",ROUND(SUMIFS(Data!$D:$D,Data!$A:$A,AA$5,Data!$C:$C,AA$4,Data!$B:$B,$B13,Data!$F:$F,port0201!$B$9),3)))</f>
        <v>10837.227000000001</v>
      </c>
      <c r="AB13" s="121">
        <f>IF(port0201!$B$9="All Routes",IF(port0201!$B$8&lt;&gt;"Tonnage","z",ROUND(SUMIFS(Data!$D:$D,Data!$A:$A,AB$5,Data!$C:$C,AB$4,Data!$B:$B,$B13),3)),IF(port0201!$B$8&lt;&gt;"Tonnage","z",ROUND(SUMIFS(Data!$D:$D,Data!$A:$A,AB$5,Data!$C:$C,AB$4,Data!$B:$B,$B13,Data!$F:$F,port0201!$B$9),3)))</f>
        <v>10174.858</v>
      </c>
      <c r="AC13" s="121">
        <f>IF(port0201!$B$9="All Routes",IF(port0201!$B$8&lt;&gt;"Tonnage","z",ROUND(SUMIFS(Data!$D:$D,Data!$A:$A,AC$5,Data!$C:$C,AC$4,Data!$B:$B,$B13),3)),IF(port0201!$B$8&lt;&gt;"Tonnage","z",ROUND(SUMIFS(Data!$D:$D,Data!$A:$A,AC$5,Data!$C:$C,AC$4,Data!$B:$B,$B13,Data!$F:$F,port0201!$B$9),3)))</f>
        <v>10888.209000000001</v>
      </c>
      <c r="AD13" s="133"/>
      <c r="AE13" s="127">
        <f t="shared" si="0"/>
        <v>7.0109184816141965E-2</v>
      </c>
      <c r="AF13" s="112">
        <f t="shared" si="1"/>
        <v>713.35100000000057</v>
      </c>
      <c r="AG13" s="133"/>
      <c r="AH13" s="138">
        <v>47958</v>
      </c>
      <c r="AI13" s="133"/>
      <c r="AJ13" s="125">
        <f t="shared" si="2"/>
        <v>-662.3690000000006</v>
      </c>
      <c r="AK13" s="126">
        <f t="shared" si="3"/>
        <v>-6.1119786454597709E-2</v>
      </c>
    </row>
    <row r="14" spans="1:37" ht="14">
      <c r="A14" s="139" t="s">
        <v>155</v>
      </c>
      <c r="B14" s="140">
        <v>24</v>
      </c>
      <c r="C14" s="141" t="s">
        <v>159</v>
      </c>
      <c r="D14" s="121">
        <f>IF(port0201!$B$9="All Routes",IF(port0201!$B$8&lt;&gt;"Tonnage","z",ROUND(SUMIFS(Data!$D:$D,Data!$A:$A,D$5,Data!$C:$C,D$4,Data!$B:$B,$B14),3)),IF(port0201!$B$8&lt;&gt;"Tonnage","z",ROUND(SUMIFS(Data!$D:$D,Data!$A:$A,D$5,Data!$C:$C,D$4,Data!$B:$B,$B14,Data!$F:$F,port0201!$B$9),3)))</f>
        <v>0</v>
      </c>
      <c r="E14" s="121">
        <f>IF(port0201!$B$9="All Routes",IF(port0201!$B$8&lt;&gt;"Tonnage","z",ROUND(SUMIFS(Data!$D:$D,Data!$A:$A,E$5,Data!$C:$C,E$4,Data!$B:$B,$B14),3)),IF(port0201!$B$8&lt;&gt;"Tonnage","z",ROUND(SUMIFS(Data!$D:$D,Data!$A:$A,E$5,Data!$C:$C,E$4,Data!$B:$B,$B14,Data!$F:$F,port0201!$B$9),3)))</f>
        <v>0</v>
      </c>
      <c r="F14" s="121">
        <f>IF(port0201!$B$9="All Routes",IF(port0201!$B$8&lt;&gt;"Tonnage","z",ROUND(SUMIFS(Data!$D:$D,Data!$A:$A,F$5,Data!$C:$C,F$4,Data!$B:$B,$B14),3)),IF(port0201!$B$8&lt;&gt;"Tonnage","z",ROUND(SUMIFS(Data!$D:$D,Data!$A:$A,F$5,Data!$C:$C,F$4,Data!$B:$B,$B14,Data!$F:$F,port0201!$B$9),3)))</f>
        <v>0</v>
      </c>
      <c r="G14" s="121">
        <f>IF(port0201!$B$9="All Routes",IF(port0201!$B$8&lt;&gt;"Tonnage","z",ROUND(SUMIFS(Data!$D:$D,Data!$A:$A,G$5,Data!$C:$C,G$4,Data!$B:$B,$B14),3)),IF(port0201!$B$8&lt;&gt;"Tonnage","z",ROUND(SUMIFS(Data!$D:$D,Data!$A:$A,G$5,Data!$C:$C,G$4,Data!$B:$B,$B14,Data!$F:$F,port0201!$B$9),3)))</f>
        <v>0</v>
      </c>
      <c r="H14" s="121">
        <f>IF(port0201!$B$9="All Routes",IF(port0201!$B$8&lt;&gt;"Tonnage","z",ROUND(SUMIFS(Data!$D:$D,Data!$A:$A,H$5,Data!$C:$C,H$4,Data!$B:$B,$B14),3)),IF(port0201!$B$8&lt;&gt;"Tonnage","z",ROUND(SUMIFS(Data!$D:$D,Data!$A:$A,H$5,Data!$C:$C,H$4,Data!$B:$B,$B14,Data!$F:$F,port0201!$B$9),3)))</f>
        <v>0</v>
      </c>
      <c r="I14" s="121">
        <f>IF(port0201!$B$9="All Routes",IF(port0201!$B$8&lt;&gt;"Tonnage","z",ROUND(SUMIFS(Data!$D:$D,Data!$A:$A,I$5,Data!$C:$C,I$4,Data!$B:$B,$B14),3)),IF(port0201!$B$8&lt;&gt;"Tonnage","z",ROUND(SUMIFS(Data!$D:$D,Data!$A:$A,I$5,Data!$C:$C,I$4,Data!$B:$B,$B14,Data!$F:$F,port0201!$B$9),3)))</f>
        <v>0</v>
      </c>
      <c r="J14" s="121">
        <f>IF(port0201!$B$9="All Routes",IF(port0201!$B$8&lt;&gt;"Tonnage","z",ROUND(SUMIFS(Data!$D:$D,Data!$A:$A,J$5,Data!$C:$C,J$4,Data!$B:$B,$B14),3)),IF(port0201!$B$8&lt;&gt;"Tonnage","z",ROUND(SUMIFS(Data!$D:$D,Data!$A:$A,J$5,Data!$C:$C,J$4,Data!$B:$B,$B14,Data!$F:$F,port0201!$B$9),3)))</f>
        <v>0</v>
      </c>
      <c r="K14" s="121">
        <f>IF(port0201!$B$9="All Routes",IF(port0201!$B$8&lt;&gt;"Tonnage","z",ROUND(SUMIFS(Data!$D:$D,Data!$A:$A,K$5,Data!$C:$C,K$4,Data!$B:$B,$B14),3)),IF(port0201!$B$8&lt;&gt;"Tonnage","z",ROUND(SUMIFS(Data!$D:$D,Data!$A:$A,K$5,Data!$C:$C,K$4,Data!$B:$B,$B14,Data!$F:$F,port0201!$B$9),3)))</f>
        <v>0</v>
      </c>
      <c r="L14" s="121">
        <f>IF(port0201!$B$9="All Routes",IF(port0201!$B$8&lt;&gt;"Tonnage","z",ROUND(SUMIFS(Data!$D:$D,Data!$A:$A,L$5,Data!$C:$C,L$4,Data!$B:$B,$B14),3)),IF(port0201!$B$8&lt;&gt;"Tonnage","z",ROUND(SUMIFS(Data!$D:$D,Data!$A:$A,L$5,Data!$C:$C,L$4,Data!$B:$B,$B14,Data!$F:$F,port0201!$B$9),3)))</f>
        <v>0</v>
      </c>
      <c r="M14" s="121">
        <f>IF(port0201!$B$9="All Routes",IF(port0201!$B$8&lt;&gt;"Tonnage","z",ROUND(SUMIFS(Data!$D:$D,Data!$A:$A,M$5,Data!$C:$C,M$4,Data!$B:$B,$B14),3)),IF(port0201!$B$8&lt;&gt;"Tonnage","z",ROUND(SUMIFS(Data!$D:$D,Data!$A:$A,M$5,Data!$C:$C,M$4,Data!$B:$B,$B14,Data!$F:$F,port0201!$B$9),3)))</f>
        <v>0</v>
      </c>
      <c r="N14" s="121">
        <f>IF(port0201!$B$9="All Routes",IF(port0201!$B$8&lt;&gt;"Tonnage","z",ROUND(SUMIFS(Data!$D:$D,Data!$A:$A,N$5,Data!$C:$C,N$4,Data!$B:$B,$B14),3)),IF(port0201!$B$8&lt;&gt;"Tonnage","z",ROUND(SUMIFS(Data!$D:$D,Data!$A:$A,N$5,Data!$C:$C,N$4,Data!$B:$B,$B14,Data!$F:$F,port0201!$B$9),3)))</f>
        <v>0</v>
      </c>
      <c r="O14" s="121">
        <f>IF(port0201!$B$9="All Routes",IF(port0201!$B$8&lt;&gt;"Tonnage","z",ROUND(SUMIFS(Data!$D:$D,Data!$A:$A,O$5,Data!$C:$C,O$4,Data!$B:$B,$B14),3)),IF(port0201!$B$8&lt;&gt;"Tonnage","z",ROUND(SUMIFS(Data!$D:$D,Data!$A:$A,O$5,Data!$C:$C,O$4,Data!$B:$B,$B14,Data!$F:$F,port0201!$B$9),3)))</f>
        <v>0</v>
      </c>
      <c r="P14" s="121">
        <f>IF(port0201!$B$9="All Routes",IF(port0201!$B$8&lt;&gt;"Tonnage","z",ROUND(SUMIFS(Data!$D:$D,Data!$A:$A,P$5,Data!$C:$C,P$4,Data!$B:$B,$B14),3)),IF(port0201!$B$8&lt;&gt;"Tonnage","z",ROUND(SUMIFS(Data!$D:$D,Data!$A:$A,P$5,Data!$C:$C,P$4,Data!$B:$B,$B14,Data!$F:$F,port0201!$B$9),3)))</f>
        <v>0</v>
      </c>
      <c r="Q14" s="121">
        <f>IF(port0201!$B$9="All Routes",IF(port0201!$B$8&lt;&gt;"Tonnage","z",ROUND(SUMIFS(Data!$D:$D,Data!$A:$A,Q$5,Data!$C:$C,Q$4,Data!$B:$B,$B14),3)),IF(port0201!$B$8&lt;&gt;"Tonnage","z",ROUND(SUMIFS(Data!$D:$D,Data!$A:$A,Q$5,Data!$C:$C,Q$4,Data!$B:$B,$B14,Data!$F:$F,port0201!$B$9),3)))</f>
        <v>0</v>
      </c>
      <c r="R14" s="121">
        <f>IF(port0201!$B$9="All Routes",IF(port0201!$B$8&lt;&gt;"Tonnage","z",ROUND(SUMIFS(Data!$D:$D,Data!$A:$A,R$5,Data!$C:$C,R$4,Data!$B:$B,$B14),3)),IF(port0201!$B$8&lt;&gt;"Tonnage","z",ROUND(SUMIFS(Data!$D:$D,Data!$A:$A,R$5,Data!$C:$C,R$4,Data!$B:$B,$B14,Data!$F:$F,port0201!$B$9),3)))</f>
        <v>0</v>
      </c>
      <c r="S14" s="121">
        <f>IF(port0201!$B$9="All Routes",IF(port0201!$B$8&lt;&gt;"Tonnage","z",ROUND(SUMIFS(Data!$D:$D,Data!$A:$A,S$5,Data!$C:$C,S$4,Data!$B:$B,$B14),3)),IF(port0201!$B$8&lt;&gt;"Tonnage","z",ROUND(SUMIFS(Data!$D:$D,Data!$A:$A,S$5,Data!$C:$C,S$4,Data!$B:$B,$B14,Data!$F:$F,port0201!$B$9),3)))</f>
        <v>0</v>
      </c>
      <c r="T14" s="121">
        <f>IF(port0201!$B$9="All Routes",IF(port0201!$B$8&lt;&gt;"Tonnage","z",ROUND(SUMIFS(Data!$D:$D,Data!$A:$A,T$5,Data!$C:$C,T$4,Data!$B:$B,$B14),3)),IF(port0201!$B$8&lt;&gt;"Tonnage","z",ROUND(SUMIFS(Data!$D:$D,Data!$A:$A,T$5,Data!$C:$C,T$4,Data!$B:$B,$B14,Data!$F:$F,port0201!$B$9),3)))</f>
        <v>0</v>
      </c>
      <c r="U14" s="121">
        <f>IF(port0201!$B$9="All Routes",IF(port0201!$B$8&lt;&gt;"Tonnage","z",ROUND(SUMIFS(Data!$D:$D,Data!$A:$A,U$5,Data!$C:$C,U$4,Data!$B:$B,$B14),3)),IF(port0201!$B$8&lt;&gt;"Tonnage","z",ROUND(SUMIFS(Data!$D:$D,Data!$A:$A,U$5,Data!$C:$C,U$4,Data!$B:$B,$B14,Data!$F:$F,port0201!$B$9),3)))</f>
        <v>0</v>
      </c>
      <c r="V14" s="121">
        <f>IF(port0201!$B$9="All Routes",IF(port0201!$B$8&lt;&gt;"Tonnage","z",ROUND(SUMIFS(Data!$D:$D,Data!$A:$A,V$5,Data!$C:$C,V$4,Data!$B:$B,$B14),3)),IF(port0201!$B$8&lt;&gt;"Tonnage","z",ROUND(SUMIFS(Data!$D:$D,Data!$A:$A,V$5,Data!$C:$C,V$4,Data!$B:$B,$B14,Data!$F:$F,port0201!$B$9),3)))</f>
        <v>0</v>
      </c>
      <c r="W14" s="121">
        <f>IF(port0201!$B$9="All Routes",IF(port0201!$B$8&lt;&gt;"Tonnage","z",ROUND(SUMIFS(Data!$D:$D,Data!$A:$A,W$5,Data!$C:$C,W$4,Data!$B:$B,$B14),3)),IF(port0201!$B$8&lt;&gt;"Tonnage","z",ROUND(SUMIFS(Data!$D:$D,Data!$A:$A,W$5,Data!$C:$C,W$4,Data!$B:$B,$B14,Data!$F:$F,port0201!$B$9),3)))</f>
        <v>0</v>
      </c>
      <c r="X14" s="121">
        <f>IF(port0201!$B$9="All Routes",IF(port0201!$B$8&lt;&gt;"Tonnage","z",ROUND(SUMIFS(Data!$D:$D,Data!$A:$A,X$5,Data!$C:$C,X$4,Data!$B:$B,$B14),3)),IF(port0201!$B$8&lt;&gt;"Tonnage","z",ROUND(SUMIFS(Data!$D:$D,Data!$A:$A,X$5,Data!$C:$C,X$4,Data!$B:$B,$B14,Data!$F:$F,port0201!$B$9),3)))</f>
        <v>0</v>
      </c>
      <c r="Y14" s="121">
        <f>IF(port0201!$B$9="All Routes",IF(port0201!$B$8&lt;&gt;"Tonnage","z",ROUND(SUMIFS(Data!$D:$D,Data!$A:$A,Y$5,Data!$C:$C,Y$4,Data!$B:$B,$B14),3)),IF(port0201!$B$8&lt;&gt;"Tonnage","z",ROUND(SUMIFS(Data!$D:$D,Data!$A:$A,Y$5,Data!$C:$C,Y$4,Data!$B:$B,$B14,Data!$F:$F,port0201!$B$9),3)))</f>
        <v>0</v>
      </c>
      <c r="Z14" s="121">
        <f>IF(port0201!$B$9="All Routes",IF(port0201!$B$8&lt;&gt;"Tonnage","z",ROUND(SUMIFS(Data!$D:$D,Data!$A:$A,Z$5,Data!$C:$C,Z$4,Data!$B:$B,$B14),3)),IF(port0201!$B$8&lt;&gt;"Tonnage","z",ROUND(SUMIFS(Data!$D:$D,Data!$A:$A,Z$5,Data!$C:$C,Z$4,Data!$B:$B,$B14,Data!$F:$F,port0201!$B$9),3)))</f>
        <v>0</v>
      </c>
      <c r="AA14" s="121">
        <f>IF(port0201!$B$9="All Routes",IF(port0201!$B$8&lt;&gt;"Tonnage","z",ROUND(SUMIFS(Data!$D:$D,Data!$A:$A,AA$5,Data!$C:$C,AA$4,Data!$B:$B,$B14),3)),IF(port0201!$B$8&lt;&gt;"Tonnage","z",ROUND(SUMIFS(Data!$D:$D,Data!$A:$A,AA$5,Data!$C:$C,AA$4,Data!$B:$B,$B14,Data!$F:$F,port0201!$B$9),3)))</f>
        <v>0</v>
      </c>
      <c r="AB14" s="121">
        <f>IF(port0201!$B$9="All Routes",IF(port0201!$B$8&lt;&gt;"Tonnage","z",ROUND(SUMIFS(Data!$D:$D,Data!$A:$A,AB$5,Data!$C:$C,AB$4,Data!$B:$B,$B14),3)),IF(port0201!$B$8&lt;&gt;"Tonnage","z",ROUND(SUMIFS(Data!$D:$D,Data!$A:$A,AB$5,Data!$C:$C,AB$4,Data!$B:$B,$B14,Data!$F:$F,port0201!$B$9),3)))</f>
        <v>0</v>
      </c>
      <c r="AC14" s="121">
        <f>IF(port0201!$B$9="All Routes",IF(port0201!$B$8&lt;&gt;"Tonnage","z",ROUND(SUMIFS(Data!$D:$D,Data!$A:$A,AC$5,Data!$C:$C,AC$4,Data!$B:$B,$B14),3)),IF(port0201!$B$8&lt;&gt;"Tonnage","z",ROUND(SUMIFS(Data!$D:$D,Data!$A:$A,AC$5,Data!$C:$C,AC$4,Data!$B:$B,$B14,Data!$F:$F,port0201!$B$9),3)))</f>
        <v>9935.277</v>
      </c>
      <c r="AD14" s="133"/>
      <c r="AE14" s="142" t="e">
        <f t="shared" si="0"/>
        <v>#DIV/0!</v>
      </c>
      <c r="AF14" s="143">
        <f t="shared" si="1"/>
        <v>9935.277</v>
      </c>
      <c r="AG14" s="133">
        <f>AC14+AC15</f>
        <v>53525.148000000001</v>
      </c>
      <c r="AH14" s="133"/>
      <c r="AI14" s="133"/>
      <c r="AJ14" s="125">
        <f t="shared" si="2"/>
        <v>0</v>
      </c>
      <c r="AK14" s="126" t="e">
        <f t="shared" si="3"/>
        <v>#DIV/0!</v>
      </c>
    </row>
    <row r="15" spans="1:37" ht="16">
      <c r="A15" s="118" t="s">
        <v>155</v>
      </c>
      <c r="B15" s="119">
        <v>29</v>
      </c>
      <c r="C15" s="120" t="s">
        <v>160</v>
      </c>
      <c r="D15" s="121">
        <f>IF(port0201!$B$9="All Routes",IF(port0201!$B$8&lt;&gt;"Tonnage","z",ROUND(SUMIFS(Data!$D:$D,Data!$A:$A,D$5,Data!$C:$C,D$4,Data!$B:$B,$B15),3)),IF(port0201!$B$8&lt;&gt;"Tonnage","z",ROUND(SUMIFS(Data!$D:$D,Data!$A:$A,D$5,Data!$C:$C,D$4,Data!$B:$B,$B15,Data!$F:$F,port0201!$B$9),3)))</f>
        <v>41347.061000000002</v>
      </c>
      <c r="E15" s="121">
        <f>IF(port0201!$B$9="All Routes",IF(port0201!$B$8&lt;&gt;"Tonnage","z",ROUND(SUMIFS(Data!$D:$D,Data!$A:$A,E$5,Data!$C:$C,E$4,Data!$B:$B,$B15),3)),IF(port0201!$B$8&lt;&gt;"Tonnage","z",ROUND(SUMIFS(Data!$D:$D,Data!$A:$A,E$5,Data!$C:$C,E$4,Data!$B:$B,$B15,Data!$F:$F,port0201!$B$9),3)))</f>
        <v>42480.347000000002</v>
      </c>
      <c r="F15" s="121">
        <f>IF(port0201!$B$9="All Routes",IF(port0201!$B$8&lt;&gt;"Tonnage","z",ROUND(SUMIFS(Data!$D:$D,Data!$A:$A,F$5,Data!$C:$C,F$4,Data!$B:$B,$B15),3)),IF(port0201!$B$8&lt;&gt;"Tonnage","z",ROUND(SUMIFS(Data!$D:$D,Data!$A:$A,F$5,Data!$C:$C,F$4,Data!$B:$B,$B15,Data!$F:$F,port0201!$B$9),3)))</f>
        <v>43673.663</v>
      </c>
      <c r="G15" s="121">
        <f>IF(port0201!$B$9="All Routes",IF(port0201!$B$8&lt;&gt;"Tonnage","z",ROUND(SUMIFS(Data!$D:$D,Data!$A:$A,G$5,Data!$C:$C,G$4,Data!$B:$B,$B15),3)),IF(port0201!$B$8&lt;&gt;"Tonnage","z",ROUND(SUMIFS(Data!$D:$D,Data!$A:$A,G$5,Data!$C:$C,G$4,Data!$B:$B,$B15,Data!$F:$F,port0201!$B$9),3)))</f>
        <v>44407.472999999998</v>
      </c>
      <c r="H15" s="121">
        <f>IF(port0201!$B$9="All Routes",IF(port0201!$B$8&lt;&gt;"Tonnage","z",ROUND(SUMIFS(Data!$D:$D,Data!$A:$A,H$5,Data!$C:$C,H$4,Data!$B:$B,$B15),3)),IF(port0201!$B$8&lt;&gt;"Tonnage","z",ROUND(SUMIFS(Data!$D:$D,Data!$A:$A,H$5,Data!$C:$C,H$4,Data!$B:$B,$B15,Data!$F:$F,port0201!$B$9),3)))</f>
        <v>42122.459000000003</v>
      </c>
      <c r="I15" s="121">
        <f>IF(port0201!$B$9="All Routes",IF(port0201!$B$8&lt;&gt;"Tonnage","z",ROUND(SUMIFS(Data!$D:$D,Data!$A:$A,I$5,Data!$C:$C,I$4,Data!$B:$B,$B15),3)),IF(port0201!$B$8&lt;&gt;"Tonnage","z",ROUND(SUMIFS(Data!$D:$D,Data!$A:$A,I$5,Data!$C:$C,I$4,Data!$B:$B,$B15,Data!$F:$F,port0201!$B$9),3)))</f>
        <v>42232.211000000003</v>
      </c>
      <c r="J15" s="121">
        <f>IF(port0201!$B$9="All Routes",IF(port0201!$B$8&lt;&gt;"Tonnage","z",ROUND(SUMIFS(Data!$D:$D,Data!$A:$A,J$5,Data!$C:$C,J$4,Data!$B:$B,$B15),3)),IF(port0201!$B$8&lt;&gt;"Tonnage","z",ROUND(SUMIFS(Data!$D:$D,Data!$A:$A,J$5,Data!$C:$C,J$4,Data!$B:$B,$B15,Data!$F:$F,port0201!$B$9),3)))</f>
        <v>44402.502999999997</v>
      </c>
      <c r="K15" s="121">
        <f>IF(port0201!$B$9="All Routes",IF(port0201!$B$8&lt;&gt;"Tonnage","z",ROUND(SUMIFS(Data!$D:$D,Data!$A:$A,K$5,Data!$C:$C,K$4,Data!$B:$B,$B15),3)),IF(port0201!$B$8&lt;&gt;"Tonnage","z",ROUND(SUMIFS(Data!$D:$D,Data!$A:$A,K$5,Data!$C:$C,K$4,Data!$B:$B,$B15,Data!$F:$F,port0201!$B$9),3)))</f>
        <v>46066.557999999997</v>
      </c>
      <c r="L15" s="121">
        <f>IF(port0201!$B$9="All Routes",IF(port0201!$B$8&lt;&gt;"Tonnage","z",ROUND(SUMIFS(Data!$D:$D,Data!$A:$A,L$5,Data!$C:$C,L$4,Data!$B:$B,$B15),3)),IF(port0201!$B$8&lt;&gt;"Tonnage","z",ROUND(SUMIFS(Data!$D:$D,Data!$A:$A,L$5,Data!$C:$C,L$4,Data!$B:$B,$B15,Data!$F:$F,port0201!$B$9),3)))</f>
        <v>42272.457999999999</v>
      </c>
      <c r="M15" s="121">
        <f>IF(port0201!$B$9="All Routes",IF(port0201!$B$8&lt;&gt;"Tonnage","z",ROUND(SUMIFS(Data!$D:$D,Data!$A:$A,M$5,Data!$C:$C,M$4,Data!$B:$B,$B15),3)),IF(port0201!$B$8&lt;&gt;"Tonnage","z",ROUND(SUMIFS(Data!$D:$D,Data!$A:$A,M$5,Data!$C:$C,M$4,Data!$B:$B,$B15,Data!$F:$F,port0201!$B$9),3)))</f>
        <v>30643.374</v>
      </c>
      <c r="N15" s="121">
        <f>IF(port0201!$B$9="All Routes",IF(port0201!$B$8&lt;&gt;"Tonnage","z",ROUND(SUMIFS(Data!$D:$D,Data!$A:$A,N$5,Data!$C:$C,N$4,Data!$B:$B,$B15),3)),IF(port0201!$B$8&lt;&gt;"Tonnage","z",ROUND(SUMIFS(Data!$D:$D,Data!$A:$A,N$5,Data!$C:$C,N$4,Data!$B:$B,$B15,Data!$F:$F,port0201!$B$9),3)))</f>
        <v>34295.582999999999</v>
      </c>
      <c r="O15" s="121">
        <f>IF(port0201!$B$9="All Routes",IF(port0201!$B$8&lt;&gt;"Tonnage","z",ROUND(SUMIFS(Data!$D:$D,Data!$A:$A,O$5,Data!$C:$C,O$4,Data!$B:$B,$B15),3)),IF(port0201!$B$8&lt;&gt;"Tonnage","z",ROUND(SUMIFS(Data!$D:$D,Data!$A:$A,O$5,Data!$C:$C,O$4,Data!$B:$B,$B15,Data!$F:$F,port0201!$B$9),3)))</f>
        <v>36348.758999999998</v>
      </c>
      <c r="P15" s="121">
        <f>IF(port0201!$B$9="All Routes",IF(port0201!$B$8&lt;&gt;"Tonnage","z",ROUND(SUMIFS(Data!$D:$D,Data!$A:$A,P$5,Data!$C:$C,P$4,Data!$B:$B,$B15),3)),IF(port0201!$B$8&lt;&gt;"Tonnage","z",ROUND(SUMIFS(Data!$D:$D,Data!$A:$A,P$5,Data!$C:$C,P$4,Data!$B:$B,$B15,Data!$F:$F,port0201!$B$9),3)))</f>
        <v>33980.889000000003</v>
      </c>
      <c r="Q15" s="121">
        <f>IF(port0201!$B$9="All Routes",IF(port0201!$B$8&lt;&gt;"Tonnage","z",ROUND(SUMIFS(Data!$D:$D,Data!$A:$A,Q$5,Data!$C:$C,Q$4,Data!$B:$B,$B15),3)),IF(port0201!$B$8&lt;&gt;"Tonnage","z",ROUND(SUMIFS(Data!$D:$D,Data!$A:$A,Q$5,Data!$C:$C,Q$4,Data!$B:$B,$B15,Data!$F:$F,port0201!$B$9),3)))</f>
        <v>35377.567000000003</v>
      </c>
      <c r="R15" s="121">
        <f>IF(port0201!$B$9="All Routes",IF(port0201!$B$8&lt;&gt;"Tonnage","z",ROUND(SUMIFS(Data!$D:$D,Data!$A:$A,R$5,Data!$C:$C,R$4,Data!$B:$B,$B15),3)),IF(port0201!$B$8&lt;&gt;"Tonnage","z",ROUND(SUMIFS(Data!$D:$D,Data!$A:$A,R$5,Data!$C:$C,R$4,Data!$B:$B,$B15,Data!$F:$F,port0201!$B$9),3)))</f>
        <v>42417.294999999998</v>
      </c>
      <c r="S15" s="121">
        <f>IF(port0201!$B$9="All Routes",IF(port0201!$B$8&lt;&gt;"Tonnage","z",ROUND(SUMIFS(Data!$D:$D,Data!$A:$A,S$5,Data!$C:$C,S$4,Data!$B:$B,$B15),3)),IF(port0201!$B$8&lt;&gt;"Tonnage","z",ROUND(SUMIFS(Data!$D:$D,Data!$A:$A,S$5,Data!$C:$C,S$4,Data!$B:$B,$B15,Data!$F:$F,port0201!$B$9),3)))</f>
        <v>47760.784</v>
      </c>
      <c r="T15" s="121">
        <f>IF(port0201!$B$9="All Routes",IF(port0201!$B$8&lt;&gt;"Tonnage","z",ROUND(SUMIFS(Data!$D:$D,Data!$A:$A,T$5,Data!$C:$C,T$4,Data!$B:$B,$B15),3)),IF(port0201!$B$8&lt;&gt;"Tonnage","z",ROUND(SUMIFS(Data!$D:$D,Data!$A:$A,T$5,Data!$C:$C,T$4,Data!$B:$B,$B15,Data!$F:$F,port0201!$B$9),3)))</f>
        <v>50884.663</v>
      </c>
      <c r="U15" s="121">
        <f>IF(port0201!$B$9="All Routes",IF(port0201!$B$8&lt;&gt;"Tonnage","z",ROUND(SUMIFS(Data!$D:$D,Data!$A:$A,U$5,Data!$C:$C,U$4,Data!$B:$B,$B15),3)),IF(port0201!$B$8&lt;&gt;"Tonnage","z",ROUND(SUMIFS(Data!$D:$D,Data!$A:$A,U$5,Data!$C:$C,U$4,Data!$B:$B,$B15,Data!$F:$F,port0201!$B$9),3)))</f>
        <v>52783.093000000001</v>
      </c>
      <c r="V15" s="121">
        <f>IF(port0201!$B$9="All Routes",IF(port0201!$B$8&lt;&gt;"Tonnage","z",ROUND(SUMIFS(Data!$D:$D,Data!$A:$A,V$5,Data!$C:$C,V$4,Data!$B:$B,$B15),3)),IF(port0201!$B$8&lt;&gt;"Tonnage","z",ROUND(SUMIFS(Data!$D:$D,Data!$A:$A,V$5,Data!$C:$C,V$4,Data!$B:$B,$B15,Data!$F:$F,port0201!$B$9),3)))</f>
        <v>54237.521000000001</v>
      </c>
      <c r="W15" s="121">
        <f>IF(port0201!$B$9="All Routes",IF(port0201!$B$8&lt;&gt;"Tonnage","z",ROUND(SUMIFS(Data!$D:$D,Data!$A:$A,W$5,Data!$C:$C,W$4,Data!$B:$B,$B15),3)),IF(port0201!$B$8&lt;&gt;"Tonnage","z",ROUND(SUMIFS(Data!$D:$D,Data!$A:$A,W$5,Data!$C:$C,W$4,Data!$B:$B,$B15,Data!$F:$F,port0201!$B$9),3)))</f>
        <v>57924.860999999997</v>
      </c>
      <c r="X15" s="121">
        <f>IF(port0201!$B$9="All Routes",IF(port0201!$B$8&lt;&gt;"Tonnage","z",ROUND(SUMIFS(Data!$D:$D,Data!$A:$A,X$5,Data!$C:$C,X$4,Data!$B:$B,$B15),3)),IF(port0201!$B$8&lt;&gt;"Tonnage","z",ROUND(SUMIFS(Data!$D:$D,Data!$A:$A,X$5,Data!$C:$C,X$4,Data!$B:$B,$B15,Data!$F:$F,port0201!$B$9),3)))</f>
        <v>52511.894</v>
      </c>
      <c r="Y15" s="121">
        <f>IF(port0201!$B$9="All Routes",IF(port0201!$B$8&lt;&gt;"Tonnage","z",ROUND(SUMIFS(Data!$D:$D,Data!$A:$A,Y$5,Data!$C:$C,Y$4,Data!$B:$B,$B15),3)),IF(port0201!$B$8&lt;&gt;"Tonnage","z",ROUND(SUMIFS(Data!$D:$D,Data!$A:$A,Y$5,Data!$C:$C,Y$4,Data!$B:$B,$B15,Data!$F:$F,port0201!$B$9),3)))</f>
        <v>59892.792000000001</v>
      </c>
      <c r="Z15" s="121">
        <f>IF(port0201!$B$9="All Routes",IF(port0201!$B$8&lt;&gt;"Tonnage","z",ROUND(SUMIFS(Data!$D:$D,Data!$A:$A,Z$5,Data!$C:$C,Z$4,Data!$B:$B,$B15),3)),IF(port0201!$B$8&lt;&gt;"Tonnage","z",ROUND(SUMIFS(Data!$D:$D,Data!$A:$A,Z$5,Data!$C:$C,Z$4,Data!$B:$B,$B15,Data!$F:$F,port0201!$B$9),3)))</f>
        <v>57432.372000000003</v>
      </c>
      <c r="AA15" s="121">
        <f>IF(port0201!$B$9="All Routes",IF(port0201!$B$8&lt;&gt;"Tonnage","z",ROUND(SUMIFS(Data!$D:$D,Data!$A:$A,AA$5,Data!$C:$C,AA$4,Data!$B:$B,$B15),3)),IF(port0201!$B$8&lt;&gt;"Tonnage","z",ROUND(SUMIFS(Data!$D:$D,Data!$A:$A,AA$5,Data!$C:$C,AA$4,Data!$B:$B,$B15,Data!$F:$F,port0201!$B$9),3)))</f>
        <v>53587.434999999998</v>
      </c>
      <c r="AB15" s="121">
        <f>IF(port0201!$B$9="All Routes",IF(port0201!$B$8&lt;&gt;"Tonnage","z",ROUND(SUMIFS(Data!$D:$D,Data!$A:$A,AB$5,Data!$C:$C,AB$4,Data!$B:$B,$B15),3)),IF(port0201!$B$8&lt;&gt;"Tonnage","z",ROUND(SUMIFS(Data!$D:$D,Data!$A:$A,AB$5,Data!$C:$C,AB$4,Data!$B:$B,$B15,Data!$F:$F,port0201!$B$9),3)))</f>
        <v>54564.773000000001</v>
      </c>
      <c r="AC15" s="121">
        <f>IF(port0201!$B$9="All Routes",IF(port0201!$B$8&lt;&gt;"Tonnage","z",ROUND(SUMIFS(Data!$D:$D,Data!$A:$A,AC$5,Data!$C:$C,AC$4,Data!$B:$B,$B15),3)),IF(port0201!$B$8&lt;&gt;"Tonnage","z",ROUND(SUMIFS(Data!$D:$D,Data!$A:$A,AC$5,Data!$C:$C,AC$4,Data!$B:$B,$B15,Data!$F:$F,port0201!$B$9),3)))</f>
        <v>43589.870999999999</v>
      </c>
      <c r="AD15" s="133"/>
      <c r="AE15" s="122">
        <f t="shared" si="0"/>
        <v>-0.20113530024215442</v>
      </c>
      <c r="AF15" s="123">
        <f t="shared" si="1"/>
        <v>-10974.902000000002</v>
      </c>
      <c r="AG15" s="133"/>
      <c r="AH15" s="138">
        <v>43484</v>
      </c>
      <c r="AI15" s="133"/>
      <c r="AJ15" s="125">
        <f t="shared" si="2"/>
        <v>977.33800000000338</v>
      </c>
      <c r="AK15" s="126">
        <f t="shared" si="3"/>
        <v>1.8238193337673344E-2</v>
      </c>
    </row>
    <row r="16" spans="1:37" ht="13">
      <c r="A16" s="134" t="s">
        <v>155</v>
      </c>
      <c r="B16" s="135" t="s">
        <v>161</v>
      </c>
      <c r="C16" s="136" t="s">
        <v>162</v>
      </c>
      <c r="D16" s="137">
        <f>IF(port0201!$B$8&lt;&gt;"Tonnage","z",ROUND(SUM(D11:D15),3))</f>
        <v>103602.49800000001</v>
      </c>
      <c r="E16" s="137">
        <f>IF(port0201!$B$8&lt;&gt;"Tonnage","z",ROUND(SUM(E11:E15),3))</f>
        <v>114986.24400000001</v>
      </c>
      <c r="F16" s="137">
        <f>IF(port0201!$B$8&lt;&gt;"Tonnage","z",ROUND(SUM(F11:F15),3))</f>
        <v>106742.40399999999</v>
      </c>
      <c r="G16" s="137">
        <f>IF(port0201!$B$8&lt;&gt;"Tonnage","z",ROUND(SUM(G11:G15),3))</f>
        <v>114428.961</v>
      </c>
      <c r="H16" s="137">
        <f>IF(port0201!$B$8&lt;&gt;"Tonnage","z",ROUND(SUM(H11:H15),3))</f>
        <v>114189.564</v>
      </c>
      <c r="I16" s="137">
        <f>IF(port0201!$B$8&lt;&gt;"Tonnage","z",ROUND(SUM(I11:I15),3))</f>
        <v>125567.738</v>
      </c>
      <c r="J16" s="137">
        <f>IF(port0201!$B$8&lt;&gt;"Tonnage","z",ROUND(SUM(J11:J15),3))</f>
        <v>133080.014</v>
      </c>
      <c r="K16" s="137">
        <f>IF(port0201!$B$8&lt;&gt;"Tonnage","z",ROUND(SUM(K11:K15),3))</f>
        <v>125383.102</v>
      </c>
      <c r="L16" s="137">
        <f>IF(port0201!$B$8&lt;&gt;"Tonnage","z",ROUND(SUM(L11:L15),3))</f>
        <v>124855.967</v>
      </c>
      <c r="M16" s="137">
        <f>IF(port0201!$B$8&lt;&gt;"Tonnage","z",ROUND(SUM(M11:M15),3))</f>
        <v>99044.504000000001</v>
      </c>
      <c r="N16" s="137">
        <f>IF(port0201!$B$8&lt;&gt;"Tonnage","z",ROUND(SUM(N11:N15),3))</f>
        <v>97406.922999999995</v>
      </c>
      <c r="O16" s="137">
        <f>IF(port0201!$B$8&lt;&gt;"Tonnage","z",ROUND(SUM(O11:O15),3))</f>
        <v>103407.974</v>
      </c>
      <c r="P16" s="137">
        <f>IF(port0201!$B$8&lt;&gt;"Tonnage","z",ROUND(SUM(P11:P15),3))</f>
        <v>110881.08100000001</v>
      </c>
      <c r="Q16" s="137">
        <f>IF(port0201!$B$8&lt;&gt;"Tonnage","z",ROUND(SUM(Q11:Q15),3))</f>
        <v>121416.802</v>
      </c>
      <c r="R16" s="137">
        <f>IF(port0201!$B$8&lt;&gt;"Tonnage","z",ROUND(SUM(R11:R15),3))</f>
        <v>121985.05100000001</v>
      </c>
      <c r="S16" s="137">
        <f>IF(port0201!$B$8&lt;&gt;"Tonnage","z",ROUND(SUM(S11:S15),3))</f>
        <v>104064.348</v>
      </c>
      <c r="T16" s="137">
        <f>IF(port0201!$B$8&lt;&gt;"Tonnage","z",ROUND(SUM(T11:T15),3))</f>
        <v>92617.195999999996</v>
      </c>
      <c r="U16" s="137">
        <f>IF(port0201!$B$8&lt;&gt;"Tonnage","z",ROUND(SUM(U11:U15),3))</f>
        <v>91698.673999999999</v>
      </c>
      <c r="V16" s="137">
        <f>IF(port0201!$B$8&lt;&gt;"Tonnage","z",ROUND(SUM(V11:V15),3))</f>
        <v>93981.6</v>
      </c>
      <c r="W16" s="137">
        <f>IF(port0201!$B$8&lt;&gt;"Tonnage","z",ROUND(SUM(W11:W15),3))</f>
        <v>92353.794999999998</v>
      </c>
      <c r="X16" s="137">
        <f>IF(port0201!$B$8&lt;&gt;"Tonnage","z",ROUND(SUM(X11:X15),3))</f>
        <v>85974.452000000005</v>
      </c>
      <c r="Y16" s="137">
        <f>IF(port0201!$B$8&lt;&gt;"Tonnage","z",ROUND(SUM(Y11:Y15),3))</f>
        <v>96554.441999999995</v>
      </c>
      <c r="Z16" s="137">
        <f>IF(port0201!$B$8&lt;&gt;"Tonnage","z",ROUND(SUM(Z11:Z15),3))</f>
        <v>93312.534</v>
      </c>
      <c r="AA16" s="137">
        <f>IF(port0201!$B$8&lt;&gt;"Tonnage","z",ROUND(SUM(AA11:AA15),3))</f>
        <v>84409.573000000004</v>
      </c>
      <c r="AB16" s="137">
        <f>IF(port0201!$B$8&lt;&gt;"Tonnage","z",ROUND(SUM(AB11:AB15),3))</f>
        <v>80943.570999999996</v>
      </c>
      <c r="AC16" s="137">
        <f>IF(port0201!$B$8&lt;&gt;"Tonnage","z",ROUND(SUM(AC11:AC15),3))</f>
        <v>78735.887000000002</v>
      </c>
      <c r="AD16" s="133">
        <f>SUM(AB11:AB15)-AB16</f>
        <v>0</v>
      </c>
      <c r="AE16" s="127">
        <f t="shared" si="0"/>
        <v>-2.7274358824618622E-2</v>
      </c>
      <c r="AF16" s="112">
        <f t="shared" si="1"/>
        <v>-2207.6839999999938</v>
      </c>
      <c r="AG16" s="133"/>
      <c r="AH16" s="133">
        <f>AC15+AC14</f>
        <v>53525.148000000001</v>
      </c>
      <c r="AI16" s="133"/>
      <c r="AJ16" s="125">
        <f t="shared" si="2"/>
        <v>-3466.0020000000077</v>
      </c>
      <c r="AK16" s="126">
        <f t="shared" si="3"/>
        <v>-4.1061717016386369E-2</v>
      </c>
    </row>
    <row r="17" spans="1:37" ht="14">
      <c r="A17" s="144" t="s">
        <v>163</v>
      </c>
      <c r="B17" s="119">
        <v>31</v>
      </c>
      <c r="C17" s="145" t="s">
        <v>77</v>
      </c>
      <c r="D17" s="146">
        <f>IF(D$3="All Routes", IF($G$2="Tonnage",SUMIFS(Data!$D:$D,Data!$A:$A,Working!D$5,Data!$B:$B,Working!$B17,Data!$C:$C,Working!D$4), IF($G$2="Units",SUMIFS(Data!$E:$E,Data!$A:$A,Working!D$5,Data!$B:$B,Working!$B17,Data!$C:$C,Working!D$4),SUMIFS(Data!$G:$G,Data!$A:$A,Working!D$5,Data!$B:$B,Working!$B17,Data!$C:$C,Working!D$4))), IF($G$2="Tonnage",SUMIFS(Data!$D:$D,Data!$A:$A,Working!D$5,Data!$B:$B,Working!$B17,Data!$C:$C,Working!D$4,Data!$F:$F,Working!D$3), IF($G$2="Units",SUMIFS(Data!$E:$E,Data!$A:$A,Working!D$5,Data!$B:$B,Working!$B17,Data!$C:$C,Working!D$4,Data!$F:$F,Working!D$3),SUMIFS(Data!$G:$G,Data!$A:$A,Working!D$5,Data!$B:$B,Working!$B17,Data!$C:$C,Working!D$4,Data!$F:$F,Working!D$3))))</f>
        <v>23042.377999999957</v>
      </c>
      <c r="E17" s="146">
        <f>IF(E$3="All Routes", IF($G$2="Tonnage",SUMIFS(Data!$D:$D,Data!$A:$A,Working!E$5,Data!$B:$B,Working!$B17,Data!$C:$C,Working!E$4), IF($G$2="Units",SUMIFS(Data!$E:$E,Data!$A:$A,Working!E$5,Data!$B:$B,Working!$B17,Data!$C:$C,Working!E$4),SUMIFS(Data!$G:$G,Data!$A:$A,Working!E$5,Data!$B:$B,Working!$B17,Data!$C:$C,Working!E$4))), IF($G$2="Tonnage",SUMIFS(Data!$D:$D,Data!$A:$A,Working!E$5,Data!$B:$B,Working!$B17,Data!$C:$C,Working!E$4,Data!$F:$F,Working!E$3), IF($G$2="Units",SUMIFS(Data!$E:$E,Data!$A:$A,Working!E$5,Data!$B:$B,Working!$B17,Data!$C:$C,Working!E$4,Data!$F:$F,Working!E$3),SUMIFS(Data!$G:$G,Data!$A:$A,Working!E$5,Data!$B:$B,Working!$B17,Data!$C:$C,Working!E$4,Data!$F:$F,Working!E$3))))</f>
        <v>22156.338999999931</v>
      </c>
      <c r="F17" s="146">
        <f>IF(F$3="All Routes", IF($G$2="Tonnage",SUMIFS(Data!$D:$D,Data!$A:$A,Working!F$5,Data!$B:$B,Working!$B17,Data!$C:$C,Working!F$4), IF($G$2="Units",SUMIFS(Data!$E:$E,Data!$A:$A,Working!F$5,Data!$B:$B,Working!$B17,Data!$C:$C,Working!F$4),SUMIFS(Data!$G:$G,Data!$A:$A,Working!F$5,Data!$B:$B,Working!$B17,Data!$C:$C,Working!F$4))), IF($G$2="Tonnage",SUMIFS(Data!$D:$D,Data!$A:$A,Working!F$5,Data!$B:$B,Working!$B17,Data!$C:$C,Working!F$4,Data!$F:$F,Working!F$3), IF($G$2="Units",SUMIFS(Data!$E:$E,Data!$A:$A,Working!F$5,Data!$B:$B,Working!$B17,Data!$C:$C,Working!F$4,Data!$F:$F,Working!F$3),SUMIFS(Data!$G:$G,Data!$A:$A,Working!F$5,Data!$B:$B,Working!$B17,Data!$C:$C,Working!F$4,Data!$F:$F,Working!F$3))))</f>
        <v>19900.423999999974</v>
      </c>
      <c r="G17" s="146">
        <f>IF(G$3="All Routes", IF($G$2="Tonnage",SUMIFS(Data!$D:$D,Data!$A:$A,Working!G$5,Data!$B:$B,Working!$B17,Data!$C:$C,Working!G$4), IF($G$2="Units",SUMIFS(Data!$E:$E,Data!$A:$A,Working!G$5,Data!$B:$B,Working!$B17,Data!$C:$C,Working!G$4),SUMIFS(Data!$G:$G,Data!$A:$A,Working!G$5,Data!$B:$B,Working!$B17,Data!$C:$C,Working!G$4))), IF($G$2="Tonnage",SUMIFS(Data!$D:$D,Data!$A:$A,Working!G$5,Data!$B:$B,Working!$B17,Data!$C:$C,Working!G$4,Data!$F:$F,Working!G$3), IF($G$2="Units",SUMIFS(Data!$E:$E,Data!$A:$A,Working!G$5,Data!$B:$B,Working!$B17,Data!$C:$C,Working!G$4,Data!$F:$F,Working!G$3),SUMIFS(Data!$G:$G,Data!$A:$A,Working!G$5,Data!$B:$B,Working!$B17,Data!$C:$C,Working!G$4,Data!$F:$F,Working!G$3))))</f>
        <v>19855.483999999909</v>
      </c>
      <c r="H17" s="146">
        <f>IF(H$3="All Routes", IF($G$2="Tonnage",SUMIFS(Data!$D:$D,Data!$A:$A,Working!H$5,Data!$B:$B,Working!$B17,Data!$C:$C,Working!H$4), IF($G$2="Units",SUMIFS(Data!$E:$E,Data!$A:$A,Working!H$5,Data!$B:$B,Working!$B17,Data!$C:$C,Working!H$4),SUMIFS(Data!$G:$G,Data!$A:$A,Working!H$5,Data!$B:$B,Working!$B17,Data!$C:$C,Working!H$4))), IF($G$2="Tonnage",SUMIFS(Data!$D:$D,Data!$A:$A,Working!H$5,Data!$B:$B,Working!$B17,Data!$C:$C,Working!H$4,Data!$F:$F,Working!H$3), IF($G$2="Units",SUMIFS(Data!$E:$E,Data!$A:$A,Working!H$5,Data!$B:$B,Working!$B17,Data!$C:$C,Working!H$4,Data!$F:$F,Working!H$3),SUMIFS(Data!$G:$G,Data!$A:$A,Working!H$5,Data!$B:$B,Working!$B17,Data!$C:$C,Working!H$4,Data!$F:$F,Working!H$3))))</f>
        <v>21013.068999999959</v>
      </c>
      <c r="I17" s="146">
        <f>IF(I$3="All Routes", IF($G$2="Tonnage",SUMIFS(Data!$D:$D,Data!$A:$A,Working!I$5,Data!$B:$B,Working!$B17,Data!$C:$C,Working!I$4), IF($G$2="Units",SUMIFS(Data!$E:$E,Data!$A:$A,Working!I$5,Data!$B:$B,Working!$B17,Data!$C:$C,Working!I$4),SUMIFS(Data!$G:$G,Data!$A:$A,Working!I$5,Data!$B:$B,Working!$B17,Data!$C:$C,Working!I$4))), IF($G$2="Tonnage",SUMIFS(Data!$D:$D,Data!$A:$A,Working!I$5,Data!$B:$B,Working!$B17,Data!$C:$C,Working!I$4,Data!$F:$F,Working!I$3), IF($G$2="Units",SUMIFS(Data!$E:$E,Data!$A:$A,Working!I$5,Data!$B:$B,Working!$B17,Data!$C:$C,Working!I$4,Data!$F:$F,Working!I$3),SUMIFS(Data!$G:$G,Data!$A:$A,Working!I$5,Data!$B:$B,Working!$B17,Data!$C:$C,Working!I$4,Data!$F:$F,Working!I$3))))</f>
        <v>19678.150999999936</v>
      </c>
      <c r="J17" s="146">
        <f>IF(J$3="All Routes", IF($G$2="Tonnage",SUMIFS(Data!$D:$D,Data!$A:$A,Working!J$5,Data!$B:$B,Working!$B17,Data!$C:$C,Working!J$4), IF($G$2="Units",SUMIFS(Data!$E:$E,Data!$A:$A,Working!J$5,Data!$B:$B,Working!$B17,Data!$C:$C,Working!J$4),SUMIFS(Data!$G:$G,Data!$A:$A,Working!J$5,Data!$B:$B,Working!$B17,Data!$C:$C,Working!J$4))), IF($G$2="Tonnage",SUMIFS(Data!$D:$D,Data!$A:$A,Working!J$5,Data!$B:$B,Working!$B17,Data!$C:$C,Working!J$4,Data!$F:$F,Working!J$3), IF($G$2="Units",SUMIFS(Data!$E:$E,Data!$A:$A,Working!J$5,Data!$B:$B,Working!$B17,Data!$C:$C,Working!J$4,Data!$F:$F,Working!J$3),SUMIFS(Data!$G:$G,Data!$A:$A,Working!J$5,Data!$B:$B,Working!$B17,Data!$C:$C,Working!J$4,Data!$F:$F,Working!J$3))))</f>
        <v>18547.523999999965</v>
      </c>
      <c r="K17" s="146">
        <f>IF(K$3="All Routes", IF($G$2="Tonnage",SUMIFS(Data!$D:$D,Data!$A:$A,Working!K$5,Data!$B:$B,Working!$B17,Data!$C:$C,Working!K$4), IF($G$2="Units",SUMIFS(Data!$E:$E,Data!$A:$A,Working!K$5,Data!$B:$B,Working!$B17,Data!$C:$C,Working!K$4),SUMIFS(Data!$G:$G,Data!$A:$A,Working!K$5,Data!$B:$B,Working!$B17,Data!$C:$C,Working!K$4))), IF($G$2="Tonnage",SUMIFS(Data!$D:$D,Data!$A:$A,Working!K$5,Data!$B:$B,Working!$B17,Data!$C:$C,Working!K$4,Data!$F:$F,Working!K$3), IF($G$2="Units",SUMIFS(Data!$E:$E,Data!$A:$A,Working!K$5,Data!$B:$B,Working!$B17,Data!$C:$C,Working!K$4,Data!$F:$F,Working!K$3),SUMIFS(Data!$G:$G,Data!$A:$A,Working!K$5,Data!$B:$B,Working!$B17,Data!$C:$C,Working!K$4,Data!$F:$F,Working!K$3))))</f>
        <v>19087.890999999905</v>
      </c>
      <c r="L17" s="146">
        <f>IF(L$3="All Routes", IF($G$2="Tonnage",SUMIFS(Data!$D:$D,Data!$A:$A,Working!L$5,Data!$B:$B,Working!$B17,Data!$C:$C,Working!L$4), IF($G$2="Units",SUMIFS(Data!$E:$E,Data!$A:$A,Working!L$5,Data!$B:$B,Working!$B17,Data!$C:$C,Working!L$4),SUMIFS(Data!$G:$G,Data!$A:$A,Working!L$5,Data!$B:$B,Working!$B17,Data!$C:$C,Working!L$4))), IF($G$2="Tonnage",SUMIFS(Data!$D:$D,Data!$A:$A,Working!L$5,Data!$B:$B,Working!$B17,Data!$C:$C,Working!L$4,Data!$F:$F,Working!L$3), IF($G$2="Units",SUMIFS(Data!$E:$E,Data!$A:$A,Working!L$5,Data!$B:$B,Working!$B17,Data!$C:$C,Working!L$4,Data!$F:$F,Working!L$3),SUMIFS(Data!$G:$G,Data!$A:$A,Working!L$5,Data!$B:$B,Working!$B17,Data!$C:$C,Working!L$4,Data!$F:$F,Working!L$3))))</f>
        <v>20527.454999999951</v>
      </c>
      <c r="M17" s="146">
        <f>IF(M$3="All Routes", IF($G$2="Tonnage",SUMIFS(Data!$D:$D,Data!$A:$A,Working!M$5,Data!$B:$B,Working!$B17,Data!$C:$C,Working!M$4), IF($G$2="Units",SUMIFS(Data!$E:$E,Data!$A:$A,Working!M$5,Data!$B:$B,Working!$B17,Data!$C:$C,Working!M$4),SUMIFS(Data!$G:$G,Data!$A:$A,Working!M$5,Data!$B:$B,Working!$B17,Data!$C:$C,Working!M$4))), IF($G$2="Tonnage",SUMIFS(Data!$D:$D,Data!$A:$A,Working!M$5,Data!$B:$B,Working!$B17,Data!$C:$C,Working!M$4,Data!$F:$F,Working!M$3), IF($G$2="Units",SUMIFS(Data!$E:$E,Data!$A:$A,Working!M$5,Data!$B:$B,Working!$B17,Data!$C:$C,Working!M$4,Data!$F:$F,Working!M$3),SUMIFS(Data!$G:$G,Data!$A:$A,Working!M$5,Data!$B:$B,Working!$B17,Data!$C:$C,Working!M$4,Data!$F:$F,Working!M$3))))</f>
        <v>17971.87999999991</v>
      </c>
      <c r="N17" s="146">
        <f>IF(N$3="All Routes", IF($G$2="Tonnage",SUMIFS(Data!$D:$D,Data!$A:$A,Working!N$5,Data!$B:$B,Working!$B17,Data!$C:$C,Working!N$4), IF($G$2="Units",SUMIFS(Data!$E:$E,Data!$A:$A,Working!N$5,Data!$B:$B,Working!$B17,Data!$C:$C,Working!N$4),SUMIFS(Data!$G:$G,Data!$A:$A,Working!N$5,Data!$B:$B,Working!$B17,Data!$C:$C,Working!N$4))), IF($G$2="Tonnage",SUMIFS(Data!$D:$D,Data!$A:$A,Working!N$5,Data!$B:$B,Working!$B17,Data!$C:$C,Working!N$4,Data!$F:$F,Working!N$3), IF($G$2="Units",SUMIFS(Data!$E:$E,Data!$A:$A,Working!N$5,Data!$B:$B,Working!$B17,Data!$C:$C,Working!N$4,Data!$F:$F,Working!N$3),SUMIFS(Data!$G:$G,Data!$A:$A,Working!N$5,Data!$B:$B,Working!$B17,Data!$C:$C,Working!N$4,Data!$F:$F,Working!N$3))))</f>
        <v>19310.915999999939</v>
      </c>
      <c r="O17" s="146">
        <f>IF(O$3="All Routes", IF($G$2="Tonnage",SUMIFS(Data!$D:$D,Data!$A:$A,Working!O$5,Data!$B:$B,Working!$B17,Data!$C:$C,Working!O$4), IF($G$2="Units",SUMIFS(Data!$E:$E,Data!$A:$A,Working!O$5,Data!$B:$B,Working!$B17,Data!$C:$C,Working!O$4),SUMIFS(Data!$G:$G,Data!$A:$A,Working!O$5,Data!$B:$B,Working!$B17,Data!$C:$C,Working!O$4))), IF($G$2="Tonnage",SUMIFS(Data!$D:$D,Data!$A:$A,Working!O$5,Data!$B:$B,Working!$B17,Data!$C:$C,Working!O$4,Data!$F:$F,Working!O$3), IF($G$2="Units",SUMIFS(Data!$E:$E,Data!$A:$A,Working!O$5,Data!$B:$B,Working!$B17,Data!$C:$C,Working!O$4,Data!$F:$F,Working!O$3),SUMIFS(Data!$G:$G,Data!$A:$A,Working!O$5,Data!$B:$B,Working!$B17,Data!$C:$C,Working!O$4,Data!$F:$F,Working!O$3))))</f>
        <v>19929.29199999991</v>
      </c>
      <c r="P17" s="146">
        <f>IF(P$3="All Routes", IF($G$2="Tonnage",SUMIFS(Data!$D:$D,Data!$A:$A,Working!P$5,Data!$B:$B,Working!$B17,Data!$C:$C,Working!P$4), IF($G$2="Units",SUMIFS(Data!$E:$E,Data!$A:$A,Working!P$5,Data!$B:$B,Working!$B17,Data!$C:$C,Working!P$4),SUMIFS(Data!$G:$G,Data!$A:$A,Working!P$5,Data!$B:$B,Working!$B17,Data!$C:$C,Working!P$4))), IF($G$2="Tonnage",SUMIFS(Data!$D:$D,Data!$A:$A,Working!P$5,Data!$B:$B,Working!$B17,Data!$C:$C,Working!P$4,Data!$F:$F,Working!P$3), IF($G$2="Units",SUMIFS(Data!$E:$E,Data!$A:$A,Working!P$5,Data!$B:$B,Working!$B17,Data!$C:$C,Working!P$4,Data!$F:$F,Working!P$3),SUMIFS(Data!$G:$G,Data!$A:$A,Working!P$5,Data!$B:$B,Working!$B17,Data!$C:$C,Working!P$4,Data!$F:$F,Working!P$3))))</f>
        <v>18565.966</v>
      </c>
      <c r="Q17" s="146">
        <f>IF(Q$3="All Routes", IF($G$2="Tonnage",SUMIFS(Data!$D:$D,Data!$A:$A,Working!Q$5,Data!$B:$B,Working!$B17,Data!$C:$C,Working!Q$4), IF($G$2="Units",SUMIFS(Data!$E:$E,Data!$A:$A,Working!Q$5,Data!$B:$B,Working!$B17,Data!$C:$C,Working!Q$4),SUMIFS(Data!$G:$G,Data!$A:$A,Working!Q$5,Data!$B:$B,Working!$B17,Data!$C:$C,Working!Q$4))), IF($G$2="Tonnage",SUMIFS(Data!$D:$D,Data!$A:$A,Working!Q$5,Data!$B:$B,Working!$B17,Data!$C:$C,Working!Q$4,Data!$F:$F,Working!Q$3), IF($G$2="Units",SUMIFS(Data!$E:$E,Data!$A:$A,Working!Q$5,Data!$B:$B,Working!$B17,Data!$C:$C,Working!Q$4,Data!$F:$F,Working!Q$3),SUMIFS(Data!$G:$G,Data!$A:$A,Working!Q$5,Data!$B:$B,Working!$B17,Data!$C:$C,Working!Q$4,Data!$F:$F,Working!Q$3))))</f>
        <v>18197.522999999939</v>
      </c>
      <c r="R17" s="146">
        <f>IF(R$3="All Routes", IF($G$2="Tonnage",SUMIFS(Data!$D:$D,Data!$A:$A,Working!R$5,Data!$B:$B,Working!$B17,Data!$C:$C,Working!R$4), IF($G$2="Units",SUMIFS(Data!$E:$E,Data!$A:$A,Working!R$5,Data!$B:$B,Working!$B17,Data!$C:$C,Working!R$4),SUMIFS(Data!$G:$G,Data!$A:$A,Working!R$5,Data!$B:$B,Working!$B17,Data!$C:$C,Working!R$4))), IF($G$2="Tonnage",SUMIFS(Data!$D:$D,Data!$A:$A,Working!R$5,Data!$B:$B,Working!$B17,Data!$C:$C,Working!R$4,Data!$F:$F,Working!R$3), IF($G$2="Units",SUMIFS(Data!$E:$E,Data!$A:$A,Working!R$5,Data!$B:$B,Working!$B17,Data!$C:$C,Working!R$4,Data!$F:$F,Working!R$3),SUMIFS(Data!$G:$G,Data!$A:$A,Working!R$5,Data!$B:$B,Working!$B17,Data!$C:$C,Working!R$4,Data!$F:$F,Working!R$3))))</f>
        <v>19360.495999999985</v>
      </c>
      <c r="S17" s="146">
        <f>IF(S$3="All Routes", IF($G$2="Tonnage",SUMIFS(Data!$D:$D,Data!$A:$A,Working!S$5,Data!$B:$B,Working!$B17,Data!$C:$C,Working!S$4), IF($G$2="Units",SUMIFS(Data!$E:$E,Data!$A:$A,Working!S$5,Data!$B:$B,Working!$B17,Data!$C:$C,Working!S$4),SUMIFS(Data!$G:$G,Data!$A:$A,Working!S$5,Data!$B:$B,Working!$B17,Data!$C:$C,Working!S$4))), IF($G$2="Tonnage",SUMIFS(Data!$D:$D,Data!$A:$A,Working!S$5,Data!$B:$B,Working!$B17,Data!$C:$C,Working!S$4,Data!$F:$F,Working!S$3), IF($G$2="Units",SUMIFS(Data!$E:$E,Data!$A:$A,Working!S$5,Data!$B:$B,Working!$B17,Data!$C:$C,Working!S$4,Data!$F:$F,Working!S$3),SUMIFS(Data!$G:$G,Data!$A:$A,Working!S$5,Data!$B:$B,Working!$B17,Data!$C:$C,Working!S$4,Data!$F:$F,Working!S$3))))</f>
        <v>19802.086999999967</v>
      </c>
      <c r="T17" s="146">
        <f>IF(T$3="All Routes", IF($G$2="Tonnage",SUMIFS(Data!$D:$D,Data!$A:$A,Working!T$5,Data!$B:$B,Working!$B17,Data!$C:$C,Working!T$4), IF($G$2="Units",SUMIFS(Data!$E:$E,Data!$A:$A,Working!T$5,Data!$B:$B,Working!$B17,Data!$C:$C,Working!T$4),SUMIFS(Data!$G:$G,Data!$A:$A,Working!T$5,Data!$B:$B,Working!$B17,Data!$C:$C,Working!T$4))), IF($G$2="Tonnage",SUMIFS(Data!$D:$D,Data!$A:$A,Working!T$5,Data!$B:$B,Working!$B17,Data!$C:$C,Working!T$4,Data!$F:$F,Working!T$3), IF($G$2="Units",SUMIFS(Data!$E:$E,Data!$A:$A,Working!T$5,Data!$B:$B,Working!$B17,Data!$C:$C,Working!T$4,Data!$F:$F,Working!T$3),SUMIFS(Data!$G:$G,Data!$A:$A,Working!T$5,Data!$B:$B,Working!$B17,Data!$C:$C,Working!T$4,Data!$F:$F,Working!T$3))))</f>
        <v>19929.943999999887</v>
      </c>
      <c r="U17" s="146">
        <f>IF(U$3="All Routes", IF($G$2="Tonnage",SUMIFS(Data!$D:$D,Data!$A:$A,Working!U$5,Data!$B:$B,Working!$B17,Data!$C:$C,Working!U$4), IF($G$2="Units",SUMIFS(Data!$E:$E,Data!$A:$A,Working!U$5,Data!$B:$B,Working!$B17,Data!$C:$C,Working!U$4),SUMIFS(Data!$G:$G,Data!$A:$A,Working!U$5,Data!$B:$B,Working!$B17,Data!$C:$C,Working!U$4))), IF($G$2="Tonnage",SUMIFS(Data!$D:$D,Data!$A:$A,Working!U$5,Data!$B:$B,Working!$B17,Data!$C:$C,Working!U$4,Data!$F:$F,Working!U$3), IF($G$2="Units",SUMIFS(Data!$E:$E,Data!$A:$A,Working!U$5,Data!$B:$B,Working!$B17,Data!$C:$C,Working!U$4,Data!$F:$F,Working!U$3),SUMIFS(Data!$G:$G,Data!$A:$A,Working!U$5,Data!$B:$B,Working!$B17,Data!$C:$C,Working!U$4,Data!$F:$F,Working!U$3))))</f>
        <v>19300.555999999993</v>
      </c>
      <c r="V17" s="146">
        <f>IF(V$3="All Routes", IF($G$2="Tonnage",SUMIFS(Data!$D:$D,Data!$A:$A,Working!V$5,Data!$B:$B,Working!$B17,Data!$C:$C,Working!V$4), IF($G$2="Units",SUMIFS(Data!$E:$E,Data!$A:$A,Working!V$5,Data!$B:$B,Working!$B17,Data!$C:$C,Working!V$4),SUMIFS(Data!$G:$G,Data!$A:$A,Working!V$5,Data!$B:$B,Working!$B17,Data!$C:$C,Working!V$4))), IF($G$2="Tonnage",SUMIFS(Data!$D:$D,Data!$A:$A,Working!V$5,Data!$B:$B,Working!$B17,Data!$C:$C,Working!V$4,Data!$F:$F,Working!V$3), IF($G$2="Units",SUMIFS(Data!$E:$E,Data!$A:$A,Working!V$5,Data!$B:$B,Working!$B17,Data!$C:$C,Working!V$4,Data!$F:$F,Working!V$3),SUMIFS(Data!$G:$G,Data!$A:$A,Working!V$5,Data!$B:$B,Working!$B17,Data!$C:$C,Working!V$4,Data!$F:$F,Working!V$3))))</f>
        <v>20241.129999999968</v>
      </c>
      <c r="W17" s="146">
        <f>IF(W$3="All Routes", IF($G$2="Tonnage",SUMIFS(Data!$D:$D,Data!$A:$A,Working!W$5,Data!$B:$B,Working!$B17,Data!$C:$C,Working!W$4), IF($G$2="Units",SUMIFS(Data!$E:$E,Data!$A:$A,Working!W$5,Data!$B:$B,Working!$B17,Data!$C:$C,Working!W$4),SUMIFS(Data!$G:$G,Data!$A:$A,Working!W$5,Data!$B:$B,Working!$B17,Data!$C:$C,Working!W$4))), IF($G$2="Tonnage",SUMIFS(Data!$D:$D,Data!$A:$A,Working!W$5,Data!$B:$B,Working!$B17,Data!$C:$C,Working!W$4,Data!$F:$F,Working!W$3), IF($G$2="Units",SUMIFS(Data!$E:$E,Data!$A:$A,Working!W$5,Data!$B:$B,Working!$B17,Data!$C:$C,Working!W$4,Data!$F:$F,Working!W$3),SUMIFS(Data!$G:$G,Data!$A:$A,Working!W$5,Data!$B:$B,Working!$B17,Data!$C:$C,Working!W$4,Data!$F:$F,Working!W$3))))</f>
        <v>19594.410999999924</v>
      </c>
      <c r="X17" s="146">
        <f>IF(X$3="All Routes", IF($G$2="Tonnage",SUMIFS(Data!$D:$D,Data!$A:$A,Working!X$5,Data!$B:$B,Working!$B17,Data!$C:$C,Working!X$4), IF($G$2="Units",SUMIFS(Data!$E:$E,Data!$A:$A,Working!X$5,Data!$B:$B,Working!$B17,Data!$C:$C,Working!X$4),SUMIFS(Data!$G:$G,Data!$A:$A,Working!X$5,Data!$B:$B,Working!$B17,Data!$C:$C,Working!X$4))), IF($G$2="Tonnage",SUMIFS(Data!$D:$D,Data!$A:$A,Working!X$5,Data!$B:$B,Working!$B17,Data!$C:$C,Working!X$4,Data!$F:$F,Working!X$3), IF($G$2="Units",SUMIFS(Data!$E:$E,Data!$A:$A,Working!X$5,Data!$B:$B,Working!$B17,Data!$C:$C,Working!X$4,Data!$F:$F,Working!X$3),SUMIFS(Data!$G:$G,Data!$A:$A,Working!X$5,Data!$B:$B,Working!$B17,Data!$C:$C,Working!X$4,Data!$F:$F,Working!X$3))))</f>
        <v>17745.918999999954</v>
      </c>
      <c r="Y17" s="146">
        <f>IF(Y$3="All Routes", IF($G$2="Tonnage",SUMIFS(Data!$D:$D,Data!$A:$A,Working!Y$5,Data!$B:$B,Working!$B17,Data!$C:$C,Working!Y$4), IF($G$2="Units",SUMIFS(Data!$E:$E,Data!$A:$A,Working!Y$5,Data!$B:$B,Working!$B17,Data!$C:$C,Working!Y$4),SUMIFS(Data!$G:$G,Data!$A:$A,Working!Y$5,Data!$B:$B,Working!$B17,Data!$C:$C,Working!Y$4))), IF($G$2="Tonnage",SUMIFS(Data!$D:$D,Data!$A:$A,Working!Y$5,Data!$B:$B,Working!$B17,Data!$C:$C,Working!Y$4,Data!$F:$F,Working!Y$3), IF($G$2="Units",SUMIFS(Data!$E:$E,Data!$A:$A,Working!Y$5,Data!$B:$B,Working!$B17,Data!$C:$C,Working!Y$4,Data!$F:$F,Working!Y$3),SUMIFS(Data!$G:$G,Data!$A:$A,Working!Y$5,Data!$B:$B,Working!$B17,Data!$C:$C,Working!Y$4,Data!$F:$F,Working!Y$3))))</f>
        <v>17568.608000000004</v>
      </c>
      <c r="Z17" s="146">
        <f>IF(Z$3="All Routes", IF($G$2="Tonnage",SUMIFS(Data!$D:$D,Data!$A:$A,Working!Z$5,Data!$B:$B,Working!$B17,Data!$C:$C,Working!Z$4), IF($G$2="Units",SUMIFS(Data!$E:$E,Data!$A:$A,Working!Z$5,Data!$B:$B,Working!$B17,Data!$C:$C,Working!Z$4),SUMIFS(Data!$G:$G,Data!$A:$A,Working!Z$5,Data!$B:$B,Working!$B17,Data!$C:$C,Working!Z$4))), IF($G$2="Tonnage",SUMIFS(Data!$D:$D,Data!$A:$A,Working!Z$5,Data!$B:$B,Working!$B17,Data!$C:$C,Working!Z$4,Data!$F:$F,Working!Z$3), IF($G$2="Units",SUMIFS(Data!$E:$E,Data!$A:$A,Working!Z$5,Data!$B:$B,Working!$B17,Data!$C:$C,Working!Z$4,Data!$F:$F,Working!Z$3),SUMIFS(Data!$G:$G,Data!$A:$A,Working!Z$5,Data!$B:$B,Working!$B17,Data!$C:$C,Working!Z$4,Data!$F:$F,Working!Z$3))))</f>
        <v>16613.283999999905</v>
      </c>
      <c r="AA17" s="146">
        <f>IF(AA$3="All Routes", IF($G$2="Tonnage",SUMIFS(Data!$D:$D,Data!$A:$A,Working!AA$5,Data!$B:$B,Working!$B17,Data!$C:$C,Working!AA$4), IF($G$2="Units",SUMIFS(Data!$E:$E,Data!$A:$A,Working!AA$5,Data!$B:$B,Working!$B17,Data!$C:$C,Working!AA$4),SUMIFS(Data!$G:$G,Data!$A:$A,Working!AA$5,Data!$B:$B,Working!$B17,Data!$C:$C,Working!AA$4))), IF($G$2="Tonnage",SUMIFS(Data!$D:$D,Data!$A:$A,Working!AA$5,Data!$B:$B,Working!$B17,Data!$C:$C,Working!AA$4,Data!$F:$F,Working!AA$3), IF($G$2="Units",SUMIFS(Data!$E:$E,Data!$A:$A,Working!AA$5,Data!$B:$B,Working!$B17,Data!$C:$C,Working!AA$4,Data!$F:$F,Working!AA$3),SUMIFS(Data!$G:$G,Data!$A:$A,Working!AA$5,Data!$B:$B,Working!$B17,Data!$C:$C,Working!AA$4,Data!$F:$F,Working!AA$3))))</f>
        <v>16566.610999999928</v>
      </c>
      <c r="AB17" s="146">
        <f>IF(AB$3="All Routes", IF($G$2="Tonnage",SUMIFS(Data!$D:$D,Data!$A:$A,Working!AB$5,Data!$B:$B,Working!$B17,Data!$C:$C,Working!AB$4), IF($G$2="Units",SUMIFS(Data!$E:$E,Data!$A:$A,Working!AB$5,Data!$B:$B,Working!$B17,Data!$C:$C,Working!AB$4),SUMIFS(Data!$G:$G,Data!$A:$A,Working!AB$5,Data!$B:$B,Working!$B17,Data!$C:$C,Working!AB$4))), IF($G$2="Tonnage",SUMIFS(Data!$D:$D,Data!$A:$A,Working!AB$5,Data!$B:$B,Working!$B17,Data!$C:$C,Working!AB$4,Data!$F:$F,Working!AB$3), IF($G$2="Units",SUMIFS(Data!$E:$E,Data!$A:$A,Working!AB$5,Data!$B:$B,Working!$B17,Data!$C:$C,Working!AB$4,Data!$F:$F,Working!AB$3),SUMIFS(Data!$G:$G,Data!$A:$A,Working!AB$5,Data!$B:$B,Working!$B17,Data!$C:$C,Working!AB$4,Data!$F:$F,Working!AB$3))))</f>
        <v>16037.23299999998</v>
      </c>
      <c r="AC17" s="146">
        <f>IF(AC$3="All Routes", IF($G$2="Tonnage",SUMIFS(Data!$D:$D,Data!$A:$A,Working!AC$5,Data!$B:$B,Working!$B17,Data!$C:$C,Working!AC$4), IF($G$2="Units",SUMIFS(Data!$E:$E,Data!$A:$A,Working!AC$5,Data!$B:$B,Working!$B17,Data!$C:$C,Working!AC$4),SUMIFS(Data!$G:$G,Data!$A:$A,Working!AC$5,Data!$B:$B,Working!$B17,Data!$C:$C,Working!AC$4))), IF($G$2="Tonnage",SUMIFS(Data!$D:$D,Data!$A:$A,Working!AC$5,Data!$B:$B,Working!$B17,Data!$C:$C,Working!AC$4,Data!$F:$F,Working!AC$3), IF($G$2="Units",SUMIFS(Data!$E:$E,Data!$A:$A,Working!AC$5,Data!$B:$B,Working!$B17,Data!$C:$C,Working!AC$4,Data!$F:$F,Working!AC$3),SUMIFS(Data!$G:$G,Data!$A:$A,Working!AC$5,Data!$B:$B,Working!$B17,Data!$C:$C,Working!AC$4,Data!$F:$F,Working!AC$3))))</f>
        <v>17760.956271852574</v>
      </c>
      <c r="AD17" s="133"/>
      <c r="AE17" s="127">
        <f t="shared" si="0"/>
        <v>0.1074825857959784</v>
      </c>
      <c r="AF17" s="112">
        <f t="shared" si="1"/>
        <v>1723.7232718525938</v>
      </c>
      <c r="AG17" s="133"/>
      <c r="AH17" s="133">
        <f>(AH16-AB15)/AB15</f>
        <v>-1.9053043618453246E-2</v>
      </c>
      <c r="AI17" s="133"/>
      <c r="AJ17" s="125">
        <f t="shared" si="2"/>
        <v>-529.37799999994786</v>
      </c>
      <c r="AK17" s="126">
        <f t="shared" si="3"/>
        <v>-3.1954513810938771E-2</v>
      </c>
    </row>
    <row r="18" spans="1:37" ht="14">
      <c r="A18" s="144" t="s">
        <v>163</v>
      </c>
      <c r="B18" s="119">
        <v>32</v>
      </c>
      <c r="C18" s="145" t="s">
        <v>78</v>
      </c>
      <c r="D18" s="146">
        <f>IF(D$3="All Routes", IF($G$2="Tonnage",SUMIFS(Data!$D:$D,Data!$A:$A,Working!D$5,Data!$B:$B,Working!$B18,Data!$C:$C,Working!D$4), IF($G$2="Units",SUMIFS(Data!$E:$E,Data!$A:$A,Working!D$5,Data!$B:$B,Working!$B18,Data!$C:$C,Working!D$4),SUMIFS(Data!$G:$G,Data!$A:$A,Working!D$5,Data!$B:$B,Working!$B18,Data!$C:$C,Working!D$4))), IF($G$2="Tonnage",SUMIFS(Data!$D:$D,Data!$A:$A,Working!D$5,Data!$B:$B,Working!$B18,Data!$C:$C,Working!D$4,Data!$F:$F,Working!D$3), IF($G$2="Units",SUMIFS(Data!$E:$E,Data!$A:$A,Working!D$5,Data!$B:$B,Working!$B18,Data!$C:$C,Working!D$4,Data!$F:$F,Working!D$3),SUMIFS(Data!$G:$G,Data!$A:$A,Working!D$5,Data!$B:$B,Working!$B18,Data!$C:$C,Working!D$4,Data!$F:$F,Working!D$3))))</f>
        <v>26471.083999999941</v>
      </c>
      <c r="E18" s="146">
        <f>IF(E$3="All Routes", IF($G$2="Tonnage",SUMIFS(Data!$D:$D,Data!$A:$A,Working!E$5,Data!$B:$B,Working!$B18,Data!$C:$C,Working!E$4), IF($G$2="Units",SUMIFS(Data!$E:$E,Data!$A:$A,Working!E$5,Data!$B:$B,Working!$B18,Data!$C:$C,Working!E$4),SUMIFS(Data!$G:$G,Data!$A:$A,Working!E$5,Data!$B:$B,Working!$B18,Data!$C:$C,Working!E$4))), IF($G$2="Tonnage",SUMIFS(Data!$D:$D,Data!$A:$A,Working!E$5,Data!$B:$B,Working!$B18,Data!$C:$C,Working!E$4,Data!$F:$F,Working!E$3), IF($G$2="Units",SUMIFS(Data!$E:$E,Data!$A:$A,Working!E$5,Data!$B:$B,Working!$B18,Data!$C:$C,Working!E$4,Data!$F:$F,Working!E$3),SUMIFS(Data!$G:$G,Data!$A:$A,Working!E$5,Data!$B:$B,Working!$B18,Data!$C:$C,Working!E$4,Data!$F:$F,Working!E$3))))</f>
        <v>26227.637999999948</v>
      </c>
      <c r="F18" s="146">
        <f>IF(F$3="All Routes", IF($G$2="Tonnage",SUMIFS(Data!$D:$D,Data!$A:$A,Working!F$5,Data!$B:$B,Working!$B18,Data!$C:$C,Working!F$4), IF($G$2="Units",SUMIFS(Data!$E:$E,Data!$A:$A,Working!F$5,Data!$B:$B,Working!$B18,Data!$C:$C,Working!F$4),SUMIFS(Data!$G:$G,Data!$A:$A,Working!F$5,Data!$B:$B,Working!$B18,Data!$C:$C,Working!F$4))), IF($G$2="Tonnage",SUMIFS(Data!$D:$D,Data!$A:$A,Working!F$5,Data!$B:$B,Working!$B18,Data!$C:$C,Working!F$4,Data!$F:$F,Working!F$3), IF($G$2="Units",SUMIFS(Data!$E:$E,Data!$A:$A,Working!F$5,Data!$B:$B,Working!$B18,Data!$C:$C,Working!F$4,Data!$F:$F,Working!F$3),SUMIFS(Data!$G:$G,Data!$A:$A,Working!F$5,Data!$B:$B,Working!$B18,Data!$C:$C,Working!F$4,Data!$F:$F,Working!F$3))))</f>
        <v>26765.705999999984</v>
      </c>
      <c r="G18" s="146">
        <f>IF(G$3="All Routes", IF($G$2="Tonnage",SUMIFS(Data!$D:$D,Data!$A:$A,Working!G$5,Data!$B:$B,Working!$B18,Data!$C:$C,Working!G$4), IF($G$2="Units",SUMIFS(Data!$E:$E,Data!$A:$A,Working!G$5,Data!$B:$B,Working!$B18,Data!$C:$C,Working!G$4),SUMIFS(Data!$G:$G,Data!$A:$A,Working!G$5,Data!$B:$B,Working!$B18,Data!$C:$C,Working!G$4))), IF($G$2="Tonnage",SUMIFS(Data!$D:$D,Data!$A:$A,Working!G$5,Data!$B:$B,Working!$B18,Data!$C:$C,Working!G$4,Data!$F:$F,Working!G$3), IF($G$2="Units",SUMIFS(Data!$E:$E,Data!$A:$A,Working!G$5,Data!$B:$B,Working!$B18,Data!$C:$C,Working!G$4,Data!$F:$F,Working!G$3),SUMIFS(Data!$G:$G,Data!$A:$A,Working!G$5,Data!$B:$B,Working!$B18,Data!$C:$C,Working!G$4,Data!$F:$F,Working!G$3))))</f>
        <v>25700.435999999991</v>
      </c>
      <c r="H18" s="146">
        <f>IF(H$3="All Routes", IF($G$2="Tonnage",SUMIFS(Data!$D:$D,Data!$A:$A,Working!H$5,Data!$B:$B,Working!$B18,Data!$C:$C,Working!H$4), IF($G$2="Units",SUMIFS(Data!$E:$E,Data!$A:$A,Working!H$5,Data!$B:$B,Working!$B18,Data!$C:$C,Working!H$4),SUMIFS(Data!$G:$G,Data!$A:$A,Working!H$5,Data!$B:$B,Working!$B18,Data!$C:$C,Working!H$4))), IF($G$2="Tonnage",SUMIFS(Data!$D:$D,Data!$A:$A,Working!H$5,Data!$B:$B,Working!$B18,Data!$C:$C,Working!H$4,Data!$F:$F,Working!H$3), IF($G$2="Units",SUMIFS(Data!$E:$E,Data!$A:$A,Working!H$5,Data!$B:$B,Working!$B18,Data!$C:$C,Working!H$4,Data!$F:$F,Working!H$3),SUMIFS(Data!$G:$G,Data!$A:$A,Working!H$5,Data!$B:$B,Working!$B18,Data!$C:$C,Working!H$4,Data!$F:$F,Working!H$3))))</f>
        <v>30244.41299999995</v>
      </c>
      <c r="I18" s="146">
        <f>IF(I$3="All Routes", IF($G$2="Tonnage",SUMIFS(Data!$D:$D,Data!$A:$A,Working!I$5,Data!$B:$B,Working!$B18,Data!$C:$C,Working!I$4), IF($G$2="Units",SUMIFS(Data!$E:$E,Data!$A:$A,Working!I$5,Data!$B:$B,Working!$B18,Data!$C:$C,Working!I$4),SUMIFS(Data!$G:$G,Data!$A:$A,Working!I$5,Data!$B:$B,Working!$B18,Data!$C:$C,Working!I$4))), IF($G$2="Tonnage",SUMIFS(Data!$D:$D,Data!$A:$A,Working!I$5,Data!$B:$B,Working!$B18,Data!$C:$C,Working!I$4,Data!$F:$F,Working!I$3), IF($G$2="Units",SUMIFS(Data!$E:$E,Data!$A:$A,Working!I$5,Data!$B:$B,Working!$B18,Data!$C:$C,Working!I$4,Data!$F:$F,Working!I$3),SUMIFS(Data!$G:$G,Data!$A:$A,Working!I$5,Data!$B:$B,Working!$B18,Data!$C:$C,Working!I$4,Data!$F:$F,Working!I$3))))</f>
        <v>30082.464999999971</v>
      </c>
      <c r="J18" s="146">
        <f>IF(J$3="All Routes", IF($G$2="Tonnage",SUMIFS(Data!$D:$D,Data!$A:$A,Working!J$5,Data!$B:$B,Working!$B18,Data!$C:$C,Working!J$4), IF($G$2="Units",SUMIFS(Data!$E:$E,Data!$A:$A,Working!J$5,Data!$B:$B,Working!$B18,Data!$C:$C,Working!J$4),SUMIFS(Data!$G:$G,Data!$A:$A,Working!J$5,Data!$B:$B,Working!$B18,Data!$C:$C,Working!J$4))), IF($G$2="Tonnage",SUMIFS(Data!$D:$D,Data!$A:$A,Working!J$5,Data!$B:$B,Working!$B18,Data!$C:$C,Working!J$4,Data!$F:$F,Working!J$3), IF($G$2="Units",SUMIFS(Data!$E:$E,Data!$A:$A,Working!J$5,Data!$B:$B,Working!$B18,Data!$C:$C,Working!J$4,Data!$F:$F,Working!J$3),SUMIFS(Data!$G:$G,Data!$A:$A,Working!J$5,Data!$B:$B,Working!$B18,Data!$C:$C,Working!J$4,Data!$F:$F,Working!J$3))))</f>
        <v>31773.798999999904</v>
      </c>
      <c r="K18" s="146">
        <f>IF(K$3="All Routes", IF($G$2="Tonnage",SUMIFS(Data!$D:$D,Data!$A:$A,Working!K$5,Data!$B:$B,Working!$B18,Data!$C:$C,Working!K$4), IF($G$2="Units",SUMIFS(Data!$E:$E,Data!$A:$A,Working!K$5,Data!$B:$B,Working!$B18,Data!$C:$C,Working!K$4),SUMIFS(Data!$G:$G,Data!$A:$A,Working!K$5,Data!$B:$B,Working!$B18,Data!$C:$C,Working!K$4))), IF($G$2="Tonnage",SUMIFS(Data!$D:$D,Data!$A:$A,Working!K$5,Data!$B:$B,Working!$B18,Data!$C:$C,Working!K$4,Data!$F:$F,Working!K$3), IF($G$2="Units",SUMIFS(Data!$E:$E,Data!$A:$A,Working!K$5,Data!$B:$B,Working!$B18,Data!$C:$C,Working!K$4,Data!$F:$F,Working!K$3),SUMIFS(Data!$G:$G,Data!$A:$A,Working!K$5,Data!$B:$B,Working!$B18,Data!$C:$C,Working!K$4,Data!$F:$F,Working!K$3))))</f>
        <v>34792.939000000013</v>
      </c>
      <c r="L18" s="146">
        <f>IF(L$3="All Routes", IF($G$2="Tonnage",SUMIFS(Data!$D:$D,Data!$A:$A,Working!L$5,Data!$B:$B,Working!$B18,Data!$C:$C,Working!L$4), IF($G$2="Units",SUMIFS(Data!$E:$E,Data!$A:$A,Working!L$5,Data!$B:$B,Working!$B18,Data!$C:$C,Working!L$4),SUMIFS(Data!$G:$G,Data!$A:$A,Working!L$5,Data!$B:$B,Working!$B18,Data!$C:$C,Working!L$4))), IF($G$2="Tonnage",SUMIFS(Data!$D:$D,Data!$A:$A,Working!L$5,Data!$B:$B,Working!$B18,Data!$C:$C,Working!L$4,Data!$F:$F,Working!L$3), IF($G$2="Units",SUMIFS(Data!$E:$E,Data!$A:$A,Working!L$5,Data!$B:$B,Working!$B18,Data!$C:$C,Working!L$4,Data!$F:$F,Working!L$3),SUMIFS(Data!$G:$G,Data!$A:$A,Working!L$5,Data!$B:$B,Working!$B18,Data!$C:$C,Working!L$4,Data!$F:$F,Working!L$3))))</f>
        <v>34293.097000000002</v>
      </c>
      <c r="M18" s="146">
        <f>IF(M$3="All Routes", IF($G$2="Tonnage",SUMIFS(Data!$D:$D,Data!$A:$A,Working!M$5,Data!$B:$B,Working!$B18,Data!$C:$C,Working!M$4), IF($G$2="Units",SUMIFS(Data!$E:$E,Data!$A:$A,Working!M$5,Data!$B:$B,Working!$B18,Data!$C:$C,Working!M$4),SUMIFS(Data!$G:$G,Data!$A:$A,Working!M$5,Data!$B:$B,Working!$B18,Data!$C:$C,Working!M$4))), IF($G$2="Tonnage",SUMIFS(Data!$D:$D,Data!$A:$A,Working!M$5,Data!$B:$B,Working!$B18,Data!$C:$C,Working!M$4,Data!$F:$F,Working!M$3), IF($G$2="Units",SUMIFS(Data!$E:$E,Data!$A:$A,Working!M$5,Data!$B:$B,Working!$B18,Data!$C:$C,Working!M$4,Data!$F:$F,Working!M$3),SUMIFS(Data!$G:$G,Data!$A:$A,Working!M$5,Data!$B:$B,Working!$B18,Data!$C:$C,Working!M$4,Data!$F:$F,Working!M$3))))</f>
        <v>30100.976999999937</v>
      </c>
      <c r="N18" s="146">
        <f>IF(N$3="All Routes", IF($G$2="Tonnage",SUMIFS(Data!$D:$D,Data!$A:$A,Working!N$5,Data!$B:$B,Working!$B18,Data!$C:$C,Working!N$4), IF($G$2="Units",SUMIFS(Data!$E:$E,Data!$A:$A,Working!N$5,Data!$B:$B,Working!$B18,Data!$C:$C,Working!N$4),SUMIFS(Data!$G:$G,Data!$A:$A,Working!N$5,Data!$B:$B,Working!$B18,Data!$C:$C,Working!N$4))), IF($G$2="Tonnage",SUMIFS(Data!$D:$D,Data!$A:$A,Working!N$5,Data!$B:$B,Working!$B18,Data!$C:$C,Working!N$4,Data!$F:$F,Working!N$3), IF($G$2="Units",SUMIFS(Data!$E:$E,Data!$A:$A,Working!N$5,Data!$B:$B,Working!$B18,Data!$C:$C,Working!N$4,Data!$F:$F,Working!N$3),SUMIFS(Data!$G:$G,Data!$A:$A,Working!N$5,Data!$B:$B,Working!$B18,Data!$C:$C,Working!N$4,Data!$F:$F,Working!N$3))))</f>
        <v>32833.394999999997</v>
      </c>
      <c r="O18" s="146">
        <f>IF(O$3="All Routes", IF($G$2="Tonnage",SUMIFS(Data!$D:$D,Data!$A:$A,Working!O$5,Data!$B:$B,Working!$B18,Data!$C:$C,Working!O$4), IF($G$2="Units",SUMIFS(Data!$E:$E,Data!$A:$A,Working!O$5,Data!$B:$B,Working!$B18,Data!$C:$C,Working!O$4),SUMIFS(Data!$G:$G,Data!$A:$A,Working!O$5,Data!$B:$B,Working!$B18,Data!$C:$C,Working!O$4))), IF($G$2="Tonnage",SUMIFS(Data!$D:$D,Data!$A:$A,Working!O$5,Data!$B:$B,Working!$B18,Data!$C:$C,Working!O$4,Data!$F:$F,Working!O$3), IF($G$2="Units",SUMIFS(Data!$E:$E,Data!$A:$A,Working!O$5,Data!$B:$B,Working!$B18,Data!$C:$C,Working!O$4,Data!$F:$F,Working!O$3),SUMIFS(Data!$G:$G,Data!$A:$A,Working!O$5,Data!$B:$B,Working!$B18,Data!$C:$C,Working!O$4,Data!$F:$F,Working!O$3))))</f>
        <v>32899.290999999866</v>
      </c>
      <c r="P18" s="146">
        <f>IF(P$3="All Routes", IF($G$2="Tonnage",SUMIFS(Data!$D:$D,Data!$A:$A,Working!P$5,Data!$B:$B,Working!$B18,Data!$C:$C,Working!P$4), IF($G$2="Units",SUMIFS(Data!$E:$E,Data!$A:$A,Working!P$5,Data!$B:$B,Working!$B18,Data!$C:$C,Working!P$4),SUMIFS(Data!$G:$G,Data!$A:$A,Working!P$5,Data!$B:$B,Working!$B18,Data!$C:$C,Working!P$4))), IF($G$2="Tonnage",SUMIFS(Data!$D:$D,Data!$A:$A,Working!P$5,Data!$B:$B,Working!$B18,Data!$C:$C,Working!P$4,Data!$F:$F,Working!P$3), IF($G$2="Units",SUMIFS(Data!$E:$E,Data!$A:$A,Working!P$5,Data!$B:$B,Working!$B18,Data!$C:$C,Working!P$4,Data!$F:$F,Working!P$3),SUMIFS(Data!$G:$G,Data!$A:$A,Working!P$5,Data!$B:$B,Working!$B18,Data!$C:$C,Working!P$4,Data!$F:$F,Working!P$3))))</f>
        <v>31674.314999999981</v>
      </c>
      <c r="Q18" s="146">
        <f>IF(Q$3="All Routes", IF($G$2="Tonnage",SUMIFS(Data!$D:$D,Data!$A:$A,Working!Q$5,Data!$B:$B,Working!$B18,Data!$C:$C,Working!Q$4), IF($G$2="Units",SUMIFS(Data!$E:$E,Data!$A:$A,Working!Q$5,Data!$B:$B,Working!$B18,Data!$C:$C,Working!Q$4),SUMIFS(Data!$G:$G,Data!$A:$A,Working!Q$5,Data!$B:$B,Working!$B18,Data!$C:$C,Working!Q$4))), IF($G$2="Tonnage",SUMIFS(Data!$D:$D,Data!$A:$A,Working!Q$5,Data!$B:$B,Working!$B18,Data!$C:$C,Working!Q$4,Data!$F:$F,Working!Q$3), IF($G$2="Units",SUMIFS(Data!$E:$E,Data!$A:$A,Working!Q$5,Data!$B:$B,Working!$B18,Data!$C:$C,Working!Q$4,Data!$F:$F,Working!Q$3),SUMIFS(Data!$G:$G,Data!$A:$A,Working!Q$5,Data!$B:$B,Working!$B18,Data!$C:$C,Working!Q$4,Data!$F:$F,Working!Q$3))))</f>
        <v>33407.231999999996</v>
      </c>
      <c r="R18" s="146">
        <f>IF(R$3="All Routes", IF($G$2="Tonnage",SUMIFS(Data!$D:$D,Data!$A:$A,Working!R$5,Data!$B:$B,Working!$B18,Data!$C:$C,Working!R$4), IF($G$2="Units",SUMIFS(Data!$E:$E,Data!$A:$A,Working!R$5,Data!$B:$B,Working!$B18,Data!$C:$C,Working!R$4),SUMIFS(Data!$G:$G,Data!$A:$A,Working!R$5,Data!$B:$B,Working!$B18,Data!$C:$C,Working!R$4))), IF($G$2="Tonnage",SUMIFS(Data!$D:$D,Data!$A:$A,Working!R$5,Data!$B:$B,Working!$B18,Data!$C:$C,Working!R$4,Data!$F:$F,Working!R$3), IF($G$2="Units",SUMIFS(Data!$E:$E,Data!$A:$A,Working!R$5,Data!$B:$B,Working!$B18,Data!$C:$C,Working!R$4,Data!$F:$F,Working!R$3),SUMIFS(Data!$G:$G,Data!$A:$A,Working!R$5,Data!$B:$B,Working!$B18,Data!$C:$C,Working!R$4,Data!$F:$F,Working!R$3))))</f>
        <v>33823.841999999924</v>
      </c>
      <c r="S18" s="146">
        <f>IF(S$3="All Routes", IF($G$2="Tonnage",SUMIFS(Data!$D:$D,Data!$A:$A,Working!S$5,Data!$B:$B,Working!$B18,Data!$C:$C,Working!S$4), IF($G$2="Units",SUMIFS(Data!$E:$E,Data!$A:$A,Working!S$5,Data!$B:$B,Working!$B18,Data!$C:$C,Working!S$4),SUMIFS(Data!$G:$G,Data!$A:$A,Working!S$5,Data!$B:$B,Working!$B18,Data!$C:$C,Working!S$4))), IF($G$2="Tonnage",SUMIFS(Data!$D:$D,Data!$A:$A,Working!S$5,Data!$B:$B,Working!$B18,Data!$C:$C,Working!S$4,Data!$F:$F,Working!S$3), IF($G$2="Units",SUMIFS(Data!$E:$E,Data!$A:$A,Working!S$5,Data!$B:$B,Working!$B18,Data!$C:$C,Working!S$4,Data!$F:$F,Working!S$3),SUMIFS(Data!$G:$G,Data!$A:$A,Working!S$5,Data!$B:$B,Working!$B18,Data!$C:$C,Working!S$4,Data!$F:$F,Working!S$3))))</f>
        <v>36814.571999999942</v>
      </c>
      <c r="T18" s="146">
        <f>IF(T$3="All Routes", IF($G$2="Tonnage",SUMIFS(Data!$D:$D,Data!$A:$A,Working!T$5,Data!$B:$B,Working!$B18,Data!$C:$C,Working!T$4), IF($G$2="Units",SUMIFS(Data!$E:$E,Data!$A:$A,Working!T$5,Data!$B:$B,Working!$B18,Data!$C:$C,Working!T$4),SUMIFS(Data!$G:$G,Data!$A:$A,Working!T$5,Data!$B:$B,Working!$B18,Data!$C:$C,Working!T$4))), IF($G$2="Tonnage",SUMIFS(Data!$D:$D,Data!$A:$A,Working!T$5,Data!$B:$B,Working!$B18,Data!$C:$C,Working!T$4,Data!$F:$F,Working!T$3), IF($G$2="Units",SUMIFS(Data!$E:$E,Data!$A:$A,Working!T$5,Data!$B:$B,Working!$B18,Data!$C:$C,Working!T$4,Data!$F:$F,Working!T$3),SUMIFS(Data!$G:$G,Data!$A:$A,Working!T$5,Data!$B:$B,Working!$B18,Data!$C:$C,Working!T$4,Data!$F:$F,Working!T$3))))</f>
        <v>38920.834999999926</v>
      </c>
      <c r="U18" s="146">
        <f>IF(U$3="All Routes", IF($G$2="Tonnage",SUMIFS(Data!$D:$D,Data!$A:$A,Working!U$5,Data!$B:$B,Working!$B18,Data!$C:$C,Working!U$4), IF($G$2="Units",SUMIFS(Data!$E:$E,Data!$A:$A,Working!U$5,Data!$B:$B,Working!$B18,Data!$C:$C,Working!U$4),SUMIFS(Data!$G:$G,Data!$A:$A,Working!U$5,Data!$B:$B,Working!$B18,Data!$C:$C,Working!U$4))), IF($G$2="Tonnage",SUMIFS(Data!$D:$D,Data!$A:$A,Working!U$5,Data!$B:$B,Working!$B18,Data!$C:$C,Working!U$4,Data!$F:$F,Working!U$3), IF($G$2="Units",SUMIFS(Data!$E:$E,Data!$A:$A,Working!U$5,Data!$B:$B,Working!$B18,Data!$C:$C,Working!U$4,Data!$F:$F,Working!U$3),SUMIFS(Data!$G:$G,Data!$A:$A,Working!U$5,Data!$B:$B,Working!$B18,Data!$C:$C,Working!U$4,Data!$F:$F,Working!U$3))))</f>
        <v>37733.918999999929</v>
      </c>
      <c r="V18" s="146">
        <f>IF(V$3="All Routes", IF($G$2="Tonnage",SUMIFS(Data!$D:$D,Data!$A:$A,Working!V$5,Data!$B:$B,Working!$B18,Data!$C:$C,Working!V$4), IF($G$2="Units",SUMIFS(Data!$E:$E,Data!$A:$A,Working!V$5,Data!$B:$B,Working!$B18,Data!$C:$C,Working!V$4),SUMIFS(Data!$G:$G,Data!$A:$A,Working!V$5,Data!$B:$B,Working!$B18,Data!$C:$C,Working!V$4))), IF($G$2="Tonnage",SUMIFS(Data!$D:$D,Data!$A:$A,Working!V$5,Data!$B:$B,Working!$B18,Data!$C:$C,Working!V$4,Data!$F:$F,Working!V$3), IF($G$2="Units",SUMIFS(Data!$E:$E,Data!$A:$A,Working!V$5,Data!$B:$B,Working!$B18,Data!$C:$C,Working!V$4,Data!$F:$F,Working!V$3),SUMIFS(Data!$G:$G,Data!$A:$A,Working!V$5,Data!$B:$B,Working!$B18,Data!$C:$C,Working!V$4,Data!$F:$F,Working!V$3))))</f>
        <v>40276.412999999935</v>
      </c>
      <c r="W18" s="146">
        <f>IF(W$3="All Routes", IF($G$2="Tonnage",SUMIFS(Data!$D:$D,Data!$A:$A,Working!W$5,Data!$B:$B,Working!$B18,Data!$C:$C,Working!W$4), IF($G$2="Units",SUMIFS(Data!$E:$E,Data!$A:$A,Working!W$5,Data!$B:$B,Working!$B18,Data!$C:$C,Working!W$4),SUMIFS(Data!$G:$G,Data!$A:$A,Working!W$5,Data!$B:$B,Working!$B18,Data!$C:$C,Working!W$4))), IF($G$2="Tonnage",SUMIFS(Data!$D:$D,Data!$A:$A,Working!W$5,Data!$B:$B,Working!$B18,Data!$C:$C,Working!W$4,Data!$F:$F,Working!W$3), IF($G$2="Units",SUMIFS(Data!$E:$E,Data!$A:$A,Working!W$5,Data!$B:$B,Working!$B18,Data!$C:$C,Working!W$4,Data!$F:$F,Working!W$3),SUMIFS(Data!$G:$G,Data!$A:$A,Working!W$5,Data!$B:$B,Working!$B18,Data!$C:$C,Working!W$4,Data!$F:$F,Working!W$3))))</f>
        <v>39750.895999999979</v>
      </c>
      <c r="X18" s="146">
        <f>IF(X$3="All Routes", IF($G$2="Tonnage",SUMIFS(Data!$D:$D,Data!$A:$A,Working!X$5,Data!$B:$B,Working!$B18,Data!$C:$C,Working!X$4), IF($G$2="Units",SUMIFS(Data!$E:$E,Data!$A:$A,Working!X$5,Data!$B:$B,Working!$B18,Data!$C:$C,Working!X$4),SUMIFS(Data!$G:$G,Data!$A:$A,Working!X$5,Data!$B:$B,Working!$B18,Data!$C:$C,Working!X$4))), IF($G$2="Tonnage",SUMIFS(Data!$D:$D,Data!$A:$A,Working!X$5,Data!$B:$B,Working!$B18,Data!$C:$C,Working!X$4,Data!$F:$F,Working!X$3), IF($G$2="Units",SUMIFS(Data!$E:$E,Data!$A:$A,Working!X$5,Data!$B:$B,Working!$B18,Data!$C:$C,Working!X$4,Data!$F:$F,Working!X$3),SUMIFS(Data!$G:$G,Data!$A:$A,Working!X$5,Data!$B:$B,Working!$B18,Data!$C:$C,Working!X$4,Data!$F:$F,Working!X$3))))</f>
        <v>36298.590999999949</v>
      </c>
      <c r="Y18" s="146">
        <f>IF(Y$3="All Routes", IF($G$2="Tonnage",SUMIFS(Data!$D:$D,Data!$A:$A,Working!Y$5,Data!$B:$B,Working!$B18,Data!$C:$C,Working!Y$4), IF($G$2="Units",SUMIFS(Data!$E:$E,Data!$A:$A,Working!Y$5,Data!$B:$B,Working!$B18,Data!$C:$C,Working!Y$4),SUMIFS(Data!$G:$G,Data!$A:$A,Working!Y$5,Data!$B:$B,Working!$B18,Data!$C:$C,Working!Y$4))), IF($G$2="Tonnage",SUMIFS(Data!$D:$D,Data!$A:$A,Working!Y$5,Data!$B:$B,Working!$B18,Data!$C:$C,Working!Y$4,Data!$F:$F,Working!Y$3), IF($G$2="Units",SUMIFS(Data!$E:$E,Data!$A:$A,Working!Y$5,Data!$B:$B,Working!$B18,Data!$C:$C,Working!Y$4,Data!$F:$F,Working!Y$3),SUMIFS(Data!$G:$G,Data!$A:$A,Working!Y$5,Data!$B:$B,Working!$B18,Data!$C:$C,Working!Y$4,Data!$F:$F,Working!Y$3))))</f>
        <v>36042.448000000011</v>
      </c>
      <c r="Z18" s="146">
        <f>IF(Z$3="All Routes", IF($G$2="Tonnage",SUMIFS(Data!$D:$D,Data!$A:$A,Working!Z$5,Data!$B:$B,Working!$B18,Data!$C:$C,Working!Z$4), IF($G$2="Units",SUMIFS(Data!$E:$E,Data!$A:$A,Working!Z$5,Data!$B:$B,Working!$B18,Data!$C:$C,Working!Z$4),SUMIFS(Data!$G:$G,Data!$A:$A,Working!Z$5,Data!$B:$B,Working!$B18,Data!$C:$C,Working!Z$4))), IF($G$2="Tonnage",SUMIFS(Data!$D:$D,Data!$A:$A,Working!Z$5,Data!$B:$B,Working!$B18,Data!$C:$C,Working!Z$4,Data!$F:$F,Working!Z$3), IF($G$2="Units",SUMIFS(Data!$E:$E,Data!$A:$A,Working!Z$5,Data!$B:$B,Working!$B18,Data!$C:$C,Working!Z$4,Data!$F:$F,Working!Z$3),SUMIFS(Data!$G:$G,Data!$A:$A,Working!Z$5,Data!$B:$B,Working!$B18,Data!$C:$C,Working!Z$4,Data!$F:$F,Working!Z$3))))</f>
        <v>35515.446999999927</v>
      </c>
      <c r="AA18" s="146">
        <f>IF(AA$3="All Routes", IF($G$2="Tonnage",SUMIFS(Data!$D:$D,Data!$A:$A,Working!AA$5,Data!$B:$B,Working!$B18,Data!$C:$C,Working!AA$4), IF($G$2="Units",SUMIFS(Data!$E:$E,Data!$A:$A,Working!AA$5,Data!$B:$B,Working!$B18,Data!$C:$C,Working!AA$4),SUMIFS(Data!$G:$G,Data!$A:$A,Working!AA$5,Data!$B:$B,Working!$B18,Data!$C:$C,Working!AA$4))), IF($G$2="Tonnage",SUMIFS(Data!$D:$D,Data!$A:$A,Working!AA$5,Data!$B:$B,Working!$B18,Data!$C:$C,Working!AA$4,Data!$F:$F,Working!AA$3), IF($G$2="Units",SUMIFS(Data!$E:$E,Data!$A:$A,Working!AA$5,Data!$B:$B,Working!$B18,Data!$C:$C,Working!AA$4,Data!$F:$F,Working!AA$3),SUMIFS(Data!$G:$G,Data!$A:$A,Working!AA$5,Data!$B:$B,Working!$B18,Data!$C:$C,Working!AA$4,Data!$F:$F,Working!AA$3))))</f>
        <v>36179.138999999908</v>
      </c>
      <c r="AB18" s="146">
        <f>IF(AB$3="All Routes", IF($G$2="Tonnage",SUMIFS(Data!$D:$D,Data!$A:$A,Working!AB$5,Data!$B:$B,Working!$B18,Data!$C:$C,Working!AB$4), IF($G$2="Units",SUMIFS(Data!$E:$E,Data!$A:$A,Working!AB$5,Data!$B:$B,Working!$B18,Data!$C:$C,Working!AB$4),SUMIFS(Data!$G:$G,Data!$A:$A,Working!AB$5,Data!$B:$B,Working!$B18,Data!$C:$C,Working!AB$4))), IF($G$2="Tonnage",SUMIFS(Data!$D:$D,Data!$A:$A,Working!AB$5,Data!$B:$B,Working!$B18,Data!$C:$C,Working!AB$4,Data!$F:$F,Working!AB$3), IF($G$2="Units",SUMIFS(Data!$E:$E,Data!$A:$A,Working!AB$5,Data!$B:$B,Working!$B18,Data!$C:$C,Working!AB$4,Data!$F:$F,Working!AB$3),SUMIFS(Data!$G:$G,Data!$A:$A,Working!AB$5,Data!$B:$B,Working!$B18,Data!$C:$C,Working!AB$4,Data!$F:$F,Working!AB$3))))</f>
        <v>38736.84599999994</v>
      </c>
      <c r="AC18" s="146">
        <f>IF(AC$3="All Routes", IF($G$2="Tonnage",SUMIFS(Data!$D:$D,Data!$A:$A,Working!AC$5,Data!$B:$B,Working!$B18,Data!$C:$C,Working!AC$4), IF($G$2="Units",SUMIFS(Data!$E:$E,Data!$A:$A,Working!AC$5,Data!$B:$B,Working!$B18,Data!$C:$C,Working!AC$4),SUMIFS(Data!$G:$G,Data!$A:$A,Working!AC$5,Data!$B:$B,Working!$B18,Data!$C:$C,Working!AC$4))), IF($G$2="Tonnage",SUMIFS(Data!$D:$D,Data!$A:$A,Working!AC$5,Data!$B:$B,Working!$B18,Data!$C:$C,Working!AC$4,Data!$F:$F,Working!AC$3), IF($G$2="Units",SUMIFS(Data!$E:$E,Data!$A:$A,Working!AC$5,Data!$B:$B,Working!$B18,Data!$C:$C,Working!AC$4,Data!$F:$F,Working!AC$3),SUMIFS(Data!$G:$G,Data!$A:$A,Working!AC$5,Data!$B:$B,Working!$B18,Data!$C:$C,Working!AC$4,Data!$F:$F,Working!AC$3))))</f>
        <v>42575.66520427975</v>
      </c>
      <c r="AD18" s="133"/>
      <c r="AE18" s="127">
        <f t="shared" si="0"/>
        <v>9.9099942320544546E-2</v>
      </c>
      <c r="AF18" s="112">
        <f t="shared" si="1"/>
        <v>3838.8192042798109</v>
      </c>
      <c r="AG18" s="133"/>
      <c r="AH18" s="133"/>
      <c r="AI18" s="133"/>
      <c r="AJ18" s="125">
        <f t="shared" si="2"/>
        <v>2557.7070000000313</v>
      </c>
      <c r="AK18" s="126">
        <f t="shared" si="3"/>
        <v>7.069562932384979E-2</v>
      </c>
    </row>
    <row r="19" spans="1:37" ht="14">
      <c r="A19" s="144" t="s">
        <v>163</v>
      </c>
      <c r="B19" s="119">
        <v>33</v>
      </c>
      <c r="C19" s="145" t="s">
        <v>79</v>
      </c>
      <c r="D19" s="146">
        <f>IF(D$3="All Routes", IF($G$2="Tonnage",SUMIFS(Data!$D:$D,Data!$A:$A,Working!D$5,Data!$B:$B,Working!$B19,Data!$C:$C,Working!D$4), IF($G$2="Units",SUMIFS(Data!$E:$E,Data!$A:$A,Working!D$5,Data!$B:$B,Working!$B19,Data!$C:$C,Working!D$4),SUMIFS(Data!$G:$G,Data!$A:$A,Working!D$5,Data!$B:$B,Working!$B19,Data!$C:$C,Working!D$4))), IF($G$2="Tonnage",SUMIFS(Data!$D:$D,Data!$A:$A,Working!D$5,Data!$B:$B,Working!$B19,Data!$C:$C,Working!D$4,Data!$F:$F,Working!D$3), IF($G$2="Units",SUMIFS(Data!$E:$E,Data!$A:$A,Working!D$5,Data!$B:$B,Working!$B19,Data!$C:$C,Working!D$4,Data!$F:$F,Working!D$3),SUMIFS(Data!$G:$G,Data!$A:$A,Working!D$5,Data!$B:$B,Working!$B19,Data!$C:$C,Working!D$4,Data!$F:$F,Working!D$3))))</f>
        <v>1154.9489999999942</v>
      </c>
      <c r="E19" s="146">
        <f>IF(E$3="All Routes", IF($G$2="Tonnage",SUMIFS(Data!$D:$D,Data!$A:$A,Working!E$5,Data!$B:$B,Working!$B19,Data!$C:$C,Working!E$4), IF($G$2="Units",SUMIFS(Data!$E:$E,Data!$A:$A,Working!E$5,Data!$B:$B,Working!$B19,Data!$C:$C,Working!E$4),SUMIFS(Data!$G:$G,Data!$A:$A,Working!E$5,Data!$B:$B,Working!$B19,Data!$C:$C,Working!E$4))), IF($G$2="Tonnage",SUMIFS(Data!$D:$D,Data!$A:$A,Working!E$5,Data!$B:$B,Working!$B19,Data!$C:$C,Working!E$4,Data!$F:$F,Working!E$3), IF($G$2="Units",SUMIFS(Data!$E:$E,Data!$A:$A,Working!E$5,Data!$B:$B,Working!$B19,Data!$C:$C,Working!E$4,Data!$F:$F,Working!E$3),SUMIFS(Data!$G:$G,Data!$A:$A,Working!E$5,Data!$B:$B,Working!$B19,Data!$C:$C,Working!E$4,Data!$F:$F,Working!E$3))))</f>
        <v>1345.9559999999919</v>
      </c>
      <c r="F19" s="146">
        <f>IF(F$3="All Routes", IF($G$2="Tonnage",SUMIFS(Data!$D:$D,Data!$A:$A,Working!F$5,Data!$B:$B,Working!$B19,Data!$C:$C,Working!F$4), IF($G$2="Units",SUMIFS(Data!$E:$E,Data!$A:$A,Working!F$5,Data!$B:$B,Working!$B19,Data!$C:$C,Working!F$4),SUMIFS(Data!$G:$G,Data!$A:$A,Working!F$5,Data!$B:$B,Working!$B19,Data!$C:$C,Working!F$4))), IF($G$2="Tonnage",SUMIFS(Data!$D:$D,Data!$A:$A,Working!F$5,Data!$B:$B,Working!$B19,Data!$C:$C,Working!F$4,Data!$F:$F,Working!F$3), IF($G$2="Units",SUMIFS(Data!$E:$E,Data!$A:$A,Working!F$5,Data!$B:$B,Working!$B19,Data!$C:$C,Working!F$4,Data!$F:$F,Working!F$3),SUMIFS(Data!$G:$G,Data!$A:$A,Working!F$5,Data!$B:$B,Working!$B19,Data!$C:$C,Working!F$4,Data!$F:$F,Working!F$3))))</f>
        <v>1188.1769999999926</v>
      </c>
      <c r="G19" s="146">
        <f>IF(G$3="All Routes", IF($G$2="Tonnage",SUMIFS(Data!$D:$D,Data!$A:$A,Working!G$5,Data!$B:$B,Working!$B19,Data!$C:$C,Working!G$4), IF($G$2="Units",SUMIFS(Data!$E:$E,Data!$A:$A,Working!G$5,Data!$B:$B,Working!$B19,Data!$C:$C,Working!G$4),SUMIFS(Data!$G:$G,Data!$A:$A,Working!G$5,Data!$B:$B,Working!$B19,Data!$C:$C,Working!G$4))), IF($G$2="Tonnage",SUMIFS(Data!$D:$D,Data!$A:$A,Working!G$5,Data!$B:$B,Working!$B19,Data!$C:$C,Working!G$4,Data!$F:$F,Working!G$3), IF($G$2="Units",SUMIFS(Data!$E:$E,Data!$A:$A,Working!G$5,Data!$B:$B,Working!$B19,Data!$C:$C,Working!G$4,Data!$F:$F,Working!G$3),SUMIFS(Data!$G:$G,Data!$A:$A,Working!G$5,Data!$B:$B,Working!$B19,Data!$C:$C,Working!G$4,Data!$F:$F,Working!G$3))))</f>
        <v>1506.8629999999939</v>
      </c>
      <c r="H19" s="146">
        <f>IF(H$3="All Routes", IF($G$2="Tonnage",SUMIFS(Data!$D:$D,Data!$A:$A,Working!H$5,Data!$B:$B,Working!$B19,Data!$C:$C,Working!H$4), IF($G$2="Units",SUMIFS(Data!$E:$E,Data!$A:$A,Working!H$5,Data!$B:$B,Working!$B19,Data!$C:$C,Working!H$4),SUMIFS(Data!$G:$G,Data!$A:$A,Working!H$5,Data!$B:$B,Working!$B19,Data!$C:$C,Working!H$4))), IF($G$2="Tonnage",SUMIFS(Data!$D:$D,Data!$A:$A,Working!H$5,Data!$B:$B,Working!$B19,Data!$C:$C,Working!H$4,Data!$F:$F,Working!H$3), IF($G$2="Units",SUMIFS(Data!$E:$E,Data!$A:$A,Working!H$5,Data!$B:$B,Working!$B19,Data!$C:$C,Working!H$4,Data!$F:$F,Working!H$3),SUMIFS(Data!$G:$G,Data!$A:$A,Working!H$5,Data!$B:$B,Working!$B19,Data!$C:$C,Working!H$4,Data!$F:$F,Working!H$3))))</f>
        <v>1678.3219999999967</v>
      </c>
      <c r="I19" s="146">
        <f>IF(I$3="All Routes", IF($G$2="Tonnage",SUMIFS(Data!$D:$D,Data!$A:$A,Working!I$5,Data!$B:$B,Working!$B19,Data!$C:$C,Working!I$4), IF($G$2="Units",SUMIFS(Data!$E:$E,Data!$A:$A,Working!I$5,Data!$B:$B,Working!$B19,Data!$C:$C,Working!I$4),SUMIFS(Data!$G:$G,Data!$A:$A,Working!I$5,Data!$B:$B,Working!$B19,Data!$C:$C,Working!I$4))), IF($G$2="Tonnage",SUMIFS(Data!$D:$D,Data!$A:$A,Working!I$5,Data!$B:$B,Working!$B19,Data!$C:$C,Working!I$4,Data!$F:$F,Working!I$3), IF($G$2="Units",SUMIFS(Data!$E:$E,Data!$A:$A,Working!I$5,Data!$B:$B,Working!$B19,Data!$C:$C,Working!I$4,Data!$F:$F,Working!I$3),SUMIFS(Data!$G:$G,Data!$A:$A,Working!I$5,Data!$B:$B,Working!$B19,Data!$C:$C,Working!I$4,Data!$F:$F,Working!I$3))))</f>
        <v>786.76299999999969</v>
      </c>
      <c r="J19" s="146">
        <f>IF(J$3="All Routes", IF($G$2="Tonnage",SUMIFS(Data!$D:$D,Data!$A:$A,Working!J$5,Data!$B:$B,Working!$B19,Data!$C:$C,Working!J$4), IF($G$2="Units",SUMIFS(Data!$E:$E,Data!$A:$A,Working!J$5,Data!$B:$B,Working!$B19,Data!$C:$C,Working!J$4),SUMIFS(Data!$G:$G,Data!$A:$A,Working!J$5,Data!$B:$B,Working!$B19,Data!$C:$C,Working!J$4))), IF($G$2="Tonnage",SUMIFS(Data!$D:$D,Data!$A:$A,Working!J$5,Data!$B:$B,Working!$B19,Data!$C:$C,Working!J$4,Data!$F:$F,Working!J$3), IF($G$2="Units",SUMIFS(Data!$E:$E,Data!$A:$A,Working!J$5,Data!$B:$B,Working!$B19,Data!$C:$C,Working!J$4,Data!$F:$F,Working!J$3),SUMIFS(Data!$G:$G,Data!$A:$A,Working!J$5,Data!$B:$B,Working!$B19,Data!$C:$C,Working!J$4,Data!$F:$F,Working!J$3))))</f>
        <v>580.68699999999944</v>
      </c>
      <c r="K19" s="146">
        <f>IF(K$3="All Routes", IF($G$2="Tonnage",SUMIFS(Data!$D:$D,Data!$A:$A,Working!K$5,Data!$B:$B,Working!$B19,Data!$C:$C,Working!K$4), IF($G$2="Units",SUMIFS(Data!$E:$E,Data!$A:$A,Working!K$5,Data!$B:$B,Working!$B19,Data!$C:$C,Working!K$4),SUMIFS(Data!$G:$G,Data!$A:$A,Working!K$5,Data!$B:$B,Working!$B19,Data!$C:$C,Working!K$4))), IF($G$2="Tonnage",SUMIFS(Data!$D:$D,Data!$A:$A,Working!K$5,Data!$B:$B,Working!$B19,Data!$C:$C,Working!K$4,Data!$F:$F,Working!K$3), IF($G$2="Units",SUMIFS(Data!$E:$E,Data!$A:$A,Working!K$5,Data!$B:$B,Working!$B19,Data!$C:$C,Working!K$4,Data!$F:$F,Working!K$3),SUMIFS(Data!$G:$G,Data!$A:$A,Working!K$5,Data!$B:$B,Working!$B19,Data!$C:$C,Working!K$4,Data!$F:$F,Working!K$3))))</f>
        <v>2271.348999999992</v>
      </c>
      <c r="L19" s="146">
        <f>IF(L$3="All Routes", IF($G$2="Tonnage",SUMIFS(Data!$D:$D,Data!$A:$A,Working!L$5,Data!$B:$B,Working!$B19,Data!$C:$C,Working!L$4), IF($G$2="Units",SUMIFS(Data!$E:$E,Data!$A:$A,Working!L$5,Data!$B:$B,Working!$B19,Data!$C:$C,Working!L$4),SUMIFS(Data!$G:$G,Data!$A:$A,Working!L$5,Data!$B:$B,Working!$B19,Data!$C:$C,Working!L$4))), IF($G$2="Tonnage",SUMIFS(Data!$D:$D,Data!$A:$A,Working!L$5,Data!$B:$B,Working!$B19,Data!$C:$C,Working!L$4,Data!$F:$F,Working!L$3), IF($G$2="Units",SUMIFS(Data!$E:$E,Data!$A:$A,Working!L$5,Data!$B:$B,Working!$B19,Data!$C:$C,Working!L$4,Data!$F:$F,Working!L$3),SUMIFS(Data!$G:$G,Data!$A:$A,Working!L$5,Data!$B:$B,Working!$B19,Data!$C:$C,Working!L$4,Data!$F:$F,Working!L$3))))</f>
        <v>451.3499999999998</v>
      </c>
      <c r="M19" s="146">
        <f>IF(M$3="All Routes", IF($G$2="Tonnage",SUMIFS(Data!$D:$D,Data!$A:$A,Working!M$5,Data!$B:$B,Working!$B19,Data!$C:$C,Working!M$4), IF($G$2="Units",SUMIFS(Data!$E:$E,Data!$A:$A,Working!M$5,Data!$B:$B,Working!$B19,Data!$C:$C,Working!M$4),SUMIFS(Data!$G:$G,Data!$A:$A,Working!M$5,Data!$B:$B,Working!$B19,Data!$C:$C,Working!M$4))), IF($G$2="Tonnage",SUMIFS(Data!$D:$D,Data!$A:$A,Working!M$5,Data!$B:$B,Working!$B19,Data!$C:$C,Working!M$4,Data!$F:$F,Working!M$3), IF($G$2="Units",SUMIFS(Data!$E:$E,Data!$A:$A,Working!M$5,Data!$B:$B,Working!$B19,Data!$C:$C,Working!M$4,Data!$F:$F,Working!M$3),SUMIFS(Data!$G:$G,Data!$A:$A,Working!M$5,Data!$B:$B,Working!$B19,Data!$C:$C,Working!M$4,Data!$F:$F,Working!M$3))))</f>
        <v>540.56799999999976</v>
      </c>
      <c r="N19" s="146">
        <f>IF(N$3="All Routes", IF($G$2="Tonnage",SUMIFS(Data!$D:$D,Data!$A:$A,Working!N$5,Data!$B:$B,Working!$B19,Data!$C:$C,Working!N$4), IF($G$2="Units",SUMIFS(Data!$E:$E,Data!$A:$A,Working!N$5,Data!$B:$B,Working!$B19,Data!$C:$C,Working!N$4),SUMIFS(Data!$G:$G,Data!$A:$A,Working!N$5,Data!$B:$B,Working!$B19,Data!$C:$C,Working!N$4))), IF($G$2="Tonnage",SUMIFS(Data!$D:$D,Data!$A:$A,Working!N$5,Data!$B:$B,Working!$B19,Data!$C:$C,Working!N$4,Data!$F:$F,Working!N$3), IF($G$2="Units",SUMIFS(Data!$E:$E,Data!$A:$A,Working!N$5,Data!$B:$B,Working!$B19,Data!$C:$C,Working!N$4,Data!$F:$F,Working!N$3),SUMIFS(Data!$G:$G,Data!$A:$A,Working!N$5,Data!$B:$B,Working!$B19,Data!$C:$C,Working!N$4,Data!$F:$F,Working!N$3))))</f>
        <v>959.20799999999917</v>
      </c>
      <c r="O19" s="146">
        <f>IF(O$3="All Routes", IF($G$2="Tonnage",SUMIFS(Data!$D:$D,Data!$A:$A,Working!O$5,Data!$B:$B,Working!$B19,Data!$C:$C,Working!O$4), IF($G$2="Units",SUMIFS(Data!$E:$E,Data!$A:$A,Working!O$5,Data!$B:$B,Working!$B19,Data!$C:$C,Working!O$4),SUMIFS(Data!$G:$G,Data!$A:$A,Working!O$5,Data!$B:$B,Working!$B19,Data!$C:$C,Working!O$4))), IF($G$2="Tonnage",SUMIFS(Data!$D:$D,Data!$A:$A,Working!O$5,Data!$B:$B,Working!$B19,Data!$C:$C,Working!O$4,Data!$F:$F,Working!O$3), IF($G$2="Units",SUMIFS(Data!$E:$E,Data!$A:$A,Working!O$5,Data!$B:$B,Working!$B19,Data!$C:$C,Working!O$4,Data!$F:$F,Working!O$3),SUMIFS(Data!$G:$G,Data!$A:$A,Working!O$5,Data!$B:$B,Working!$B19,Data!$C:$C,Working!O$4,Data!$F:$F,Working!O$3))))</f>
        <v>1164.8379999999918</v>
      </c>
      <c r="P19" s="146">
        <f>IF(P$3="All Routes", IF($G$2="Tonnage",SUMIFS(Data!$D:$D,Data!$A:$A,Working!P$5,Data!$B:$B,Working!$B19,Data!$C:$C,Working!P$4), IF($G$2="Units",SUMIFS(Data!$E:$E,Data!$A:$A,Working!P$5,Data!$B:$B,Working!$B19,Data!$C:$C,Working!P$4),SUMIFS(Data!$G:$G,Data!$A:$A,Working!P$5,Data!$B:$B,Working!$B19,Data!$C:$C,Working!P$4))), IF($G$2="Tonnage",SUMIFS(Data!$D:$D,Data!$A:$A,Working!P$5,Data!$B:$B,Working!$B19,Data!$C:$C,Working!P$4,Data!$F:$F,Working!P$3), IF($G$2="Units",SUMIFS(Data!$E:$E,Data!$A:$A,Working!P$5,Data!$B:$B,Working!$B19,Data!$C:$C,Working!P$4,Data!$F:$F,Working!P$3),SUMIFS(Data!$G:$G,Data!$A:$A,Working!P$5,Data!$B:$B,Working!$B19,Data!$C:$C,Working!P$4,Data!$F:$F,Working!P$3))))</f>
        <v>1372.2629999999967</v>
      </c>
      <c r="Q19" s="146">
        <f>IF(Q$3="All Routes", IF($G$2="Tonnage",SUMIFS(Data!$D:$D,Data!$A:$A,Working!Q$5,Data!$B:$B,Working!$B19,Data!$C:$C,Working!Q$4), IF($G$2="Units",SUMIFS(Data!$E:$E,Data!$A:$A,Working!Q$5,Data!$B:$B,Working!$B19,Data!$C:$C,Working!Q$4),SUMIFS(Data!$G:$G,Data!$A:$A,Working!Q$5,Data!$B:$B,Working!$B19,Data!$C:$C,Working!Q$4))), IF($G$2="Tonnage",SUMIFS(Data!$D:$D,Data!$A:$A,Working!Q$5,Data!$B:$B,Working!$B19,Data!$C:$C,Working!Q$4,Data!$F:$F,Working!Q$3), IF($G$2="Units",SUMIFS(Data!$E:$E,Data!$A:$A,Working!Q$5,Data!$B:$B,Working!$B19,Data!$C:$C,Working!Q$4,Data!$F:$F,Working!Q$3),SUMIFS(Data!$G:$G,Data!$A:$A,Working!Q$5,Data!$B:$B,Working!$B19,Data!$C:$C,Working!Q$4,Data!$F:$F,Working!Q$3))))</f>
        <v>1093.8409999999908</v>
      </c>
      <c r="R19" s="146">
        <f>IF(R$3="All Routes", IF($G$2="Tonnage",SUMIFS(Data!$D:$D,Data!$A:$A,Working!R$5,Data!$B:$B,Working!$B19,Data!$C:$C,Working!R$4), IF($G$2="Units",SUMIFS(Data!$E:$E,Data!$A:$A,Working!R$5,Data!$B:$B,Working!$B19,Data!$C:$C,Working!R$4),SUMIFS(Data!$G:$G,Data!$A:$A,Working!R$5,Data!$B:$B,Working!$B19,Data!$C:$C,Working!R$4))), IF($G$2="Tonnage",SUMIFS(Data!$D:$D,Data!$A:$A,Working!R$5,Data!$B:$B,Working!$B19,Data!$C:$C,Working!R$4,Data!$F:$F,Working!R$3), IF($G$2="Units",SUMIFS(Data!$E:$E,Data!$A:$A,Working!R$5,Data!$B:$B,Working!$B19,Data!$C:$C,Working!R$4,Data!$F:$F,Working!R$3),SUMIFS(Data!$G:$G,Data!$A:$A,Working!R$5,Data!$B:$B,Working!$B19,Data!$C:$C,Working!R$4,Data!$F:$F,Working!R$3))))</f>
        <v>847.91000000000008</v>
      </c>
      <c r="S19" s="146">
        <f>IF(S$3="All Routes", IF($G$2="Tonnage",SUMIFS(Data!$D:$D,Data!$A:$A,Working!S$5,Data!$B:$B,Working!$B19,Data!$C:$C,Working!S$4), IF($G$2="Units",SUMIFS(Data!$E:$E,Data!$A:$A,Working!S$5,Data!$B:$B,Working!$B19,Data!$C:$C,Working!S$4),SUMIFS(Data!$G:$G,Data!$A:$A,Working!S$5,Data!$B:$B,Working!$B19,Data!$C:$C,Working!S$4))), IF($G$2="Tonnage",SUMIFS(Data!$D:$D,Data!$A:$A,Working!S$5,Data!$B:$B,Working!$B19,Data!$C:$C,Working!S$4,Data!$F:$F,Working!S$3), IF($G$2="Units",SUMIFS(Data!$E:$E,Data!$A:$A,Working!S$5,Data!$B:$B,Working!$B19,Data!$C:$C,Working!S$4,Data!$F:$F,Working!S$3),SUMIFS(Data!$G:$G,Data!$A:$A,Working!S$5,Data!$B:$B,Working!$B19,Data!$C:$C,Working!S$4,Data!$F:$F,Working!S$3))))</f>
        <v>1367.5669999999946</v>
      </c>
      <c r="T19" s="146">
        <f>IF(T$3="All Routes", IF($G$2="Tonnage",SUMIFS(Data!$D:$D,Data!$A:$A,Working!T$5,Data!$B:$B,Working!$B19,Data!$C:$C,Working!T$4), IF($G$2="Units",SUMIFS(Data!$E:$E,Data!$A:$A,Working!T$5,Data!$B:$B,Working!$B19,Data!$C:$C,Working!T$4),SUMIFS(Data!$G:$G,Data!$A:$A,Working!T$5,Data!$B:$B,Working!$B19,Data!$C:$C,Working!T$4))), IF($G$2="Tonnage",SUMIFS(Data!$D:$D,Data!$A:$A,Working!T$5,Data!$B:$B,Working!$B19,Data!$C:$C,Working!T$4,Data!$F:$F,Working!T$3), IF($G$2="Units",SUMIFS(Data!$E:$E,Data!$A:$A,Working!T$5,Data!$B:$B,Working!$B19,Data!$C:$C,Working!T$4,Data!$F:$F,Working!T$3),SUMIFS(Data!$G:$G,Data!$A:$A,Working!T$5,Data!$B:$B,Working!$B19,Data!$C:$C,Working!T$4,Data!$F:$F,Working!T$3))))</f>
        <v>829.89399999999966</v>
      </c>
      <c r="U19" s="146">
        <f>IF(U$3="All Routes", IF($G$2="Tonnage",SUMIFS(Data!$D:$D,Data!$A:$A,Working!U$5,Data!$B:$B,Working!$B19,Data!$C:$C,Working!U$4), IF($G$2="Units",SUMIFS(Data!$E:$E,Data!$A:$A,Working!U$5,Data!$B:$B,Working!$B19,Data!$C:$C,Working!U$4),SUMIFS(Data!$G:$G,Data!$A:$A,Working!U$5,Data!$B:$B,Working!$B19,Data!$C:$C,Working!U$4))), IF($G$2="Tonnage",SUMIFS(Data!$D:$D,Data!$A:$A,Working!U$5,Data!$B:$B,Working!$B19,Data!$C:$C,Working!U$4,Data!$F:$F,Working!U$3), IF($G$2="Units",SUMIFS(Data!$E:$E,Data!$A:$A,Working!U$5,Data!$B:$B,Working!$B19,Data!$C:$C,Working!U$4,Data!$F:$F,Working!U$3),SUMIFS(Data!$G:$G,Data!$A:$A,Working!U$5,Data!$B:$B,Working!$B19,Data!$C:$C,Working!U$4,Data!$F:$F,Working!U$3))))</f>
        <v>1193.2209999999968</v>
      </c>
      <c r="V19" s="146">
        <f>IF(V$3="All Routes", IF($G$2="Tonnage",SUMIFS(Data!$D:$D,Data!$A:$A,Working!V$5,Data!$B:$B,Working!$B19,Data!$C:$C,Working!V$4), IF($G$2="Units",SUMIFS(Data!$E:$E,Data!$A:$A,Working!V$5,Data!$B:$B,Working!$B19,Data!$C:$C,Working!V$4),SUMIFS(Data!$G:$G,Data!$A:$A,Working!V$5,Data!$B:$B,Working!$B19,Data!$C:$C,Working!V$4))), IF($G$2="Tonnage",SUMIFS(Data!$D:$D,Data!$A:$A,Working!V$5,Data!$B:$B,Working!$B19,Data!$C:$C,Working!V$4,Data!$F:$F,Working!V$3), IF($G$2="Units",SUMIFS(Data!$E:$E,Data!$A:$A,Working!V$5,Data!$B:$B,Working!$B19,Data!$C:$C,Working!V$4,Data!$F:$F,Working!V$3),SUMIFS(Data!$G:$G,Data!$A:$A,Working!V$5,Data!$B:$B,Working!$B19,Data!$C:$C,Working!V$4,Data!$F:$F,Working!V$3))))</f>
        <v>1802.6680000000001</v>
      </c>
      <c r="W19" s="146">
        <f>IF(W$3="All Routes", IF($G$2="Tonnage",SUMIFS(Data!$D:$D,Data!$A:$A,Working!W$5,Data!$B:$B,Working!$B19,Data!$C:$C,Working!W$4), IF($G$2="Units",SUMIFS(Data!$E:$E,Data!$A:$A,Working!W$5,Data!$B:$B,Working!$B19,Data!$C:$C,Working!W$4),SUMIFS(Data!$G:$G,Data!$A:$A,Working!W$5,Data!$B:$B,Working!$B19,Data!$C:$C,Working!W$4))), IF($G$2="Tonnage",SUMIFS(Data!$D:$D,Data!$A:$A,Working!W$5,Data!$B:$B,Working!$B19,Data!$C:$C,Working!W$4,Data!$F:$F,Working!W$3), IF($G$2="Units",SUMIFS(Data!$E:$E,Data!$A:$A,Working!W$5,Data!$B:$B,Working!$B19,Data!$C:$C,Working!W$4,Data!$F:$F,Working!W$3),SUMIFS(Data!$G:$G,Data!$A:$A,Working!W$5,Data!$B:$B,Working!$B19,Data!$C:$C,Working!W$4,Data!$F:$F,Working!W$3))))</f>
        <v>1535.0119999999981</v>
      </c>
      <c r="X19" s="146">
        <f>IF(X$3="All Routes", IF($G$2="Tonnage",SUMIFS(Data!$D:$D,Data!$A:$A,Working!X$5,Data!$B:$B,Working!$B19,Data!$C:$C,Working!X$4), IF($G$2="Units",SUMIFS(Data!$E:$E,Data!$A:$A,Working!X$5,Data!$B:$B,Working!$B19,Data!$C:$C,Working!X$4),SUMIFS(Data!$G:$G,Data!$A:$A,Working!X$5,Data!$B:$B,Working!$B19,Data!$C:$C,Working!X$4))), IF($G$2="Tonnage",SUMIFS(Data!$D:$D,Data!$A:$A,Working!X$5,Data!$B:$B,Working!$B19,Data!$C:$C,Working!X$4,Data!$F:$F,Working!X$3), IF($G$2="Units",SUMIFS(Data!$E:$E,Data!$A:$A,Working!X$5,Data!$B:$B,Working!$B19,Data!$C:$C,Working!X$4,Data!$F:$F,Working!X$3),SUMIFS(Data!$G:$G,Data!$A:$A,Working!X$5,Data!$B:$B,Working!$B19,Data!$C:$C,Working!X$4,Data!$F:$F,Working!X$3))))</f>
        <v>1339.4709999999986</v>
      </c>
      <c r="Y19" s="146">
        <f>IF(Y$3="All Routes", IF($G$2="Tonnage",SUMIFS(Data!$D:$D,Data!$A:$A,Working!Y$5,Data!$B:$B,Working!$B19,Data!$C:$C,Working!Y$4), IF($G$2="Units",SUMIFS(Data!$E:$E,Data!$A:$A,Working!Y$5,Data!$B:$B,Working!$B19,Data!$C:$C,Working!Y$4),SUMIFS(Data!$G:$G,Data!$A:$A,Working!Y$5,Data!$B:$B,Working!$B19,Data!$C:$C,Working!Y$4))), IF($G$2="Tonnage",SUMIFS(Data!$D:$D,Data!$A:$A,Working!Y$5,Data!$B:$B,Working!$B19,Data!$C:$C,Working!Y$4,Data!$F:$F,Working!Y$3), IF($G$2="Units",SUMIFS(Data!$E:$E,Data!$A:$A,Working!Y$5,Data!$B:$B,Working!$B19,Data!$C:$C,Working!Y$4,Data!$F:$F,Working!Y$3),SUMIFS(Data!$G:$G,Data!$A:$A,Working!Y$5,Data!$B:$B,Working!$B19,Data!$C:$C,Working!Y$4,Data!$F:$F,Working!Y$3))))</f>
        <v>1430.383999999998</v>
      </c>
      <c r="Z19" s="146">
        <f>IF(Z$3="All Routes", IF($G$2="Tonnage",SUMIFS(Data!$D:$D,Data!$A:$A,Working!Z$5,Data!$B:$B,Working!$B19,Data!$C:$C,Working!Z$4), IF($G$2="Units",SUMIFS(Data!$E:$E,Data!$A:$A,Working!Z$5,Data!$B:$B,Working!$B19,Data!$C:$C,Working!Z$4),SUMIFS(Data!$G:$G,Data!$A:$A,Working!Z$5,Data!$B:$B,Working!$B19,Data!$C:$C,Working!Z$4))), IF($G$2="Tonnage",SUMIFS(Data!$D:$D,Data!$A:$A,Working!Z$5,Data!$B:$B,Working!$B19,Data!$C:$C,Working!Z$4,Data!$F:$F,Working!Z$3), IF($G$2="Units",SUMIFS(Data!$E:$E,Data!$A:$A,Working!Z$5,Data!$B:$B,Working!$B19,Data!$C:$C,Working!Z$4,Data!$F:$F,Working!Z$3),SUMIFS(Data!$G:$G,Data!$A:$A,Working!Z$5,Data!$B:$B,Working!$B19,Data!$C:$C,Working!Z$4,Data!$F:$F,Working!Z$3))))</f>
        <v>2303.3479999999945</v>
      </c>
      <c r="AA19" s="146">
        <f>IF(AA$3="All Routes", IF($G$2="Tonnage",SUMIFS(Data!$D:$D,Data!$A:$A,Working!AA$5,Data!$B:$B,Working!$B19,Data!$C:$C,Working!AA$4), IF($G$2="Units",SUMIFS(Data!$E:$E,Data!$A:$A,Working!AA$5,Data!$B:$B,Working!$B19,Data!$C:$C,Working!AA$4),SUMIFS(Data!$G:$G,Data!$A:$A,Working!AA$5,Data!$B:$B,Working!$B19,Data!$C:$C,Working!AA$4))), IF($G$2="Tonnage",SUMIFS(Data!$D:$D,Data!$A:$A,Working!AA$5,Data!$B:$B,Working!$B19,Data!$C:$C,Working!AA$4,Data!$F:$F,Working!AA$3), IF($G$2="Units",SUMIFS(Data!$E:$E,Data!$A:$A,Working!AA$5,Data!$B:$B,Working!$B19,Data!$C:$C,Working!AA$4,Data!$F:$F,Working!AA$3),SUMIFS(Data!$G:$G,Data!$A:$A,Working!AA$5,Data!$B:$B,Working!$B19,Data!$C:$C,Working!AA$4,Data!$F:$F,Working!AA$3))))</f>
        <v>1190.3899999999915</v>
      </c>
      <c r="AB19" s="146">
        <f>IF(AB$3="All Routes", IF($G$2="Tonnage",SUMIFS(Data!$D:$D,Data!$A:$A,Working!AB$5,Data!$B:$B,Working!$B19,Data!$C:$C,Working!AB$4), IF($G$2="Units",SUMIFS(Data!$E:$E,Data!$A:$A,Working!AB$5,Data!$B:$B,Working!$B19,Data!$C:$C,Working!AB$4),SUMIFS(Data!$G:$G,Data!$A:$A,Working!AB$5,Data!$B:$B,Working!$B19,Data!$C:$C,Working!AB$4))), IF($G$2="Tonnage",SUMIFS(Data!$D:$D,Data!$A:$A,Working!AB$5,Data!$B:$B,Working!$B19,Data!$C:$C,Working!AB$4,Data!$F:$F,Working!AB$3), IF($G$2="Units",SUMIFS(Data!$E:$E,Data!$A:$A,Working!AB$5,Data!$B:$B,Working!$B19,Data!$C:$C,Working!AB$4,Data!$F:$F,Working!AB$3),SUMIFS(Data!$G:$G,Data!$A:$A,Working!AB$5,Data!$B:$B,Working!$B19,Data!$C:$C,Working!AB$4,Data!$F:$F,Working!AB$3))))</f>
        <v>1362.4259999999967</v>
      </c>
      <c r="AC19" s="146">
        <f>IF(AC$3="All Routes", IF($G$2="Tonnage",SUMIFS(Data!$D:$D,Data!$A:$A,Working!AC$5,Data!$B:$B,Working!$B19,Data!$C:$C,Working!AC$4), IF($G$2="Units",SUMIFS(Data!$E:$E,Data!$A:$A,Working!AC$5,Data!$B:$B,Working!$B19,Data!$C:$C,Working!AC$4),SUMIFS(Data!$G:$G,Data!$A:$A,Working!AC$5,Data!$B:$B,Working!$B19,Data!$C:$C,Working!AC$4))), IF($G$2="Tonnage",SUMIFS(Data!$D:$D,Data!$A:$A,Working!AC$5,Data!$B:$B,Working!$B19,Data!$C:$C,Working!AC$4,Data!$F:$F,Working!AC$3), IF($G$2="Units",SUMIFS(Data!$E:$E,Data!$A:$A,Working!AC$5,Data!$B:$B,Working!$B19,Data!$C:$C,Working!AC$4,Data!$F:$F,Working!AC$3),SUMIFS(Data!$G:$G,Data!$A:$A,Working!AC$5,Data!$B:$B,Working!$B19,Data!$C:$C,Working!AC$4,Data!$F:$F,Working!AC$3))))</f>
        <v>933.97779863100709</v>
      </c>
      <c r="AD19" s="133"/>
      <c r="AE19" s="127">
        <f t="shared" si="0"/>
        <v>-0.31447447521479382</v>
      </c>
      <c r="AF19" s="112">
        <f t="shared" si="1"/>
        <v>-428.44820136898966</v>
      </c>
      <c r="AG19" s="133"/>
      <c r="AH19" s="127"/>
      <c r="AI19" s="133"/>
      <c r="AJ19" s="125">
        <f t="shared" si="2"/>
        <v>172.03600000000529</v>
      </c>
      <c r="AK19" s="126">
        <f t="shared" si="3"/>
        <v>0.14452070329892433</v>
      </c>
    </row>
    <row r="20" spans="1:37" ht="14">
      <c r="A20" s="144" t="s">
        <v>163</v>
      </c>
      <c r="B20" s="119">
        <v>34</v>
      </c>
      <c r="C20" s="145" t="s">
        <v>80</v>
      </c>
      <c r="D20" s="146">
        <f>IF(D$3="All Routes", IF($G$2="Tonnage",SUMIFS(Data!$D:$D,Data!$A:$A,Working!D$5,Data!$B:$B,Working!$B20,Data!$C:$C,Working!D$4), IF($G$2="Units",SUMIFS(Data!$E:$E,Data!$A:$A,Working!D$5,Data!$B:$B,Working!$B20,Data!$C:$C,Working!D$4),SUMIFS(Data!$G:$G,Data!$A:$A,Working!D$5,Data!$B:$B,Working!$B20,Data!$C:$C,Working!D$4))), IF($G$2="Tonnage",SUMIFS(Data!$D:$D,Data!$A:$A,Working!D$5,Data!$B:$B,Working!$B20,Data!$C:$C,Working!D$4,Data!$F:$F,Working!D$3), IF($G$2="Units",SUMIFS(Data!$E:$E,Data!$A:$A,Working!D$5,Data!$B:$B,Working!$B20,Data!$C:$C,Working!D$4,Data!$F:$F,Working!D$3),SUMIFS(Data!$G:$G,Data!$A:$A,Working!D$5,Data!$B:$B,Working!$B20,Data!$C:$C,Working!D$4,Data!$F:$F,Working!D$3))))</f>
        <v>902.15699999999981</v>
      </c>
      <c r="E20" s="146">
        <f>IF(E$3="All Routes", IF($G$2="Tonnage",SUMIFS(Data!$D:$D,Data!$A:$A,Working!E$5,Data!$B:$B,Working!$B20,Data!$C:$C,Working!E$4), IF($G$2="Units",SUMIFS(Data!$E:$E,Data!$A:$A,Working!E$5,Data!$B:$B,Working!$B20,Data!$C:$C,Working!E$4),SUMIFS(Data!$G:$G,Data!$A:$A,Working!E$5,Data!$B:$B,Working!$B20,Data!$C:$C,Working!E$4))), IF($G$2="Tonnage",SUMIFS(Data!$D:$D,Data!$A:$A,Working!E$5,Data!$B:$B,Working!$B20,Data!$C:$C,Working!E$4,Data!$F:$F,Working!E$3), IF($G$2="Units",SUMIFS(Data!$E:$E,Data!$A:$A,Working!E$5,Data!$B:$B,Working!$B20,Data!$C:$C,Working!E$4,Data!$F:$F,Working!E$3),SUMIFS(Data!$G:$G,Data!$A:$A,Working!E$5,Data!$B:$B,Working!$B20,Data!$C:$C,Working!E$4,Data!$F:$F,Working!E$3))))</f>
        <v>1958.9639999999918</v>
      </c>
      <c r="F20" s="146">
        <f>IF(F$3="All Routes", IF($G$2="Tonnage",SUMIFS(Data!$D:$D,Data!$A:$A,Working!F$5,Data!$B:$B,Working!$B20,Data!$C:$C,Working!F$4), IF($G$2="Units",SUMIFS(Data!$E:$E,Data!$A:$A,Working!F$5,Data!$B:$B,Working!$B20,Data!$C:$C,Working!F$4),SUMIFS(Data!$G:$G,Data!$A:$A,Working!F$5,Data!$B:$B,Working!$B20,Data!$C:$C,Working!F$4))), IF($G$2="Tonnage",SUMIFS(Data!$D:$D,Data!$A:$A,Working!F$5,Data!$B:$B,Working!$B20,Data!$C:$C,Working!F$4,Data!$F:$F,Working!F$3), IF($G$2="Units",SUMIFS(Data!$E:$E,Data!$A:$A,Working!F$5,Data!$B:$B,Working!$B20,Data!$C:$C,Working!F$4,Data!$F:$F,Working!F$3),SUMIFS(Data!$G:$G,Data!$A:$A,Working!F$5,Data!$B:$B,Working!$B20,Data!$C:$C,Working!F$4,Data!$F:$F,Working!F$3))))</f>
        <v>3245.9169999999967</v>
      </c>
      <c r="G20" s="146">
        <f>IF(G$3="All Routes", IF($G$2="Tonnage",SUMIFS(Data!$D:$D,Data!$A:$A,Working!G$5,Data!$B:$B,Working!$B20,Data!$C:$C,Working!G$4), IF($G$2="Units",SUMIFS(Data!$E:$E,Data!$A:$A,Working!G$5,Data!$B:$B,Working!$B20,Data!$C:$C,Working!G$4),SUMIFS(Data!$G:$G,Data!$A:$A,Working!G$5,Data!$B:$B,Working!$B20,Data!$C:$C,Working!G$4))), IF($G$2="Tonnage",SUMIFS(Data!$D:$D,Data!$A:$A,Working!G$5,Data!$B:$B,Working!$B20,Data!$C:$C,Working!G$4,Data!$F:$F,Working!G$3), IF($G$2="Units",SUMIFS(Data!$E:$E,Data!$A:$A,Working!G$5,Data!$B:$B,Working!$B20,Data!$C:$C,Working!G$4,Data!$F:$F,Working!G$3),SUMIFS(Data!$G:$G,Data!$A:$A,Working!G$5,Data!$B:$B,Working!$B20,Data!$C:$C,Working!G$4,Data!$F:$F,Working!G$3))))</f>
        <v>4216.1260000000002</v>
      </c>
      <c r="H20" s="146">
        <f>IF(H$3="All Routes", IF($G$2="Tonnage",SUMIFS(Data!$D:$D,Data!$A:$A,Working!H$5,Data!$B:$B,Working!$B20,Data!$C:$C,Working!H$4), IF($G$2="Units",SUMIFS(Data!$E:$E,Data!$A:$A,Working!H$5,Data!$B:$B,Working!$B20,Data!$C:$C,Working!H$4),SUMIFS(Data!$G:$G,Data!$A:$A,Working!H$5,Data!$B:$B,Working!$B20,Data!$C:$C,Working!H$4))), IF($G$2="Tonnage",SUMIFS(Data!$D:$D,Data!$A:$A,Working!H$5,Data!$B:$B,Working!$B20,Data!$C:$C,Working!H$4,Data!$F:$F,Working!H$3), IF($G$2="Units",SUMIFS(Data!$E:$E,Data!$A:$A,Working!H$5,Data!$B:$B,Working!$B20,Data!$C:$C,Working!H$4,Data!$F:$F,Working!H$3),SUMIFS(Data!$G:$G,Data!$A:$A,Working!H$5,Data!$B:$B,Working!$B20,Data!$C:$C,Working!H$4,Data!$F:$F,Working!H$3))))</f>
        <v>3478.5869999999954</v>
      </c>
      <c r="I20" s="146">
        <f>IF(I$3="All Routes", IF($G$2="Tonnage",SUMIFS(Data!$D:$D,Data!$A:$A,Working!I$5,Data!$B:$B,Working!$B20,Data!$C:$C,Working!I$4), IF($G$2="Units",SUMIFS(Data!$E:$E,Data!$A:$A,Working!I$5,Data!$B:$B,Working!$B20,Data!$C:$C,Working!I$4),SUMIFS(Data!$G:$G,Data!$A:$A,Working!I$5,Data!$B:$B,Working!$B20,Data!$C:$C,Working!I$4))), IF($G$2="Tonnage",SUMIFS(Data!$D:$D,Data!$A:$A,Working!I$5,Data!$B:$B,Working!$B20,Data!$C:$C,Working!I$4,Data!$F:$F,Working!I$3), IF($G$2="Units",SUMIFS(Data!$E:$E,Data!$A:$A,Working!I$5,Data!$B:$B,Working!$B20,Data!$C:$C,Working!I$4,Data!$F:$F,Working!I$3),SUMIFS(Data!$G:$G,Data!$A:$A,Working!I$5,Data!$B:$B,Working!$B20,Data!$C:$C,Working!I$4,Data!$F:$F,Working!I$3))))</f>
        <v>3292.6789999999983</v>
      </c>
      <c r="J20" s="146">
        <f>IF(J$3="All Routes", IF($G$2="Tonnage",SUMIFS(Data!$D:$D,Data!$A:$A,Working!J$5,Data!$B:$B,Working!$B20,Data!$C:$C,Working!J$4), IF($G$2="Units",SUMIFS(Data!$E:$E,Data!$A:$A,Working!J$5,Data!$B:$B,Working!$B20,Data!$C:$C,Working!J$4),SUMIFS(Data!$G:$G,Data!$A:$A,Working!J$5,Data!$B:$B,Working!$B20,Data!$C:$C,Working!J$4))), IF($G$2="Tonnage",SUMIFS(Data!$D:$D,Data!$A:$A,Working!J$5,Data!$B:$B,Working!$B20,Data!$C:$C,Working!J$4,Data!$F:$F,Working!J$3), IF($G$2="Units",SUMIFS(Data!$E:$E,Data!$A:$A,Working!J$5,Data!$B:$B,Working!$B20,Data!$C:$C,Working!J$4,Data!$F:$F,Working!J$3),SUMIFS(Data!$G:$G,Data!$A:$A,Working!J$5,Data!$B:$B,Working!$B20,Data!$C:$C,Working!J$4,Data!$F:$F,Working!J$3))))</f>
        <v>3457.3709999999983</v>
      </c>
      <c r="K20" s="146">
        <f>IF(K$3="All Routes", IF($G$2="Tonnage",SUMIFS(Data!$D:$D,Data!$A:$A,Working!K$5,Data!$B:$B,Working!$B20,Data!$C:$C,Working!K$4), IF($G$2="Units",SUMIFS(Data!$E:$E,Data!$A:$A,Working!K$5,Data!$B:$B,Working!$B20,Data!$C:$C,Working!K$4),SUMIFS(Data!$G:$G,Data!$A:$A,Working!K$5,Data!$B:$B,Working!$B20,Data!$C:$C,Working!K$4))), IF($G$2="Tonnage",SUMIFS(Data!$D:$D,Data!$A:$A,Working!K$5,Data!$B:$B,Working!$B20,Data!$C:$C,Working!K$4,Data!$F:$F,Working!K$3), IF($G$2="Units",SUMIFS(Data!$E:$E,Data!$A:$A,Working!K$5,Data!$B:$B,Working!$B20,Data!$C:$C,Working!K$4,Data!$F:$F,Working!K$3),SUMIFS(Data!$G:$G,Data!$A:$A,Working!K$5,Data!$B:$B,Working!$B20,Data!$C:$C,Working!K$4,Data!$F:$F,Working!K$3))))</f>
        <v>4357.4650000000001</v>
      </c>
      <c r="L20" s="146">
        <f>IF(L$3="All Routes", IF($G$2="Tonnage",SUMIFS(Data!$D:$D,Data!$A:$A,Working!L$5,Data!$B:$B,Working!$B20,Data!$C:$C,Working!L$4), IF($G$2="Units",SUMIFS(Data!$E:$E,Data!$A:$A,Working!L$5,Data!$B:$B,Working!$B20,Data!$C:$C,Working!L$4),SUMIFS(Data!$G:$G,Data!$A:$A,Working!L$5,Data!$B:$B,Working!$B20,Data!$C:$C,Working!L$4))), IF($G$2="Tonnage",SUMIFS(Data!$D:$D,Data!$A:$A,Working!L$5,Data!$B:$B,Working!$B20,Data!$C:$C,Working!L$4,Data!$F:$F,Working!L$3), IF($G$2="Units",SUMIFS(Data!$E:$E,Data!$A:$A,Working!L$5,Data!$B:$B,Working!$B20,Data!$C:$C,Working!L$4,Data!$F:$F,Working!L$3),SUMIFS(Data!$G:$G,Data!$A:$A,Working!L$5,Data!$B:$B,Working!$B20,Data!$C:$C,Working!L$4,Data!$F:$F,Working!L$3))))</f>
        <v>4278.1519999999928</v>
      </c>
      <c r="M20" s="146">
        <f>IF(M$3="All Routes", IF($G$2="Tonnage",SUMIFS(Data!$D:$D,Data!$A:$A,Working!M$5,Data!$B:$B,Working!$B20,Data!$C:$C,Working!M$4), IF($G$2="Units",SUMIFS(Data!$E:$E,Data!$A:$A,Working!M$5,Data!$B:$B,Working!$B20,Data!$C:$C,Working!M$4),SUMIFS(Data!$G:$G,Data!$A:$A,Working!M$5,Data!$B:$B,Working!$B20,Data!$C:$C,Working!M$4))), IF($G$2="Tonnage",SUMIFS(Data!$D:$D,Data!$A:$A,Working!M$5,Data!$B:$B,Working!$B20,Data!$C:$C,Working!M$4,Data!$F:$F,Working!M$3), IF($G$2="Units",SUMIFS(Data!$E:$E,Data!$A:$A,Working!M$5,Data!$B:$B,Working!$B20,Data!$C:$C,Working!M$4,Data!$F:$F,Working!M$3),SUMIFS(Data!$G:$G,Data!$A:$A,Working!M$5,Data!$B:$B,Working!$B20,Data!$C:$C,Working!M$4,Data!$F:$F,Working!M$3))))</f>
        <v>3397.3569999999927</v>
      </c>
      <c r="N20" s="146">
        <f>IF(N$3="All Routes", IF($G$2="Tonnage",SUMIFS(Data!$D:$D,Data!$A:$A,Working!N$5,Data!$B:$B,Working!$B20,Data!$C:$C,Working!N$4), IF($G$2="Units",SUMIFS(Data!$E:$E,Data!$A:$A,Working!N$5,Data!$B:$B,Working!$B20,Data!$C:$C,Working!N$4),SUMIFS(Data!$G:$G,Data!$A:$A,Working!N$5,Data!$B:$B,Working!$B20,Data!$C:$C,Working!N$4))), IF($G$2="Tonnage",SUMIFS(Data!$D:$D,Data!$A:$A,Working!N$5,Data!$B:$B,Working!$B20,Data!$C:$C,Working!N$4,Data!$F:$F,Working!N$3), IF($G$2="Units",SUMIFS(Data!$E:$E,Data!$A:$A,Working!N$5,Data!$B:$B,Working!$B20,Data!$C:$C,Working!N$4,Data!$F:$F,Working!N$3),SUMIFS(Data!$G:$G,Data!$A:$A,Working!N$5,Data!$B:$B,Working!$B20,Data!$C:$C,Working!N$4,Data!$F:$F,Working!N$3))))</f>
        <v>3570.13</v>
      </c>
      <c r="O20" s="146">
        <f>IF(O$3="All Routes", IF($G$2="Tonnage",SUMIFS(Data!$D:$D,Data!$A:$A,Working!O$5,Data!$B:$B,Working!$B20,Data!$C:$C,Working!O$4), IF($G$2="Units",SUMIFS(Data!$E:$E,Data!$A:$A,Working!O$5,Data!$B:$B,Working!$B20,Data!$C:$C,Working!O$4),SUMIFS(Data!$G:$G,Data!$A:$A,Working!O$5,Data!$B:$B,Working!$B20,Data!$C:$C,Working!O$4))), IF($G$2="Tonnage",SUMIFS(Data!$D:$D,Data!$A:$A,Working!O$5,Data!$B:$B,Working!$B20,Data!$C:$C,Working!O$4,Data!$F:$F,Working!O$3), IF($G$2="Units",SUMIFS(Data!$E:$E,Data!$A:$A,Working!O$5,Data!$B:$B,Working!$B20,Data!$C:$C,Working!O$4,Data!$F:$F,Working!O$3),SUMIFS(Data!$G:$G,Data!$A:$A,Working!O$5,Data!$B:$B,Working!$B20,Data!$C:$C,Working!O$4,Data!$F:$F,Working!O$3))))</f>
        <v>3709.4839999999963</v>
      </c>
      <c r="P20" s="146">
        <f>IF(P$3="All Routes", IF($G$2="Tonnage",SUMIFS(Data!$D:$D,Data!$A:$A,Working!P$5,Data!$B:$B,Working!$B20,Data!$C:$C,Working!P$4), IF($G$2="Units",SUMIFS(Data!$E:$E,Data!$A:$A,Working!P$5,Data!$B:$B,Working!$B20,Data!$C:$C,Working!P$4),SUMIFS(Data!$G:$G,Data!$A:$A,Working!P$5,Data!$B:$B,Working!$B20,Data!$C:$C,Working!P$4))), IF($G$2="Tonnage",SUMIFS(Data!$D:$D,Data!$A:$A,Working!P$5,Data!$B:$B,Working!$B20,Data!$C:$C,Working!P$4,Data!$F:$F,Working!P$3), IF($G$2="Units",SUMIFS(Data!$E:$E,Data!$A:$A,Working!P$5,Data!$B:$B,Working!$B20,Data!$C:$C,Working!P$4,Data!$F:$F,Working!P$3),SUMIFS(Data!$G:$G,Data!$A:$A,Working!P$5,Data!$B:$B,Working!$B20,Data!$C:$C,Working!P$4,Data!$F:$F,Working!P$3))))</f>
        <v>3440.6349999999989</v>
      </c>
      <c r="Q20" s="146">
        <f>IF(Q$3="All Routes", IF($G$2="Tonnage",SUMIFS(Data!$D:$D,Data!$A:$A,Working!Q$5,Data!$B:$B,Working!$B20,Data!$C:$C,Working!Q$4), IF($G$2="Units",SUMIFS(Data!$E:$E,Data!$A:$A,Working!Q$5,Data!$B:$B,Working!$B20,Data!$C:$C,Working!Q$4),SUMIFS(Data!$G:$G,Data!$A:$A,Working!Q$5,Data!$B:$B,Working!$B20,Data!$C:$C,Working!Q$4))), IF($G$2="Tonnage",SUMIFS(Data!$D:$D,Data!$A:$A,Working!Q$5,Data!$B:$B,Working!$B20,Data!$C:$C,Working!Q$4,Data!$F:$F,Working!Q$3), IF($G$2="Units",SUMIFS(Data!$E:$E,Data!$A:$A,Working!Q$5,Data!$B:$B,Working!$B20,Data!$C:$C,Working!Q$4,Data!$F:$F,Working!Q$3),SUMIFS(Data!$G:$G,Data!$A:$A,Working!Q$5,Data!$B:$B,Working!$B20,Data!$C:$C,Working!Q$4,Data!$F:$F,Working!Q$3))))</f>
        <v>4204.2249999999931</v>
      </c>
      <c r="R20" s="146">
        <f>IF(R$3="All Routes", IF($G$2="Tonnage",SUMIFS(Data!$D:$D,Data!$A:$A,Working!R$5,Data!$B:$B,Working!$B20,Data!$C:$C,Working!R$4), IF($G$2="Units",SUMIFS(Data!$E:$E,Data!$A:$A,Working!R$5,Data!$B:$B,Working!$B20,Data!$C:$C,Working!R$4),SUMIFS(Data!$G:$G,Data!$A:$A,Working!R$5,Data!$B:$B,Working!$B20,Data!$C:$C,Working!R$4))), IF($G$2="Tonnage",SUMIFS(Data!$D:$D,Data!$A:$A,Working!R$5,Data!$B:$B,Working!$B20,Data!$C:$C,Working!R$4,Data!$F:$F,Working!R$3), IF($G$2="Units",SUMIFS(Data!$E:$E,Data!$A:$A,Working!R$5,Data!$B:$B,Working!$B20,Data!$C:$C,Working!R$4,Data!$F:$F,Working!R$3),SUMIFS(Data!$G:$G,Data!$A:$A,Working!R$5,Data!$B:$B,Working!$B20,Data!$C:$C,Working!R$4,Data!$F:$F,Working!R$3))))</f>
        <v>7223.5369999999921</v>
      </c>
      <c r="S20" s="146">
        <f>IF(S$3="All Routes", IF($G$2="Tonnage",SUMIFS(Data!$D:$D,Data!$A:$A,Working!S$5,Data!$B:$B,Working!$B20,Data!$C:$C,Working!S$4), IF($G$2="Units",SUMIFS(Data!$E:$E,Data!$A:$A,Working!S$5,Data!$B:$B,Working!$B20,Data!$C:$C,Working!S$4),SUMIFS(Data!$G:$G,Data!$A:$A,Working!S$5,Data!$B:$B,Working!$B20,Data!$C:$C,Working!S$4))), IF($G$2="Tonnage",SUMIFS(Data!$D:$D,Data!$A:$A,Working!S$5,Data!$B:$B,Working!$B20,Data!$C:$C,Working!S$4,Data!$F:$F,Working!S$3), IF($G$2="Units",SUMIFS(Data!$E:$E,Data!$A:$A,Working!S$5,Data!$B:$B,Working!$B20,Data!$C:$C,Working!S$4,Data!$F:$F,Working!S$3),SUMIFS(Data!$G:$G,Data!$A:$A,Working!S$5,Data!$B:$B,Working!$B20,Data!$C:$C,Working!S$4,Data!$F:$F,Working!S$3))))</f>
        <v>5227.3480000000027</v>
      </c>
      <c r="T20" s="146">
        <f>IF(T$3="All Routes", IF($G$2="Tonnage",SUMIFS(Data!$D:$D,Data!$A:$A,Working!T$5,Data!$B:$B,Working!$B20,Data!$C:$C,Working!T$4), IF($G$2="Units",SUMIFS(Data!$E:$E,Data!$A:$A,Working!T$5,Data!$B:$B,Working!$B20,Data!$C:$C,Working!T$4),SUMIFS(Data!$G:$G,Data!$A:$A,Working!T$5,Data!$B:$B,Working!$B20,Data!$C:$C,Working!T$4))), IF($G$2="Tonnage",SUMIFS(Data!$D:$D,Data!$A:$A,Working!T$5,Data!$B:$B,Working!$B20,Data!$C:$C,Working!T$4,Data!$F:$F,Working!T$3), IF($G$2="Units",SUMIFS(Data!$E:$E,Data!$A:$A,Working!T$5,Data!$B:$B,Working!$B20,Data!$C:$C,Working!T$4,Data!$F:$F,Working!T$3),SUMIFS(Data!$G:$G,Data!$A:$A,Working!T$5,Data!$B:$B,Working!$B20,Data!$C:$C,Working!T$4,Data!$F:$F,Working!T$3))))</f>
        <v>5650.3979999999965</v>
      </c>
      <c r="U20" s="146">
        <f>IF(U$3="All Routes", IF($G$2="Tonnage",SUMIFS(Data!$D:$D,Data!$A:$A,Working!U$5,Data!$B:$B,Working!$B20,Data!$C:$C,Working!U$4), IF($G$2="Units",SUMIFS(Data!$E:$E,Data!$A:$A,Working!U$5,Data!$B:$B,Working!$B20,Data!$C:$C,Working!U$4),SUMIFS(Data!$G:$G,Data!$A:$A,Working!U$5,Data!$B:$B,Working!$B20,Data!$C:$C,Working!U$4))), IF($G$2="Tonnage",SUMIFS(Data!$D:$D,Data!$A:$A,Working!U$5,Data!$B:$B,Working!$B20,Data!$C:$C,Working!U$4,Data!$F:$F,Working!U$3), IF($G$2="Units",SUMIFS(Data!$E:$E,Data!$A:$A,Working!U$5,Data!$B:$B,Working!$B20,Data!$C:$C,Working!U$4,Data!$F:$F,Working!U$3),SUMIFS(Data!$G:$G,Data!$A:$A,Working!U$5,Data!$B:$B,Working!$B20,Data!$C:$C,Working!U$4,Data!$F:$F,Working!U$3))))</f>
        <v>5803.0859999999966</v>
      </c>
      <c r="V20" s="146">
        <f>IF(V$3="All Routes", IF($G$2="Tonnage",SUMIFS(Data!$D:$D,Data!$A:$A,Working!V$5,Data!$B:$B,Working!$B20,Data!$C:$C,Working!V$4), IF($G$2="Units",SUMIFS(Data!$E:$E,Data!$A:$A,Working!V$5,Data!$B:$B,Working!$B20,Data!$C:$C,Working!V$4),SUMIFS(Data!$G:$G,Data!$A:$A,Working!V$5,Data!$B:$B,Working!$B20,Data!$C:$C,Working!V$4))), IF($G$2="Tonnage",SUMIFS(Data!$D:$D,Data!$A:$A,Working!V$5,Data!$B:$B,Working!$B20,Data!$C:$C,Working!V$4,Data!$F:$F,Working!V$3), IF($G$2="Units",SUMIFS(Data!$E:$E,Data!$A:$A,Working!V$5,Data!$B:$B,Working!$B20,Data!$C:$C,Working!V$4,Data!$F:$F,Working!V$3),SUMIFS(Data!$G:$G,Data!$A:$A,Working!V$5,Data!$B:$B,Working!$B20,Data!$C:$C,Working!V$4,Data!$F:$F,Working!V$3))))</f>
        <v>6135.5089999999991</v>
      </c>
      <c r="W20" s="146">
        <f>IF(W$3="All Routes", IF($G$2="Tonnage",SUMIFS(Data!$D:$D,Data!$A:$A,Working!W$5,Data!$B:$B,Working!$B20,Data!$C:$C,Working!W$4), IF($G$2="Units",SUMIFS(Data!$E:$E,Data!$A:$A,Working!W$5,Data!$B:$B,Working!$B20,Data!$C:$C,Working!W$4),SUMIFS(Data!$G:$G,Data!$A:$A,Working!W$5,Data!$B:$B,Working!$B20,Data!$C:$C,Working!W$4))), IF($G$2="Tonnage",SUMIFS(Data!$D:$D,Data!$A:$A,Working!W$5,Data!$B:$B,Working!$B20,Data!$C:$C,Working!W$4,Data!$F:$F,Working!W$3), IF($G$2="Units",SUMIFS(Data!$E:$E,Data!$A:$A,Working!W$5,Data!$B:$B,Working!$B20,Data!$C:$C,Working!W$4,Data!$F:$F,Working!W$3),SUMIFS(Data!$G:$G,Data!$A:$A,Working!W$5,Data!$B:$B,Working!$B20,Data!$C:$C,Working!W$4,Data!$F:$F,Working!W$3))))</f>
        <v>5884.9349999999949</v>
      </c>
      <c r="X20" s="146">
        <f>IF(X$3="All Routes", IF($G$2="Tonnage",SUMIFS(Data!$D:$D,Data!$A:$A,Working!X$5,Data!$B:$B,Working!$B20,Data!$C:$C,Working!X$4), IF($G$2="Units",SUMIFS(Data!$E:$E,Data!$A:$A,Working!X$5,Data!$B:$B,Working!$B20,Data!$C:$C,Working!X$4),SUMIFS(Data!$G:$G,Data!$A:$A,Working!X$5,Data!$B:$B,Working!$B20,Data!$C:$C,Working!X$4))), IF($G$2="Tonnage",SUMIFS(Data!$D:$D,Data!$A:$A,Working!X$5,Data!$B:$B,Working!$B20,Data!$C:$C,Working!X$4,Data!$F:$F,Working!X$3), IF($G$2="Units",SUMIFS(Data!$E:$E,Data!$A:$A,Working!X$5,Data!$B:$B,Working!$B20,Data!$C:$C,Working!X$4,Data!$F:$F,Working!X$3),SUMIFS(Data!$G:$G,Data!$A:$A,Working!X$5,Data!$B:$B,Working!$B20,Data!$C:$C,Working!X$4,Data!$F:$F,Working!X$3))))</f>
        <v>5971.0249999999969</v>
      </c>
      <c r="Y20" s="146">
        <f>IF(Y$3="All Routes", IF($G$2="Tonnage",SUMIFS(Data!$D:$D,Data!$A:$A,Working!Y$5,Data!$B:$B,Working!$B20,Data!$C:$C,Working!Y$4), IF($G$2="Units",SUMIFS(Data!$E:$E,Data!$A:$A,Working!Y$5,Data!$B:$B,Working!$B20,Data!$C:$C,Working!Y$4),SUMIFS(Data!$G:$G,Data!$A:$A,Working!Y$5,Data!$B:$B,Working!$B20,Data!$C:$C,Working!Y$4))), IF($G$2="Tonnage",SUMIFS(Data!$D:$D,Data!$A:$A,Working!Y$5,Data!$B:$B,Working!$B20,Data!$C:$C,Working!Y$4,Data!$F:$F,Working!Y$3), IF($G$2="Units",SUMIFS(Data!$E:$E,Data!$A:$A,Working!Y$5,Data!$B:$B,Working!$B20,Data!$C:$C,Working!Y$4,Data!$F:$F,Working!Y$3),SUMIFS(Data!$G:$G,Data!$A:$A,Working!Y$5,Data!$B:$B,Working!$B20,Data!$C:$C,Working!Y$4,Data!$F:$F,Working!Y$3))))</f>
        <v>5613.6989999999987</v>
      </c>
      <c r="Z20" s="146">
        <f>IF(Z$3="All Routes", IF($G$2="Tonnage",SUMIFS(Data!$D:$D,Data!$A:$A,Working!Z$5,Data!$B:$B,Working!$B20,Data!$C:$C,Working!Z$4), IF($G$2="Units",SUMIFS(Data!$E:$E,Data!$A:$A,Working!Z$5,Data!$B:$B,Working!$B20,Data!$C:$C,Working!Z$4),SUMIFS(Data!$G:$G,Data!$A:$A,Working!Z$5,Data!$B:$B,Working!$B20,Data!$C:$C,Working!Z$4))), IF($G$2="Tonnage",SUMIFS(Data!$D:$D,Data!$A:$A,Working!Z$5,Data!$B:$B,Working!$B20,Data!$C:$C,Working!Z$4,Data!$F:$F,Working!Z$3), IF($G$2="Units",SUMIFS(Data!$E:$E,Data!$A:$A,Working!Z$5,Data!$B:$B,Working!$B20,Data!$C:$C,Working!Z$4,Data!$F:$F,Working!Z$3),SUMIFS(Data!$G:$G,Data!$A:$A,Working!Z$5,Data!$B:$B,Working!$B20,Data!$C:$C,Working!Z$4,Data!$F:$F,Working!Z$3))))</f>
        <v>4657.5619999999954</v>
      </c>
      <c r="AA20" s="146">
        <f>IF(AA$3="All Routes", IF($G$2="Tonnage",SUMIFS(Data!$D:$D,Data!$A:$A,Working!AA$5,Data!$B:$B,Working!$B20,Data!$C:$C,Working!AA$4), IF($G$2="Units",SUMIFS(Data!$E:$E,Data!$A:$A,Working!AA$5,Data!$B:$B,Working!$B20,Data!$C:$C,Working!AA$4),SUMIFS(Data!$G:$G,Data!$A:$A,Working!AA$5,Data!$B:$B,Working!$B20,Data!$C:$C,Working!AA$4))), IF($G$2="Tonnage",SUMIFS(Data!$D:$D,Data!$A:$A,Working!AA$5,Data!$B:$B,Working!$B20,Data!$C:$C,Working!AA$4,Data!$F:$F,Working!AA$3), IF($G$2="Units",SUMIFS(Data!$E:$E,Data!$A:$A,Working!AA$5,Data!$B:$B,Working!$B20,Data!$C:$C,Working!AA$4,Data!$F:$F,Working!AA$3),SUMIFS(Data!$G:$G,Data!$A:$A,Working!AA$5,Data!$B:$B,Working!$B20,Data!$C:$C,Working!AA$4,Data!$F:$F,Working!AA$3))))</f>
        <v>4610.4379999999956</v>
      </c>
      <c r="AB20" s="146">
        <f>IF(AB$3="All Routes", IF($G$2="Tonnage",SUMIFS(Data!$D:$D,Data!$A:$A,Working!AB$5,Data!$B:$B,Working!$B20,Data!$C:$C,Working!AB$4), IF($G$2="Units",SUMIFS(Data!$E:$E,Data!$A:$A,Working!AB$5,Data!$B:$B,Working!$B20,Data!$C:$C,Working!AB$4),SUMIFS(Data!$G:$G,Data!$A:$A,Working!AB$5,Data!$B:$B,Working!$B20,Data!$C:$C,Working!AB$4))), IF($G$2="Tonnage",SUMIFS(Data!$D:$D,Data!$A:$A,Working!AB$5,Data!$B:$B,Working!$B20,Data!$C:$C,Working!AB$4,Data!$F:$F,Working!AB$3), IF($G$2="Units",SUMIFS(Data!$E:$E,Data!$A:$A,Working!AB$5,Data!$B:$B,Working!$B20,Data!$C:$C,Working!AB$4,Data!$F:$F,Working!AB$3),SUMIFS(Data!$G:$G,Data!$A:$A,Working!AB$5,Data!$B:$B,Working!$B20,Data!$C:$C,Working!AB$4,Data!$F:$F,Working!AB$3))))</f>
        <v>4554.648999999994</v>
      </c>
      <c r="AC20" s="146">
        <f>IF(AC$3="All Routes", IF($G$2="Tonnage",SUMIFS(Data!$D:$D,Data!$A:$A,Working!AC$5,Data!$B:$B,Working!$B20,Data!$C:$C,Working!AC$4), IF($G$2="Units",SUMIFS(Data!$E:$E,Data!$A:$A,Working!AC$5,Data!$B:$B,Working!$B20,Data!$C:$C,Working!AC$4),SUMIFS(Data!$G:$G,Data!$A:$A,Working!AC$5,Data!$B:$B,Working!$B20,Data!$C:$C,Working!AC$4))), IF($G$2="Tonnage",SUMIFS(Data!$D:$D,Data!$A:$A,Working!AC$5,Data!$B:$B,Working!$B20,Data!$C:$C,Working!AC$4,Data!$F:$F,Working!AC$3), IF($G$2="Units",SUMIFS(Data!$E:$E,Data!$A:$A,Working!AC$5,Data!$B:$B,Working!$B20,Data!$C:$C,Working!AC$4,Data!$F:$F,Working!AC$3),SUMIFS(Data!$G:$G,Data!$A:$A,Working!AC$5,Data!$B:$B,Working!$B20,Data!$C:$C,Working!AC$4,Data!$F:$F,Working!AC$3))))</f>
        <v>5611.9599595782383</v>
      </c>
      <c r="AD20" s="133"/>
      <c r="AE20" s="127">
        <f t="shared" si="0"/>
        <v>0.23213884529373083</v>
      </c>
      <c r="AF20" s="112">
        <f t="shared" si="1"/>
        <v>1057.3109595782444</v>
      </c>
      <c r="AG20" s="133"/>
      <c r="AH20" s="133"/>
      <c r="AI20" s="133"/>
      <c r="AJ20" s="125">
        <f t="shared" si="2"/>
        <v>-55.789000000001579</v>
      </c>
      <c r="AK20" s="126">
        <f t="shared" si="3"/>
        <v>-1.2100585671036381E-2</v>
      </c>
    </row>
    <row r="21" spans="1:37" ht="13">
      <c r="A21" s="147" t="s">
        <v>163</v>
      </c>
      <c r="B21" s="135" t="s">
        <v>164</v>
      </c>
      <c r="C21" s="148" t="s">
        <v>165</v>
      </c>
      <c r="D21" s="149">
        <f t="shared" ref="D21:AC21" si="4">ROUND(SUM(D17:D20),3)</f>
        <v>51570.567999999999</v>
      </c>
      <c r="E21" s="149">
        <f t="shared" si="4"/>
        <v>51688.896999999997</v>
      </c>
      <c r="F21" s="149">
        <f t="shared" si="4"/>
        <v>51100.224000000002</v>
      </c>
      <c r="G21" s="149">
        <f t="shared" si="4"/>
        <v>51278.909</v>
      </c>
      <c r="H21" s="149">
        <f t="shared" si="4"/>
        <v>56414.391000000003</v>
      </c>
      <c r="I21" s="149">
        <f t="shared" si="4"/>
        <v>53840.057999999997</v>
      </c>
      <c r="J21" s="149">
        <f t="shared" si="4"/>
        <v>54359.381000000001</v>
      </c>
      <c r="K21" s="149">
        <f t="shared" si="4"/>
        <v>60509.644</v>
      </c>
      <c r="L21" s="149">
        <f t="shared" si="4"/>
        <v>59550.053999999996</v>
      </c>
      <c r="M21" s="149">
        <f t="shared" si="4"/>
        <v>52010.781999999999</v>
      </c>
      <c r="N21" s="149">
        <f t="shared" si="4"/>
        <v>56673.648999999998</v>
      </c>
      <c r="O21" s="149">
        <f t="shared" si="4"/>
        <v>57702.904999999999</v>
      </c>
      <c r="P21" s="149">
        <f t="shared" si="4"/>
        <v>55053.178999999996</v>
      </c>
      <c r="Q21" s="149">
        <f t="shared" si="4"/>
        <v>56902.821000000004</v>
      </c>
      <c r="R21" s="149">
        <f t="shared" si="4"/>
        <v>61255.785000000003</v>
      </c>
      <c r="S21" s="149">
        <f t="shared" si="4"/>
        <v>63211.574000000001</v>
      </c>
      <c r="T21" s="149">
        <f t="shared" si="4"/>
        <v>65331.071000000004</v>
      </c>
      <c r="U21" s="149">
        <f t="shared" si="4"/>
        <v>64030.781999999999</v>
      </c>
      <c r="V21" s="149">
        <f t="shared" si="4"/>
        <v>68455.72</v>
      </c>
      <c r="W21" s="149">
        <f t="shared" si="4"/>
        <v>66765.254000000001</v>
      </c>
      <c r="X21" s="149">
        <f t="shared" si="4"/>
        <v>61355.006000000001</v>
      </c>
      <c r="Y21" s="149">
        <f t="shared" si="4"/>
        <v>60655.139000000003</v>
      </c>
      <c r="Z21" s="149">
        <f t="shared" si="4"/>
        <v>59089.641000000003</v>
      </c>
      <c r="AA21" s="149">
        <f t="shared" si="4"/>
        <v>58546.578000000001</v>
      </c>
      <c r="AB21" s="149">
        <f t="shared" si="4"/>
        <v>60691.154000000002</v>
      </c>
      <c r="AC21" s="149">
        <f t="shared" si="4"/>
        <v>66882.558999999994</v>
      </c>
      <c r="AD21" s="133">
        <f>ROUND(SUM(AB17:AB20),3)-AB21</f>
        <v>0</v>
      </c>
      <c r="AE21" s="122">
        <f t="shared" si="0"/>
        <v>0.10201494932852968</v>
      </c>
      <c r="AF21" s="123">
        <f t="shared" si="1"/>
        <v>6191.4049999999916</v>
      </c>
      <c r="AG21" s="133"/>
      <c r="AH21" s="133"/>
      <c r="AI21" s="133"/>
      <c r="AJ21" s="125">
        <f t="shared" si="2"/>
        <v>2144.5760000000009</v>
      </c>
      <c r="AK21" s="126">
        <f t="shared" si="3"/>
        <v>3.6630253607648953E-2</v>
      </c>
    </row>
    <row r="22" spans="1:37" ht="14">
      <c r="A22" s="144" t="s">
        <v>166</v>
      </c>
      <c r="B22" s="119">
        <v>51</v>
      </c>
      <c r="C22" s="150" t="s">
        <v>84</v>
      </c>
      <c r="D22" s="151">
        <f>IF(port0201!$B$9="All Routes",IF(port0201!$B$8="TEU","z",ROUND(SUMIFS(CHOOSE(VLOOKUP(port0201!$B$8,Lookup!$A$1:$B$3,2,FALSE),Data!$D:$D,Data!$E:$E,Data!$G:$G),Data!$A:$A,Working!D$5,Data!$B:$B,Working!$B22,Data!$C:$C,Working!D$4,Data!$H:$H,1),3)),IF(port0201!$B$8="TEU","z",ROUND(SUMIFS(CHOOSE(VLOOKUP(port0201!$B$8,Lookup!$A$1:$B$3,2,FALSE),Data!$D:$D,Data!$E:$E,Data!$H:$H),Data!$A:$A,Working!D$5,Data!$B:$B,Working!$B22,Data!$C:$C,Working!D$4,Data!$F:$F,port0201!$B$9),3)))</f>
        <v>35245.067000000003</v>
      </c>
      <c r="E22" s="151">
        <f>IF(port0201!$B$9="All Routes",IF(port0201!$B$8="TEU","z",ROUND(SUMIFS(CHOOSE(VLOOKUP(port0201!$B$8,Lookup!$A$1:$B$3,2,FALSE),Data!$D:$D,Data!$E:$E,Data!$G:$G),Data!$A:$A,Working!E$5,Data!$B:$B,Working!$B22,Data!$C:$C,Working!E$4,Data!$H:$H,1),3)),IF(port0201!$B$8="TEU","z",ROUND(SUMIFS(CHOOSE(VLOOKUP(port0201!$B$8,Lookup!$A$1:$B$3,2,FALSE),Data!$D:$D,Data!$E:$E,Data!$H:$H),Data!$A:$A,Working!E$5,Data!$B:$B,Working!$B22,Data!$C:$C,Working!E$4,Data!$F:$F,port0201!$B$9),3)))</f>
        <v>37179.773000000001</v>
      </c>
      <c r="F22" s="151">
        <f>IF(port0201!$B$9="All Routes",IF(port0201!$B$8="TEU","z",ROUND(SUMIFS(CHOOSE(VLOOKUP(port0201!$B$8,Lookup!$A$1:$B$3,2,FALSE),Data!$D:$D,Data!$E:$E,Data!$G:$G),Data!$A:$A,Working!F$5,Data!$B:$B,Working!$B22,Data!$C:$C,Working!F$4,Data!$H:$H,1),3)),IF(port0201!$B$8="TEU","z",ROUND(SUMIFS(CHOOSE(VLOOKUP(port0201!$B$8,Lookup!$A$1:$B$3,2,FALSE),Data!$D:$D,Data!$E:$E,Data!$H:$H),Data!$A:$A,Working!F$5,Data!$B:$B,Working!$B22,Data!$C:$C,Working!F$4,Data!$F:$F,port0201!$B$9),3)))</f>
        <v>38924.122000000003</v>
      </c>
      <c r="G22" s="151">
        <f>IF(port0201!$B$9="All Routes",IF(port0201!$B$8="TEU","z",ROUND(SUMIFS(CHOOSE(VLOOKUP(port0201!$B$8,Lookup!$A$1:$B$3,2,FALSE),Data!$D:$D,Data!$E:$E,Data!$G:$G),Data!$A:$A,Working!G$5,Data!$B:$B,Working!$B22,Data!$C:$C,Working!G$4,Data!$H:$H,1),3)),IF(port0201!$B$8="TEU","z",ROUND(SUMIFS(CHOOSE(VLOOKUP(port0201!$B$8,Lookup!$A$1:$B$3,2,FALSE),Data!$D:$D,Data!$E:$E,Data!$H:$H),Data!$A:$A,Working!G$5,Data!$B:$B,Working!$B22,Data!$C:$C,Working!G$4,Data!$F:$F,port0201!$B$9),3)))</f>
        <v>38668.353999999999</v>
      </c>
      <c r="H22" s="151">
        <f>IF(port0201!$B$9="All Routes",IF(port0201!$B$8="TEU","z",ROUND(SUMIFS(CHOOSE(VLOOKUP(port0201!$B$8,Lookup!$A$1:$B$3,2,FALSE),Data!$D:$D,Data!$E:$E,Data!$G:$G),Data!$A:$A,Working!H$5,Data!$B:$B,Working!$B22,Data!$C:$C,Working!H$4,Data!$H:$H,1),3)),IF(port0201!$B$8="TEU","z",ROUND(SUMIFS(CHOOSE(VLOOKUP(port0201!$B$8,Lookup!$A$1:$B$3,2,FALSE),Data!$D:$D,Data!$E:$E,Data!$H:$H),Data!$A:$A,Working!H$5,Data!$B:$B,Working!$B22,Data!$C:$C,Working!H$4,Data!$F:$F,port0201!$B$9),3)))</f>
        <v>42945.186999999998</v>
      </c>
      <c r="I22" s="151">
        <f>IF(port0201!$B$9="All Routes",IF(port0201!$B$8="TEU","z",ROUND(SUMIFS(CHOOSE(VLOOKUP(port0201!$B$8,Lookup!$A$1:$B$3,2,FALSE),Data!$D:$D,Data!$E:$E,Data!$G:$G),Data!$A:$A,Working!I$5,Data!$B:$B,Working!$B22,Data!$C:$C,Working!I$4,Data!$H:$H,1),3)),IF(port0201!$B$8="TEU","z",ROUND(SUMIFS(CHOOSE(VLOOKUP(port0201!$B$8,Lookup!$A$1:$B$3,2,FALSE),Data!$D:$D,Data!$E:$E,Data!$H:$H),Data!$A:$A,Working!I$5,Data!$B:$B,Working!$B22,Data!$C:$C,Working!I$4,Data!$F:$F,port0201!$B$9),3)))</f>
        <v>45047.527000000002</v>
      </c>
      <c r="J22" s="151">
        <f>IF(port0201!$B$9="All Routes",IF(port0201!$B$8="TEU","z",ROUND(SUMIFS(CHOOSE(VLOOKUP(port0201!$B$8,Lookup!$A$1:$B$3,2,FALSE),Data!$D:$D,Data!$E:$E,Data!$G:$G),Data!$A:$A,Working!J$5,Data!$B:$B,Working!$B22,Data!$C:$C,Working!J$4,Data!$H:$H,1),3)),IF(port0201!$B$8="TEU","z",ROUND(SUMIFS(CHOOSE(VLOOKUP(port0201!$B$8,Lookup!$A$1:$B$3,2,FALSE),Data!$D:$D,Data!$E:$E,Data!$H:$H),Data!$A:$A,Working!J$5,Data!$B:$B,Working!$B22,Data!$C:$C,Working!J$4,Data!$F:$F,port0201!$B$9),3)))</f>
        <v>46782.139000000003</v>
      </c>
      <c r="K22" s="151">
        <f>IF(port0201!$B$9="All Routes",IF(port0201!$B$8="TEU","z",ROUND(SUMIFS(CHOOSE(VLOOKUP(port0201!$B$8,Lookup!$A$1:$B$3,2,FALSE),Data!$D:$D,Data!$E:$E,Data!$G:$G),Data!$A:$A,Working!K$5,Data!$B:$B,Working!$B22,Data!$C:$C,Working!K$4,Data!$H:$H,1),3)),IF(port0201!$B$8="TEU","z",ROUND(SUMIFS(CHOOSE(VLOOKUP(port0201!$B$8,Lookup!$A$1:$B$3,2,FALSE),Data!$D:$D,Data!$E:$E,Data!$H:$H),Data!$A:$A,Working!K$5,Data!$B:$B,Working!$B22,Data!$C:$C,Working!K$4,Data!$F:$F,port0201!$B$9),3)))</f>
        <v>48010.453000000001</v>
      </c>
      <c r="L22" s="151">
        <f>IF(port0201!$B$9="All Routes",IF(port0201!$B$8="TEU","z",ROUND(SUMIFS(CHOOSE(VLOOKUP(port0201!$B$8,Lookup!$A$1:$B$3,2,FALSE),Data!$D:$D,Data!$E:$E,Data!$G:$G),Data!$A:$A,Working!L$5,Data!$B:$B,Working!$B22,Data!$C:$C,Working!L$4,Data!$H:$H,1),3)),IF(port0201!$B$8="TEU","z",ROUND(SUMIFS(CHOOSE(VLOOKUP(port0201!$B$8,Lookup!$A$1:$B$3,2,FALSE),Data!$D:$D,Data!$E:$E,Data!$H:$H),Data!$A:$A,Working!L$5,Data!$B:$B,Working!$B22,Data!$C:$C,Working!L$4,Data!$F:$F,port0201!$B$9),3)))</f>
        <v>48472.345000000001</v>
      </c>
      <c r="M22" s="151">
        <f>IF(port0201!$B$9="All Routes",IF(port0201!$B$8="TEU","z",ROUND(SUMIFS(CHOOSE(VLOOKUP(port0201!$B$8,Lookup!$A$1:$B$3,2,FALSE),Data!$D:$D,Data!$E:$E,Data!$G:$G),Data!$A:$A,Working!M$5,Data!$B:$B,Working!$B22,Data!$C:$C,Working!M$4,Data!$H:$H,1),3)),IF(port0201!$B$8="TEU","z",ROUND(SUMIFS(CHOOSE(VLOOKUP(port0201!$B$8,Lookup!$A$1:$B$3,2,FALSE),Data!$D:$D,Data!$E:$E,Data!$H:$H),Data!$A:$A,Working!M$5,Data!$B:$B,Working!$B22,Data!$C:$C,Working!M$4,Data!$F:$F,port0201!$B$9),3)))</f>
        <v>44180.63</v>
      </c>
      <c r="N22" s="151">
        <f>IF(port0201!$B$9="All Routes",IF(port0201!$B$8="TEU","z",ROUND(SUMIFS(CHOOSE(VLOOKUP(port0201!$B$8,Lookup!$A$1:$B$3,2,FALSE),Data!$D:$D,Data!$E:$E,Data!$G:$G),Data!$A:$A,Working!N$5,Data!$B:$B,Working!$B22,Data!$C:$C,Working!N$4,Data!$H:$H,1),3)),IF(port0201!$B$8="TEU","z",ROUND(SUMIFS(CHOOSE(VLOOKUP(port0201!$B$8,Lookup!$A$1:$B$3,2,FALSE),Data!$D:$D,Data!$E:$E,Data!$H:$H),Data!$A:$A,Working!N$5,Data!$B:$B,Working!$B22,Data!$C:$C,Working!N$4,Data!$F:$F,port0201!$B$9),3)))</f>
        <v>42404.593999999997</v>
      </c>
      <c r="O22" s="151">
        <f>IF(port0201!$B$9="All Routes",IF(port0201!$B$8="TEU","z",ROUND(SUMIFS(CHOOSE(VLOOKUP(port0201!$B$8,Lookup!$A$1:$B$3,2,FALSE),Data!$D:$D,Data!$E:$E,Data!$G:$G),Data!$A:$A,Working!O$5,Data!$B:$B,Working!$B22,Data!$C:$C,Working!O$4,Data!$H:$H,1),3)),IF(port0201!$B$8="TEU","z",ROUND(SUMIFS(CHOOSE(VLOOKUP(port0201!$B$8,Lookup!$A$1:$B$3,2,FALSE),Data!$D:$D,Data!$E:$E,Data!$H:$H),Data!$A:$A,Working!O$5,Data!$B:$B,Working!$B22,Data!$C:$C,Working!O$4,Data!$F:$F,port0201!$B$9),3)))</f>
        <v>42356.076999999997</v>
      </c>
      <c r="P22" s="151">
        <f>IF(port0201!$B$9="All Routes",IF(port0201!$B$8="TEU","z",ROUND(SUMIFS(CHOOSE(VLOOKUP(port0201!$B$8,Lookup!$A$1:$B$3,2,FALSE),Data!$D:$D,Data!$E:$E,Data!$G:$G),Data!$A:$A,Working!P$5,Data!$B:$B,Working!$B22,Data!$C:$C,Working!P$4,Data!$H:$H,1),3)),IF(port0201!$B$8="TEU","z",ROUND(SUMIFS(CHOOSE(VLOOKUP(port0201!$B$8,Lookup!$A$1:$B$3,2,FALSE),Data!$D:$D,Data!$E:$E,Data!$H:$H),Data!$A:$A,Working!P$5,Data!$B:$B,Working!$B22,Data!$C:$C,Working!P$4,Data!$F:$F,port0201!$B$9),3)))</f>
        <v>40856.232000000004</v>
      </c>
      <c r="Q22" s="151">
        <f>IF(port0201!$B$9="All Routes",IF(port0201!$B$8="TEU","z",ROUND(SUMIFS(CHOOSE(VLOOKUP(port0201!$B$8,Lookup!$A$1:$B$3,2,FALSE),Data!$D:$D,Data!$E:$E,Data!$G:$G),Data!$A:$A,Working!Q$5,Data!$B:$B,Working!$B22,Data!$C:$C,Working!Q$4,Data!$H:$H,1),3)),IF(port0201!$B$8="TEU","z",ROUND(SUMIFS(CHOOSE(VLOOKUP(port0201!$B$8,Lookup!$A$1:$B$3,2,FALSE),Data!$D:$D,Data!$E:$E,Data!$H:$H),Data!$A:$A,Working!Q$5,Data!$B:$B,Working!$B22,Data!$C:$C,Working!Q$4,Data!$F:$F,port0201!$B$9),3)))</f>
        <v>41721.222000000002</v>
      </c>
      <c r="R22" s="151">
        <f>IF(port0201!$B$9="All Routes",IF(port0201!$B$8="TEU","z",ROUND(SUMIFS(CHOOSE(VLOOKUP(port0201!$B$8,Lookup!$A$1:$B$3,2,FALSE),Data!$D:$D,Data!$E:$E,Data!$G:$G),Data!$A:$A,Working!R$5,Data!$B:$B,Working!$B22,Data!$C:$C,Working!R$4,Data!$H:$H,1),3)),IF(port0201!$B$8="TEU","z",ROUND(SUMIFS(CHOOSE(VLOOKUP(port0201!$B$8,Lookup!$A$1:$B$3,2,FALSE),Data!$D:$D,Data!$E:$E,Data!$H:$H),Data!$A:$A,Working!R$5,Data!$B:$B,Working!$B22,Data!$C:$C,Working!R$4,Data!$F:$F,port0201!$B$9),3)))</f>
        <v>44199.593000000001</v>
      </c>
      <c r="S22" s="151">
        <f>IF(port0201!$B$9="All Routes",IF(port0201!$B$8="TEU","z",ROUND(SUMIFS(CHOOSE(VLOOKUP(port0201!$B$8,Lookup!$A$1:$B$3,2,FALSE),Data!$D:$D,Data!$E:$E,Data!$G:$G),Data!$A:$A,Working!S$5,Data!$B:$B,Working!$B22,Data!$C:$C,Working!S$4,Data!$H:$H,1),3)),IF(port0201!$B$8="TEU","z",ROUND(SUMIFS(CHOOSE(VLOOKUP(port0201!$B$8,Lookup!$A$1:$B$3,2,FALSE),Data!$D:$D,Data!$E:$E,Data!$H:$H),Data!$A:$A,Working!S$5,Data!$B:$B,Working!$B22,Data!$C:$C,Working!S$4,Data!$F:$F,port0201!$B$9),3)))</f>
        <v>45878.642999999996</v>
      </c>
      <c r="T22" s="151">
        <f>IF(port0201!$B$9="All Routes",IF(port0201!$B$8="TEU","z",ROUND(SUMIFS(CHOOSE(VLOOKUP(port0201!$B$8,Lookup!$A$1:$B$3,2,FALSE),Data!$D:$D,Data!$E:$E,Data!$G:$G),Data!$A:$A,Working!T$5,Data!$B:$B,Working!$B22,Data!$C:$C,Working!T$4,Data!$H:$H,1),3)),IF(port0201!$B$8="TEU","z",ROUND(SUMIFS(CHOOSE(VLOOKUP(port0201!$B$8,Lookup!$A$1:$B$3,2,FALSE),Data!$D:$D,Data!$E:$E,Data!$H:$H),Data!$A:$A,Working!T$5,Data!$B:$B,Working!$B22,Data!$C:$C,Working!T$4,Data!$F:$F,port0201!$B$9),3)))</f>
        <v>46968.252</v>
      </c>
      <c r="U22" s="151">
        <f>IF(port0201!$B$9="All Routes",IF(port0201!$B$8="TEU","z",ROUND(SUMIFS(CHOOSE(VLOOKUP(port0201!$B$8,Lookup!$A$1:$B$3,2,FALSE),Data!$D:$D,Data!$E:$E,Data!$G:$G),Data!$A:$A,Working!U$5,Data!$B:$B,Working!$B22,Data!$C:$C,Working!U$4,Data!$H:$H,1),3)),IF(port0201!$B$8="TEU","z",ROUND(SUMIFS(CHOOSE(VLOOKUP(port0201!$B$8,Lookup!$A$1:$B$3,2,FALSE),Data!$D:$D,Data!$E:$E,Data!$H:$H),Data!$A:$A,Working!U$5,Data!$B:$B,Working!$B22,Data!$C:$C,Working!U$4,Data!$F:$F,port0201!$B$9),3)))</f>
        <v>46445.061000000002</v>
      </c>
      <c r="V22" s="151">
        <f>IF(port0201!$B$9="All Routes",IF(port0201!$B$8="TEU","z",ROUND(SUMIFS(CHOOSE(VLOOKUP(port0201!$B$8,Lookup!$A$1:$B$3,2,FALSE),Data!$D:$D,Data!$E:$E,Data!$G:$G),Data!$A:$A,Working!V$5,Data!$B:$B,Working!$B22,Data!$C:$C,Working!V$4,Data!$H:$H,1),3)),IF(port0201!$B$8="TEU","z",ROUND(SUMIFS(CHOOSE(VLOOKUP(port0201!$B$8,Lookup!$A$1:$B$3,2,FALSE),Data!$D:$D,Data!$E:$E,Data!$H:$H),Data!$A:$A,Working!V$5,Data!$B:$B,Working!$B22,Data!$C:$C,Working!V$4,Data!$F:$F,port0201!$B$9),3)))</f>
        <v>44560.067000000003</v>
      </c>
      <c r="W22" s="151">
        <f>IF(port0201!$B$9="All Routes",IF(port0201!$B$8="TEU","z",ROUND(SUMIFS(CHOOSE(VLOOKUP(port0201!$B$8,Lookup!$A$1:$B$3,2,FALSE),Data!$D:$D,Data!$E:$E,Data!$G:$G),Data!$A:$A,Working!W$5,Data!$B:$B,Working!$B22,Data!$C:$C,Working!W$4,Data!$H:$H,1),3)),IF(port0201!$B$8="TEU","z",ROUND(SUMIFS(CHOOSE(VLOOKUP(port0201!$B$8,Lookup!$A$1:$B$3,2,FALSE),Data!$D:$D,Data!$E:$E,Data!$H:$H),Data!$A:$A,Working!W$5,Data!$B:$B,Working!$B22,Data!$C:$C,Working!W$4,Data!$F:$F,port0201!$B$9),3)))</f>
        <v>43326.970999999998</v>
      </c>
      <c r="X22" s="151">
        <f>IF(port0201!$B$9="All Routes",IF(port0201!$B$8="TEU","z",ROUND(SUMIFS(CHOOSE(VLOOKUP(port0201!$B$8,Lookup!$A$1:$B$3,2,FALSE),Data!$D:$D,Data!$E:$E,Data!$G:$G),Data!$A:$A,Working!X$5,Data!$B:$B,Working!$B22,Data!$C:$C,Working!X$4,Data!$H:$H,1),3)),IF(port0201!$B$8="TEU","z",ROUND(SUMIFS(CHOOSE(VLOOKUP(port0201!$B$8,Lookup!$A$1:$B$3,2,FALSE),Data!$D:$D,Data!$E:$E,Data!$H:$H),Data!$A:$A,Working!X$5,Data!$B:$B,Working!$B22,Data!$C:$C,Working!X$4,Data!$F:$F,port0201!$B$9),3)))</f>
        <v>39703.31</v>
      </c>
      <c r="Y22" s="151">
        <f>IF(port0201!$B$9="All Routes",IF(port0201!$B$8="TEU","z",ROUND(SUMIFS(CHOOSE(VLOOKUP(port0201!$B$8,Lookup!$A$1:$B$3,2,FALSE),Data!$D:$D,Data!$E:$E,Data!$G:$G),Data!$A:$A,Working!Y$5,Data!$B:$B,Working!$B22,Data!$C:$C,Working!Y$4,Data!$H:$H,1),3)),IF(port0201!$B$8="TEU","z",ROUND(SUMIFS(CHOOSE(VLOOKUP(port0201!$B$8,Lookup!$A$1:$B$3,2,FALSE),Data!$D:$D,Data!$E:$E,Data!$H:$H),Data!$A:$A,Working!Y$5,Data!$B:$B,Working!$B22,Data!$C:$C,Working!Y$4,Data!$F:$F,port0201!$B$9),3)))</f>
        <v>35052.752999999997</v>
      </c>
      <c r="Z22" s="151">
        <f>IF(port0201!$B$9="All Routes",IF(port0201!$B$8="TEU","z",ROUND(SUMIFS(CHOOSE(VLOOKUP(port0201!$B$8,Lookup!$A$1:$B$3,2,FALSE),Data!$D:$D,Data!$E:$E,Data!$G:$G),Data!$A:$A,Working!Z$5,Data!$B:$B,Working!$B22,Data!$C:$C,Working!Z$4,Data!$H:$H,1),3)),IF(port0201!$B$8="TEU","z",ROUND(SUMIFS(CHOOSE(VLOOKUP(port0201!$B$8,Lookup!$A$1:$B$3,2,FALSE),Data!$D:$D,Data!$E:$E,Data!$H:$H),Data!$A:$A,Working!Z$5,Data!$B:$B,Working!$B22,Data!$C:$C,Working!Z$4,Data!$F:$F,port0201!$B$9),3)))</f>
        <v>35288.623</v>
      </c>
      <c r="AA22" s="151">
        <f>IF(port0201!$B$9="All Routes",IF(port0201!$B$8="TEU","z",ROUND(SUMIFS(CHOOSE(VLOOKUP(port0201!$B$8,Lookup!$A$1:$B$3,2,FALSE),Data!$D:$D,Data!$E:$E,Data!$G:$G),Data!$A:$A,Working!AA$5,Data!$B:$B,Working!$B22,Data!$C:$C,Working!AA$4,Data!$H:$H,1),3)),IF(port0201!$B$8="TEU","z",ROUND(SUMIFS(CHOOSE(VLOOKUP(port0201!$B$8,Lookup!$A$1:$B$3,2,FALSE),Data!$D:$D,Data!$E:$E,Data!$H:$H),Data!$A:$A,Working!AA$5,Data!$B:$B,Working!$B22,Data!$C:$C,Working!AA$4,Data!$F:$F,port0201!$B$9),3)))</f>
        <v>36890.400999999998</v>
      </c>
      <c r="AB22" s="151">
        <f>IF(port0201!$B$9="All Routes",IF(port0201!$B$8="TEU","z",ROUND(SUMIFS(CHOOSE(VLOOKUP(port0201!$B$8,Lookup!$A$1:$B$3,2,FALSE),Data!$D:$D,Data!$E:$E,Data!$G:$G),Data!$A:$A,Working!AB$5,Data!$B:$B,Working!$B22,Data!$C:$C,Working!AB$4,Data!$H:$H,1),3)),IF(port0201!$B$8="TEU","z",ROUND(SUMIFS(CHOOSE(VLOOKUP(port0201!$B$8,Lookup!$A$1:$B$3,2,FALSE),Data!$D:$D,Data!$E:$E,Data!$H:$H),Data!$A:$A,Working!AB$5,Data!$B:$B,Working!$B22,Data!$C:$C,Working!AB$4,Data!$F:$F,port0201!$B$9),3)))</f>
        <v>36813.275999999998</v>
      </c>
      <c r="AC22" s="151">
        <f>IF(port0201!$B$9="All Routes",IF(port0201!$B$8="TEU","z",ROUND(SUMIFS(CHOOSE(VLOOKUP(port0201!$B$8,Lookup!$A$1:$B$3,2,FALSE),Data!$D:$D,Data!$E:$E,Data!$G:$G),Data!$A:$A,Working!AC$5,Data!$B:$B,Working!$B22,Data!$C:$C,Working!AC$4,Data!$H:$H,1),3)),IF(port0201!$B$8="TEU","z",ROUND(SUMIFS(CHOOSE(VLOOKUP(port0201!$B$8,Lookup!$A$1:$B$3,2,FALSE),Data!$D:$D,Data!$E:$E,Data!$H:$H),Data!$A:$A,Working!AC$5,Data!$B:$B,Working!$B22,Data!$C:$C,Working!AC$4,Data!$F:$F,port0201!$B$9),3)))</f>
        <v>37403.712</v>
      </c>
      <c r="AD22" s="133"/>
      <c r="AE22" s="127">
        <f t="shared" si="0"/>
        <v>1.603867039706006E-2</v>
      </c>
      <c r="AF22" s="112">
        <f t="shared" si="1"/>
        <v>590.43600000000151</v>
      </c>
      <c r="AG22" s="133"/>
      <c r="AH22" s="133"/>
      <c r="AI22" s="133"/>
      <c r="AJ22" s="125">
        <f t="shared" si="2"/>
        <v>-77.125</v>
      </c>
      <c r="AK22" s="126">
        <f t="shared" si="3"/>
        <v>-2.0906522539562529E-3</v>
      </c>
    </row>
    <row r="23" spans="1:37" ht="14">
      <c r="A23" s="144" t="s">
        <v>166</v>
      </c>
      <c r="B23" s="119">
        <v>61</v>
      </c>
      <c r="C23" s="152" t="s">
        <v>85</v>
      </c>
      <c r="D23" s="151">
        <f>IF(port0201!$B$9="All Routes",IF(port0201!$B$8="TEU","z",ROUND(SUMIFS(CHOOSE(VLOOKUP(port0201!$B$8,Lookup!$A$1:$B$3,2,FALSE),Data!$D:$D,Data!$E:$E,Data!$G:$G),Data!$A:$A,Working!D$5,Data!$B:$B,Working!$B23,Data!$C:$C,Working!D$4,Data!$H:$H,1),3)),IF(port0201!$B$8="TEU","z",ROUND(SUMIFS(CHOOSE(VLOOKUP(port0201!$B$8,Lookup!$A$1:$B$3,2,FALSE),Data!$D:$D,Data!$E:$E,Data!$H:$H),Data!$A:$A,Working!D$5,Data!$B:$B,Working!$B23,Data!$C:$C,Working!D$4,Data!$F:$F,port0201!$B$9),3)))</f>
        <v>38250.084999999999</v>
      </c>
      <c r="E23" s="151">
        <f>IF(port0201!$B$9="All Routes",IF(port0201!$B$8="TEU","z",ROUND(SUMIFS(CHOOSE(VLOOKUP(port0201!$B$8,Lookup!$A$1:$B$3,2,FALSE),Data!$D:$D,Data!$E:$E,Data!$G:$G),Data!$A:$A,Working!E$5,Data!$B:$B,Working!$B23,Data!$C:$C,Working!E$4,Data!$H:$H,1),3)),IF(port0201!$B$8="TEU","z",ROUND(SUMIFS(CHOOSE(VLOOKUP(port0201!$B$8,Lookup!$A$1:$B$3,2,FALSE),Data!$D:$D,Data!$E:$E,Data!$H:$H),Data!$A:$A,Working!E$5,Data!$B:$B,Working!$B23,Data!$C:$C,Working!E$4,Data!$F:$F,port0201!$B$9),3)))</f>
        <v>35198.663999999997</v>
      </c>
      <c r="F23" s="151">
        <f>IF(port0201!$B$9="All Routes",IF(port0201!$B$8="TEU","z",ROUND(SUMIFS(CHOOSE(VLOOKUP(port0201!$B$8,Lookup!$A$1:$B$3,2,FALSE),Data!$D:$D,Data!$E:$E,Data!$G:$G),Data!$A:$A,Working!F$5,Data!$B:$B,Working!$B23,Data!$C:$C,Working!F$4,Data!$H:$H,1),3)),IF(port0201!$B$8="TEU","z",ROUND(SUMIFS(CHOOSE(VLOOKUP(port0201!$B$8,Lookup!$A$1:$B$3,2,FALSE),Data!$D:$D,Data!$E:$E,Data!$H:$H),Data!$A:$A,Working!F$5,Data!$B:$B,Working!$B23,Data!$C:$C,Working!F$4,Data!$F:$F,port0201!$B$9),3)))</f>
        <v>35990.328999999998</v>
      </c>
      <c r="G23" s="151">
        <f>IF(port0201!$B$9="All Routes",IF(port0201!$B$8="TEU","z",ROUND(SUMIFS(CHOOSE(VLOOKUP(port0201!$B$8,Lookup!$A$1:$B$3,2,FALSE),Data!$D:$D,Data!$E:$E,Data!$G:$G),Data!$A:$A,Working!G$5,Data!$B:$B,Working!$B23,Data!$C:$C,Working!G$4,Data!$H:$H,1),3)),IF(port0201!$B$8="TEU","z",ROUND(SUMIFS(CHOOSE(VLOOKUP(port0201!$B$8,Lookup!$A$1:$B$3,2,FALSE),Data!$D:$D,Data!$E:$E,Data!$H:$H),Data!$A:$A,Working!G$5,Data!$B:$B,Working!$B23,Data!$C:$C,Working!G$4,Data!$F:$F,port0201!$B$9),3)))</f>
        <v>36466.68</v>
      </c>
      <c r="H23" s="151">
        <f>IF(port0201!$B$9="All Routes",IF(port0201!$B$8="TEU","z",ROUND(SUMIFS(CHOOSE(VLOOKUP(port0201!$B$8,Lookup!$A$1:$B$3,2,FALSE),Data!$D:$D,Data!$E:$E,Data!$G:$G),Data!$A:$A,Working!H$5,Data!$B:$B,Working!$B23,Data!$C:$C,Working!H$4,Data!$H:$H,1),3)),IF(port0201!$B$8="TEU","z",ROUND(SUMIFS(CHOOSE(VLOOKUP(port0201!$B$8,Lookup!$A$1:$B$3,2,FALSE),Data!$D:$D,Data!$E:$E,Data!$H:$H),Data!$A:$A,Working!H$5,Data!$B:$B,Working!$B23,Data!$C:$C,Working!H$4,Data!$F:$F,port0201!$B$9),3)))</f>
        <v>37675.476999999999</v>
      </c>
      <c r="I23" s="151">
        <f>IF(port0201!$B$9="All Routes",IF(port0201!$B$8="TEU","z",ROUND(SUMIFS(CHOOSE(VLOOKUP(port0201!$B$8,Lookup!$A$1:$B$3,2,FALSE),Data!$D:$D,Data!$E:$E,Data!$G:$G),Data!$A:$A,Working!I$5,Data!$B:$B,Working!$B23,Data!$C:$C,Working!I$4,Data!$H:$H,1),3)),IF(port0201!$B$8="TEU","z",ROUND(SUMIFS(CHOOSE(VLOOKUP(port0201!$B$8,Lookup!$A$1:$B$3,2,FALSE),Data!$D:$D,Data!$E:$E,Data!$H:$H),Data!$A:$A,Working!I$5,Data!$B:$B,Working!$B23,Data!$C:$C,Working!I$4,Data!$F:$F,port0201!$B$9),3)))</f>
        <v>38236.451000000001</v>
      </c>
      <c r="J23" s="151">
        <f>IF(port0201!$B$9="All Routes",IF(port0201!$B$8="TEU","z",ROUND(SUMIFS(CHOOSE(VLOOKUP(port0201!$B$8,Lookup!$A$1:$B$3,2,FALSE),Data!$D:$D,Data!$E:$E,Data!$G:$G),Data!$A:$A,Working!J$5,Data!$B:$B,Working!$B23,Data!$C:$C,Working!J$4,Data!$H:$H,1),3)),IF(port0201!$B$8="TEU","z",ROUND(SUMIFS(CHOOSE(VLOOKUP(port0201!$B$8,Lookup!$A$1:$B$3,2,FALSE),Data!$D:$D,Data!$E:$E,Data!$H:$H),Data!$A:$A,Working!J$5,Data!$B:$B,Working!$B23,Data!$C:$C,Working!J$4,Data!$F:$F,port0201!$B$9),3)))</f>
        <v>39275.839</v>
      </c>
      <c r="K23" s="151">
        <f>IF(port0201!$B$9="All Routes",IF(port0201!$B$8="TEU","z",ROUND(SUMIFS(CHOOSE(VLOOKUP(port0201!$B$8,Lookup!$A$1:$B$3,2,FALSE),Data!$D:$D,Data!$E:$E,Data!$G:$G),Data!$A:$A,Working!K$5,Data!$B:$B,Working!$B23,Data!$C:$C,Working!K$4,Data!$H:$H,1),3)),IF(port0201!$B$8="TEU","z",ROUND(SUMIFS(CHOOSE(VLOOKUP(port0201!$B$8,Lookup!$A$1:$B$3,2,FALSE),Data!$D:$D,Data!$E:$E,Data!$H:$H),Data!$A:$A,Working!K$5,Data!$B:$B,Working!$B23,Data!$C:$C,Working!K$4,Data!$F:$F,port0201!$B$9),3)))</f>
        <v>38011.873</v>
      </c>
      <c r="L23" s="151">
        <f>IF(port0201!$B$9="All Routes",IF(port0201!$B$8="TEU","z",ROUND(SUMIFS(CHOOSE(VLOOKUP(port0201!$B$8,Lookup!$A$1:$B$3,2,FALSE),Data!$D:$D,Data!$E:$E,Data!$G:$G),Data!$A:$A,Working!L$5,Data!$B:$B,Working!$B23,Data!$C:$C,Working!L$4,Data!$H:$H,1),3)),IF(port0201!$B$8="TEU","z",ROUND(SUMIFS(CHOOSE(VLOOKUP(port0201!$B$8,Lookup!$A$1:$B$3,2,FALSE),Data!$D:$D,Data!$E:$E,Data!$H:$H),Data!$A:$A,Working!L$5,Data!$B:$B,Working!$B23,Data!$C:$C,Working!L$4,Data!$F:$F,port0201!$B$9),3)))</f>
        <v>35535.14</v>
      </c>
      <c r="M23" s="151">
        <f>IF(port0201!$B$9="All Routes",IF(port0201!$B$8="TEU","z",ROUND(SUMIFS(CHOOSE(VLOOKUP(port0201!$B$8,Lookup!$A$1:$B$3,2,FALSE),Data!$D:$D,Data!$E:$E,Data!$G:$G),Data!$A:$A,Working!M$5,Data!$B:$B,Working!$B23,Data!$C:$C,Working!M$4,Data!$H:$H,1),3)),IF(port0201!$B$8="TEU","z",ROUND(SUMIFS(CHOOSE(VLOOKUP(port0201!$B$8,Lookup!$A$1:$B$3,2,FALSE),Data!$D:$D,Data!$E:$E,Data!$H:$H),Data!$A:$A,Working!M$5,Data!$B:$B,Working!$B23,Data!$C:$C,Working!M$4,Data!$F:$F,port0201!$B$9),3)))</f>
        <v>33705.485999999997</v>
      </c>
      <c r="N23" s="151">
        <f>IF(port0201!$B$9="All Routes",IF(port0201!$B$8="TEU","z",ROUND(SUMIFS(CHOOSE(VLOOKUP(port0201!$B$8,Lookup!$A$1:$B$3,2,FALSE),Data!$D:$D,Data!$E:$E,Data!$G:$G),Data!$A:$A,Working!N$5,Data!$B:$B,Working!$B23,Data!$C:$C,Working!N$4,Data!$H:$H,1),3)),IF(port0201!$B$8="TEU","z",ROUND(SUMIFS(CHOOSE(VLOOKUP(port0201!$B$8,Lookup!$A$1:$B$3,2,FALSE),Data!$D:$D,Data!$E:$E,Data!$H:$H),Data!$A:$A,Working!N$5,Data!$B:$B,Working!$B23,Data!$C:$C,Working!N$4,Data!$F:$F,port0201!$B$9),3)))</f>
        <v>36540.167999999998</v>
      </c>
      <c r="O23" s="151">
        <f>IF(port0201!$B$9="All Routes",IF(port0201!$B$8="TEU","z",ROUND(SUMIFS(CHOOSE(VLOOKUP(port0201!$B$8,Lookup!$A$1:$B$3,2,FALSE),Data!$D:$D,Data!$E:$E,Data!$G:$G),Data!$A:$A,Working!O$5,Data!$B:$B,Working!$B23,Data!$C:$C,Working!O$4,Data!$H:$H,1),3)),IF(port0201!$B$8="TEU","z",ROUND(SUMIFS(CHOOSE(VLOOKUP(port0201!$B$8,Lookup!$A$1:$B$3,2,FALSE),Data!$D:$D,Data!$E:$E,Data!$H:$H),Data!$A:$A,Working!O$5,Data!$B:$B,Working!$B23,Data!$C:$C,Working!O$4,Data!$F:$F,port0201!$B$9),3)))</f>
        <v>37922.582999999999</v>
      </c>
      <c r="P23" s="151">
        <f>IF(port0201!$B$9="All Routes",IF(port0201!$B$8="TEU","z",ROUND(SUMIFS(CHOOSE(VLOOKUP(port0201!$B$8,Lookup!$A$1:$B$3,2,FALSE),Data!$D:$D,Data!$E:$E,Data!$G:$G),Data!$A:$A,Working!P$5,Data!$B:$B,Working!$B23,Data!$C:$C,Working!P$4,Data!$H:$H,1),3)),IF(port0201!$B$8="TEU","z",ROUND(SUMIFS(CHOOSE(VLOOKUP(port0201!$B$8,Lookup!$A$1:$B$3,2,FALSE),Data!$D:$D,Data!$E:$E,Data!$H:$H),Data!$A:$A,Working!P$5,Data!$B:$B,Working!$B23,Data!$C:$C,Working!P$4,Data!$F:$F,port0201!$B$9),3)))</f>
        <v>36903.873</v>
      </c>
      <c r="Q23" s="151">
        <f>IF(port0201!$B$9="All Routes",IF(port0201!$B$8="TEU","z",ROUND(SUMIFS(CHOOSE(VLOOKUP(port0201!$B$8,Lookup!$A$1:$B$3,2,FALSE),Data!$D:$D,Data!$E:$E,Data!$G:$G),Data!$A:$A,Working!Q$5,Data!$B:$B,Working!$B23,Data!$C:$C,Working!Q$4,Data!$H:$H,1),3)),IF(port0201!$B$8="TEU","z",ROUND(SUMIFS(CHOOSE(VLOOKUP(port0201!$B$8,Lookup!$A$1:$B$3,2,FALSE),Data!$D:$D,Data!$E:$E,Data!$H:$H),Data!$A:$A,Working!Q$5,Data!$B:$B,Working!$B23,Data!$C:$C,Working!Q$4,Data!$F:$F,port0201!$B$9),3)))</f>
        <v>36867.919999999998</v>
      </c>
      <c r="R23" s="151">
        <f>IF(port0201!$B$9="All Routes",IF(port0201!$B$8="TEU","z",ROUND(SUMIFS(CHOOSE(VLOOKUP(port0201!$B$8,Lookup!$A$1:$B$3,2,FALSE),Data!$D:$D,Data!$E:$E,Data!$G:$G),Data!$A:$A,Working!R$5,Data!$B:$B,Working!$B23,Data!$C:$C,Working!R$4,Data!$H:$H,1),3)),IF(port0201!$B$8="TEU","z",ROUND(SUMIFS(CHOOSE(VLOOKUP(port0201!$B$8,Lookup!$A$1:$B$3,2,FALSE),Data!$D:$D,Data!$E:$E,Data!$H:$H),Data!$A:$A,Working!R$5,Data!$B:$B,Working!$B23,Data!$C:$C,Working!R$4,Data!$F:$F,port0201!$B$9),3)))</f>
        <v>38593.762000000002</v>
      </c>
      <c r="S23" s="151">
        <f>IF(port0201!$B$9="All Routes",IF(port0201!$B$8="TEU","z",ROUND(SUMIFS(CHOOSE(VLOOKUP(port0201!$B$8,Lookup!$A$1:$B$3,2,FALSE),Data!$D:$D,Data!$E:$E,Data!$G:$G),Data!$A:$A,Working!S$5,Data!$B:$B,Working!$B23,Data!$C:$C,Working!S$4,Data!$H:$H,1),3)),IF(port0201!$B$8="TEU","z",ROUND(SUMIFS(CHOOSE(VLOOKUP(port0201!$B$8,Lookup!$A$1:$B$3,2,FALSE),Data!$D:$D,Data!$E:$E,Data!$H:$H),Data!$A:$A,Working!S$5,Data!$B:$B,Working!$B23,Data!$C:$C,Working!S$4,Data!$F:$F,port0201!$B$9),3)))</f>
        <v>40737.415999999997</v>
      </c>
      <c r="T23" s="151">
        <f>IF(port0201!$B$9="All Routes",IF(port0201!$B$8="TEU","z",ROUND(SUMIFS(CHOOSE(VLOOKUP(port0201!$B$8,Lookup!$A$1:$B$3,2,FALSE),Data!$D:$D,Data!$E:$E,Data!$G:$G),Data!$A:$A,Working!T$5,Data!$B:$B,Working!$B23,Data!$C:$C,Working!T$4,Data!$H:$H,1),3)),IF(port0201!$B$8="TEU","z",ROUND(SUMIFS(CHOOSE(VLOOKUP(port0201!$B$8,Lookup!$A$1:$B$3,2,FALSE),Data!$D:$D,Data!$E:$E,Data!$H:$H),Data!$A:$A,Working!T$5,Data!$B:$B,Working!$B23,Data!$C:$C,Working!T$4,Data!$F:$F,port0201!$B$9),3)))</f>
        <v>42303.214</v>
      </c>
      <c r="U23" s="151">
        <f>IF(port0201!$B$9="All Routes",IF(port0201!$B$8="TEU","z",ROUND(SUMIFS(CHOOSE(VLOOKUP(port0201!$B$8,Lookup!$A$1:$B$3,2,FALSE),Data!$D:$D,Data!$E:$E,Data!$G:$G),Data!$A:$A,Working!U$5,Data!$B:$B,Working!$B23,Data!$C:$C,Working!U$4,Data!$H:$H,1),3)),IF(port0201!$B$8="TEU","z",ROUND(SUMIFS(CHOOSE(VLOOKUP(port0201!$B$8,Lookup!$A$1:$B$3,2,FALSE),Data!$D:$D,Data!$E:$E,Data!$H:$H),Data!$A:$A,Working!U$5,Data!$B:$B,Working!$B23,Data!$C:$C,Working!U$4,Data!$F:$F,port0201!$B$9),3)))</f>
        <v>43948.228999999999</v>
      </c>
      <c r="V23" s="151">
        <f>IF(port0201!$B$9="All Routes",IF(port0201!$B$8="TEU","z",ROUND(SUMIFS(CHOOSE(VLOOKUP(port0201!$B$8,Lookup!$A$1:$B$3,2,FALSE),Data!$D:$D,Data!$E:$E,Data!$G:$G),Data!$A:$A,Working!V$5,Data!$B:$B,Working!$B23,Data!$C:$C,Working!V$4,Data!$H:$H,1),3)),IF(port0201!$B$8="TEU","z",ROUND(SUMIFS(CHOOSE(VLOOKUP(port0201!$B$8,Lookup!$A$1:$B$3,2,FALSE),Data!$D:$D,Data!$E:$E,Data!$H:$H),Data!$A:$A,Working!V$5,Data!$B:$B,Working!$B23,Data!$C:$C,Working!V$4,Data!$F:$F,port0201!$B$9),3)))</f>
        <v>45998.588000000003</v>
      </c>
      <c r="W23" s="151">
        <f>IF(port0201!$B$9="All Routes",IF(port0201!$B$8="TEU","z",ROUND(SUMIFS(CHOOSE(VLOOKUP(port0201!$B$8,Lookup!$A$1:$B$3,2,FALSE),Data!$D:$D,Data!$E:$E,Data!$G:$G),Data!$A:$A,Working!W$5,Data!$B:$B,Working!$B23,Data!$C:$C,Working!W$4,Data!$H:$H,1),3)),IF(port0201!$B$8="TEU","z",ROUND(SUMIFS(CHOOSE(VLOOKUP(port0201!$B$8,Lookup!$A$1:$B$3,2,FALSE),Data!$D:$D,Data!$E:$E,Data!$H:$H),Data!$A:$A,Working!W$5,Data!$B:$B,Working!$B23,Data!$C:$C,Working!W$4,Data!$F:$F,port0201!$B$9),3)))</f>
        <v>44906.817000000003</v>
      </c>
      <c r="X23" s="151">
        <f>IF(port0201!$B$9="All Routes",IF(port0201!$B$8="TEU","z",ROUND(SUMIFS(CHOOSE(VLOOKUP(port0201!$B$8,Lookup!$A$1:$B$3,2,FALSE),Data!$D:$D,Data!$E:$E,Data!$G:$G),Data!$A:$A,Working!X$5,Data!$B:$B,Working!$B23,Data!$C:$C,Working!X$4,Data!$H:$H,1),3)),IF(port0201!$B$8="TEU","z",ROUND(SUMIFS(CHOOSE(VLOOKUP(port0201!$B$8,Lookup!$A$1:$B$3,2,FALSE),Data!$D:$D,Data!$E:$E,Data!$H:$H),Data!$A:$A,Working!X$5,Data!$B:$B,Working!$B23,Data!$C:$C,Working!X$4,Data!$F:$F,port0201!$B$9),3)))</f>
        <v>45375.603000000003</v>
      </c>
      <c r="Y23" s="151">
        <f>IF(port0201!$B$9="All Routes",IF(port0201!$B$8="TEU","z",ROUND(SUMIFS(CHOOSE(VLOOKUP(port0201!$B$8,Lookup!$A$1:$B$3,2,FALSE),Data!$D:$D,Data!$E:$E,Data!$G:$G),Data!$A:$A,Working!Y$5,Data!$B:$B,Working!$B23,Data!$C:$C,Working!Y$4,Data!$H:$H,1),3)),IF(port0201!$B$8="TEU","z",ROUND(SUMIFS(CHOOSE(VLOOKUP(port0201!$B$8,Lookup!$A$1:$B$3,2,FALSE),Data!$D:$D,Data!$E:$E,Data!$H:$H),Data!$A:$A,Working!Y$5,Data!$B:$B,Working!$B23,Data!$C:$C,Working!Y$4,Data!$F:$F,port0201!$B$9),3)))</f>
        <v>48843.908000000003</v>
      </c>
      <c r="Z23" s="151">
        <f>IF(port0201!$B$9="All Routes",IF(port0201!$B$8="TEU","z",ROUND(SUMIFS(CHOOSE(VLOOKUP(port0201!$B$8,Lookup!$A$1:$B$3,2,FALSE),Data!$D:$D,Data!$E:$E,Data!$G:$G),Data!$A:$A,Working!Z$5,Data!$B:$B,Working!$B23,Data!$C:$C,Working!Z$4,Data!$H:$H,1),3)),IF(port0201!$B$8="TEU","z",ROUND(SUMIFS(CHOOSE(VLOOKUP(port0201!$B$8,Lookup!$A$1:$B$3,2,FALSE),Data!$D:$D,Data!$E:$E,Data!$H:$H),Data!$A:$A,Working!Z$5,Data!$B:$B,Working!$B23,Data!$C:$C,Working!Z$4,Data!$F:$F,port0201!$B$9),3)))</f>
        <v>51034.663999999997</v>
      </c>
      <c r="AA23" s="151">
        <f>IF(port0201!$B$9="All Routes",IF(port0201!$B$8="TEU","z",ROUND(SUMIFS(CHOOSE(VLOOKUP(port0201!$B$8,Lookup!$A$1:$B$3,2,FALSE),Data!$D:$D,Data!$E:$E,Data!$G:$G),Data!$A:$A,Working!AA$5,Data!$B:$B,Working!$B23,Data!$C:$C,Working!AA$4,Data!$H:$H,1),3)),IF(port0201!$B$8="TEU","z",ROUND(SUMIFS(CHOOSE(VLOOKUP(port0201!$B$8,Lookup!$A$1:$B$3,2,FALSE),Data!$D:$D,Data!$E:$E,Data!$H:$H),Data!$A:$A,Working!AA$5,Data!$B:$B,Working!$B23,Data!$C:$C,Working!AA$4,Data!$F:$F,port0201!$B$9),3)))</f>
        <v>47104.544000000002</v>
      </c>
      <c r="AB23" s="151">
        <f>IF(port0201!$B$9="All Routes",IF(port0201!$B$8="TEU","z",ROUND(SUMIFS(CHOOSE(VLOOKUP(port0201!$B$8,Lookup!$A$1:$B$3,2,FALSE),Data!$D:$D,Data!$E:$E,Data!$G:$G),Data!$A:$A,Working!AB$5,Data!$B:$B,Working!$B23,Data!$C:$C,Working!AB$4,Data!$H:$H,1),3)),IF(port0201!$B$8="TEU","z",ROUND(SUMIFS(CHOOSE(VLOOKUP(port0201!$B$8,Lookup!$A$1:$B$3,2,FALSE),Data!$D:$D,Data!$E:$E,Data!$H:$H),Data!$A:$A,Working!AB$5,Data!$B:$B,Working!$B23,Data!$C:$C,Working!AB$4,Data!$F:$F,port0201!$B$9),3)))</f>
        <v>47679.423999999999</v>
      </c>
      <c r="AC23" s="151">
        <f>IF(port0201!$B$9="All Routes",IF(port0201!$B$8="TEU","z",ROUND(SUMIFS(CHOOSE(VLOOKUP(port0201!$B$8,Lookup!$A$1:$B$3,2,FALSE),Data!$D:$D,Data!$E:$E,Data!$G:$G),Data!$A:$A,Working!AC$5,Data!$B:$B,Working!$B23,Data!$C:$C,Working!AC$4,Data!$H:$H,1),3)),IF(port0201!$B$8="TEU","z",ROUND(SUMIFS(CHOOSE(VLOOKUP(port0201!$B$8,Lookup!$A$1:$B$3,2,FALSE),Data!$D:$D,Data!$E:$E,Data!$H:$H),Data!$A:$A,Working!AC$5,Data!$B:$B,Working!$B23,Data!$C:$C,Working!AC$4,Data!$F:$F,port0201!$B$9),3)))</f>
        <v>46424.546999999999</v>
      </c>
      <c r="AD23" s="133"/>
      <c r="AE23" s="127">
        <f t="shared" si="0"/>
        <v>-2.6319046975064136E-2</v>
      </c>
      <c r="AF23" s="112">
        <f t="shared" si="1"/>
        <v>-1254.8770000000004</v>
      </c>
      <c r="AG23" s="133"/>
      <c r="AH23" s="133"/>
      <c r="AI23" s="133"/>
      <c r="AJ23" s="125">
        <f t="shared" si="2"/>
        <v>574.87999999999738</v>
      </c>
      <c r="AK23" s="126">
        <f t="shared" si="3"/>
        <v>1.2204342748758959E-2</v>
      </c>
    </row>
    <row r="24" spans="1:37" ht="14">
      <c r="A24" s="144" t="s">
        <v>166</v>
      </c>
      <c r="B24" s="119" t="s">
        <v>167</v>
      </c>
      <c r="C24" s="145" t="s">
        <v>86</v>
      </c>
      <c r="D24" s="153" t="str">
        <f>IF(port0201!$B$9="All Routes",IF(port0201!$B$8&lt;&gt;"Units","z",ROUND(SUMIFS(CHOOSE(VLOOKUP(port0201!$B$8,Lookup!$A$1:$B$3,2,FALSE),Data!$D:$D,Data!$E:$E,Data!$G:$G),Data!$A:$A,Working!D$5,Data!$B:$B,52,Data!$C:$C,Working!D$4,Data!$H:$H,1)+SUMIFS(CHOOSE(VLOOKUP(port0201!$B$8,Lookup!$A$1:$B$3,2,FALSE),Data!$D:$D,Data!$E:$E,Data!$G:$G),Data!$A:$A,Working!D$5,Data!$B:$B,53,Data!$C:$C,Working!D$4,Data!$H:$H,1),3)),IF(port0201!$B$8&lt;&gt;"Units","z",ROUND(SUMIFS(CHOOSE(VLOOKUP(port0201!$B$8,Lookup!$A$1:$B$3,2,FALSE),Data!$D:$D,Data!$E:$E,Data!$H:$H),Data!$A:$A,Working!D$5,Data!$B:$B,52,Data!$C:$C,Working!D$4,Data!$F:$F,port0201!$B$9)+SUMIFS(CHOOSE(VLOOKUP(port0201!$B$8,Lookup!$A$1:$B$3,2,FALSE),Data!$D:$D,Data!$E:$E,Data!$H:$H),Data!$A:$A,Working!D$5,Data!$B:$B,53,Data!$C:$C,Working!D$4,Data!$F:$F,port0201!$B$9),3)))</f>
        <v>z</v>
      </c>
      <c r="E24" s="153" t="str">
        <f>IF(port0201!$B$9="All Routes",IF(port0201!$B$8&lt;&gt;"Units","z",ROUND(SUMIFS(CHOOSE(VLOOKUP(port0201!$B$8,Lookup!$A$1:$B$3,2,FALSE),Data!$D:$D,Data!$E:$E,Data!$G:$G),Data!$A:$A,Working!E$5,Data!$B:$B,52,Data!$C:$C,Working!E$4,Data!$H:$H,1)+SUMIFS(CHOOSE(VLOOKUP(port0201!$B$8,Lookup!$A$1:$B$3,2,FALSE),Data!$D:$D,Data!$E:$E,Data!$G:$G),Data!$A:$A,Working!E$5,Data!$B:$B,53,Data!$C:$C,Working!E$4,Data!$H:$H,1),3)),IF(port0201!$B$8&lt;&gt;"Units","z",ROUND(SUMIFS(CHOOSE(VLOOKUP(port0201!$B$8,Lookup!$A$1:$B$3,2,FALSE),Data!$D:$D,Data!$E:$E,Data!$H:$H),Data!$A:$A,Working!E$5,Data!$B:$B,52,Data!$C:$C,Working!E$4,Data!$F:$F,port0201!$B$9)+SUMIFS(CHOOSE(VLOOKUP(port0201!$B$8,Lookup!$A$1:$B$3,2,FALSE),Data!$D:$D,Data!$E:$E,Data!$H:$H),Data!$A:$A,Working!E$5,Data!$B:$B,53,Data!$C:$C,Working!E$4,Data!$F:$F,port0201!$B$9),3)))</f>
        <v>z</v>
      </c>
      <c r="F24" s="153" t="str">
        <f>IF(port0201!$B$9="All Routes",IF(port0201!$B$8&lt;&gt;"Units","z",ROUND(SUMIFS(CHOOSE(VLOOKUP(port0201!$B$8,Lookup!$A$1:$B$3,2,FALSE),Data!$D:$D,Data!$E:$E,Data!$G:$G),Data!$A:$A,Working!F$5,Data!$B:$B,52,Data!$C:$C,Working!F$4,Data!$H:$H,1)+SUMIFS(CHOOSE(VLOOKUP(port0201!$B$8,Lookup!$A$1:$B$3,2,FALSE),Data!$D:$D,Data!$E:$E,Data!$G:$G),Data!$A:$A,Working!F$5,Data!$B:$B,53,Data!$C:$C,Working!F$4,Data!$H:$H,1),3)),IF(port0201!$B$8&lt;&gt;"Units","z",ROUND(SUMIFS(CHOOSE(VLOOKUP(port0201!$B$8,Lookup!$A$1:$B$3,2,FALSE),Data!$D:$D,Data!$E:$E,Data!$H:$H),Data!$A:$A,Working!F$5,Data!$B:$B,52,Data!$C:$C,Working!F$4,Data!$F:$F,port0201!$B$9)+SUMIFS(CHOOSE(VLOOKUP(port0201!$B$8,Lookup!$A$1:$B$3,2,FALSE),Data!$D:$D,Data!$E:$E,Data!$H:$H),Data!$A:$A,Working!F$5,Data!$B:$B,53,Data!$C:$C,Working!F$4,Data!$F:$F,port0201!$B$9),3)))</f>
        <v>z</v>
      </c>
      <c r="G24" s="153" t="str">
        <f>IF(port0201!$B$9="All Routes",IF(port0201!$B$8&lt;&gt;"Units","z",ROUND(SUMIFS(CHOOSE(VLOOKUP(port0201!$B$8,Lookup!$A$1:$B$3,2,FALSE),Data!$D:$D,Data!$E:$E,Data!$G:$G),Data!$A:$A,Working!G$5,Data!$B:$B,52,Data!$C:$C,Working!G$4,Data!$H:$H,1)+SUMIFS(CHOOSE(VLOOKUP(port0201!$B$8,Lookup!$A$1:$B$3,2,FALSE),Data!$D:$D,Data!$E:$E,Data!$G:$G),Data!$A:$A,Working!G$5,Data!$B:$B,53,Data!$C:$C,Working!G$4,Data!$H:$H,1),3)),IF(port0201!$B$8&lt;&gt;"Units","z",ROUND(SUMIFS(CHOOSE(VLOOKUP(port0201!$B$8,Lookup!$A$1:$B$3,2,FALSE),Data!$D:$D,Data!$E:$E,Data!$H:$H),Data!$A:$A,Working!G$5,Data!$B:$B,52,Data!$C:$C,Working!G$4,Data!$F:$F,port0201!$B$9)+SUMIFS(CHOOSE(VLOOKUP(port0201!$B$8,Lookup!$A$1:$B$3,2,FALSE),Data!$D:$D,Data!$E:$E,Data!$H:$H),Data!$A:$A,Working!G$5,Data!$B:$B,53,Data!$C:$C,Working!G$4,Data!$F:$F,port0201!$B$9),3)))</f>
        <v>z</v>
      </c>
      <c r="H24" s="153" t="str">
        <f>IF(port0201!$B$9="All Routes",IF(port0201!$B$8&lt;&gt;"Units","z",ROUND(SUMIFS(CHOOSE(VLOOKUP(port0201!$B$8,Lookup!$A$1:$B$3,2,FALSE),Data!$D:$D,Data!$E:$E,Data!$G:$G),Data!$A:$A,Working!H$5,Data!$B:$B,52,Data!$C:$C,Working!H$4,Data!$H:$H,1)+SUMIFS(CHOOSE(VLOOKUP(port0201!$B$8,Lookup!$A$1:$B$3,2,FALSE),Data!$D:$D,Data!$E:$E,Data!$G:$G),Data!$A:$A,Working!H$5,Data!$B:$B,53,Data!$C:$C,Working!H$4,Data!$H:$H,1),3)),IF(port0201!$B$8&lt;&gt;"Units","z",ROUND(SUMIFS(CHOOSE(VLOOKUP(port0201!$B$8,Lookup!$A$1:$B$3,2,FALSE),Data!$D:$D,Data!$E:$E,Data!$H:$H),Data!$A:$A,Working!H$5,Data!$B:$B,52,Data!$C:$C,Working!H$4,Data!$F:$F,port0201!$B$9)+SUMIFS(CHOOSE(VLOOKUP(port0201!$B$8,Lookup!$A$1:$B$3,2,FALSE),Data!$D:$D,Data!$E:$E,Data!$H:$H),Data!$A:$A,Working!H$5,Data!$B:$B,53,Data!$C:$C,Working!H$4,Data!$F:$F,port0201!$B$9),3)))</f>
        <v>z</v>
      </c>
      <c r="I24" s="153" t="str">
        <f>IF(port0201!$B$9="All Routes",IF(port0201!$B$8&lt;&gt;"Units","z",ROUND(SUMIFS(CHOOSE(VLOOKUP(port0201!$B$8,Lookup!$A$1:$B$3,2,FALSE),Data!$D:$D,Data!$E:$E,Data!$G:$G),Data!$A:$A,Working!I$5,Data!$B:$B,52,Data!$C:$C,Working!I$4,Data!$H:$H,1)+SUMIFS(CHOOSE(VLOOKUP(port0201!$B$8,Lookup!$A$1:$B$3,2,FALSE),Data!$D:$D,Data!$E:$E,Data!$G:$G),Data!$A:$A,Working!I$5,Data!$B:$B,53,Data!$C:$C,Working!I$4,Data!$H:$H,1),3)),IF(port0201!$B$8&lt;&gt;"Units","z",ROUND(SUMIFS(CHOOSE(VLOOKUP(port0201!$B$8,Lookup!$A$1:$B$3,2,FALSE),Data!$D:$D,Data!$E:$E,Data!$H:$H),Data!$A:$A,Working!I$5,Data!$B:$B,52,Data!$C:$C,Working!I$4,Data!$F:$F,port0201!$B$9)+SUMIFS(CHOOSE(VLOOKUP(port0201!$B$8,Lookup!$A$1:$B$3,2,FALSE),Data!$D:$D,Data!$E:$E,Data!$H:$H),Data!$A:$A,Working!I$5,Data!$B:$B,53,Data!$C:$C,Working!I$4,Data!$F:$F,port0201!$B$9),3)))</f>
        <v>z</v>
      </c>
      <c r="J24" s="153" t="str">
        <f>IF(port0201!$B$9="All Routes",IF(port0201!$B$8&lt;&gt;"Units","z",ROUND(SUMIFS(CHOOSE(VLOOKUP(port0201!$B$8,Lookup!$A$1:$B$3,2,FALSE),Data!$D:$D,Data!$E:$E,Data!$G:$G),Data!$A:$A,Working!J$5,Data!$B:$B,52,Data!$C:$C,Working!J$4,Data!$H:$H,1)+SUMIFS(CHOOSE(VLOOKUP(port0201!$B$8,Lookup!$A$1:$B$3,2,FALSE),Data!$D:$D,Data!$E:$E,Data!$G:$G),Data!$A:$A,Working!J$5,Data!$B:$B,53,Data!$C:$C,Working!J$4,Data!$H:$H,1),3)),IF(port0201!$B$8&lt;&gt;"Units","z",ROUND(SUMIFS(CHOOSE(VLOOKUP(port0201!$B$8,Lookup!$A$1:$B$3,2,FALSE),Data!$D:$D,Data!$E:$E,Data!$H:$H),Data!$A:$A,Working!J$5,Data!$B:$B,52,Data!$C:$C,Working!J$4,Data!$F:$F,port0201!$B$9)+SUMIFS(CHOOSE(VLOOKUP(port0201!$B$8,Lookup!$A$1:$B$3,2,FALSE),Data!$D:$D,Data!$E:$E,Data!$H:$H),Data!$A:$A,Working!J$5,Data!$B:$B,53,Data!$C:$C,Working!J$4,Data!$F:$F,port0201!$B$9),3)))</f>
        <v>z</v>
      </c>
      <c r="K24" s="153" t="str">
        <f>IF(port0201!$B$9="All Routes",IF(port0201!$B$8&lt;&gt;"Units","z",ROUND(SUMIFS(CHOOSE(VLOOKUP(port0201!$B$8,Lookup!$A$1:$B$3,2,FALSE),Data!$D:$D,Data!$E:$E,Data!$G:$G),Data!$A:$A,Working!K$5,Data!$B:$B,52,Data!$C:$C,Working!K$4,Data!$H:$H,1)+SUMIFS(CHOOSE(VLOOKUP(port0201!$B$8,Lookup!$A$1:$B$3,2,FALSE),Data!$D:$D,Data!$E:$E,Data!$G:$G),Data!$A:$A,Working!K$5,Data!$B:$B,53,Data!$C:$C,Working!K$4,Data!$H:$H,1),3)),IF(port0201!$B$8&lt;&gt;"Units","z",ROUND(SUMIFS(CHOOSE(VLOOKUP(port0201!$B$8,Lookup!$A$1:$B$3,2,FALSE),Data!$D:$D,Data!$E:$E,Data!$H:$H),Data!$A:$A,Working!K$5,Data!$B:$B,52,Data!$C:$C,Working!K$4,Data!$F:$F,port0201!$B$9)+SUMIFS(CHOOSE(VLOOKUP(port0201!$B$8,Lookup!$A$1:$B$3,2,FALSE),Data!$D:$D,Data!$E:$E,Data!$H:$H),Data!$A:$A,Working!K$5,Data!$B:$B,53,Data!$C:$C,Working!K$4,Data!$F:$F,port0201!$B$9),3)))</f>
        <v>z</v>
      </c>
      <c r="L24" s="153" t="str">
        <f>IF(port0201!$B$9="All Routes",IF(port0201!$B$8&lt;&gt;"Units","z",ROUND(SUMIFS(CHOOSE(VLOOKUP(port0201!$B$8,Lookup!$A$1:$B$3,2,FALSE),Data!$D:$D,Data!$E:$E,Data!$G:$G),Data!$A:$A,Working!L$5,Data!$B:$B,52,Data!$C:$C,Working!L$4,Data!$H:$H,1)+SUMIFS(CHOOSE(VLOOKUP(port0201!$B$8,Lookup!$A$1:$B$3,2,FALSE),Data!$D:$D,Data!$E:$E,Data!$G:$G),Data!$A:$A,Working!L$5,Data!$B:$B,53,Data!$C:$C,Working!L$4,Data!$H:$H,1),3)),IF(port0201!$B$8&lt;&gt;"Units","z",ROUND(SUMIFS(CHOOSE(VLOOKUP(port0201!$B$8,Lookup!$A$1:$B$3,2,FALSE),Data!$D:$D,Data!$E:$E,Data!$H:$H),Data!$A:$A,Working!L$5,Data!$B:$B,52,Data!$C:$C,Working!L$4,Data!$F:$F,port0201!$B$9)+SUMIFS(CHOOSE(VLOOKUP(port0201!$B$8,Lookup!$A$1:$B$3,2,FALSE),Data!$D:$D,Data!$E:$E,Data!$H:$H),Data!$A:$A,Working!L$5,Data!$B:$B,53,Data!$C:$C,Working!L$4,Data!$F:$F,port0201!$B$9),3)))</f>
        <v>z</v>
      </c>
      <c r="M24" s="153" t="str">
        <f>IF(port0201!$B$9="All Routes",IF(port0201!$B$8&lt;&gt;"Units","z",ROUND(SUMIFS(CHOOSE(VLOOKUP(port0201!$B$8,Lookup!$A$1:$B$3,2,FALSE),Data!$D:$D,Data!$E:$E,Data!$G:$G),Data!$A:$A,Working!M$5,Data!$B:$B,52,Data!$C:$C,Working!M$4,Data!$H:$H,1)+SUMIFS(CHOOSE(VLOOKUP(port0201!$B$8,Lookup!$A$1:$B$3,2,FALSE),Data!$D:$D,Data!$E:$E,Data!$G:$G),Data!$A:$A,Working!M$5,Data!$B:$B,53,Data!$C:$C,Working!M$4,Data!$H:$H,1),3)),IF(port0201!$B$8&lt;&gt;"Units","z",ROUND(SUMIFS(CHOOSE(VLOOKUP(port0201!$B$8,Lookup!$A$1:$B$3,2,FALSE),Data!$D:$D,Data!$E:$E,Data!$H:$H),Data!$A:$A,Working!M$5,Data!$B:$B,52,Data!$C:$C,Working!M$4,Data!$F:$F,port0201!$B$9)+SUMIFS(CHOOSE(VLOOKUP(port0201!$B$8,Lookup!$A$1:$B$3,2,FALSE),Data!$D:$D,Data!$E:$E,Data!$H:$H),Data!$A:$A,Working!M$5,Data!$B:$B,53,Data!$C:$C,Working!M$4,Data!$F:$F,port0201!$B$9),3)))</f>
        <v>z</v>
      </c>
      <c r="N24" s="153" t="str">
        <f>IF(port0201!$B$9="All Routes",IF(port0201!$B$8&lt;&gt;"Units","z",ROUND(SUMIFS(CHOOSE(VLOOKUP(port0201!$B$8,Lookup!$A$1:$B$3,2,FALSE),Data!$D:$D,Data!$E:$E,Data!$G:$G),Data!$A:$A,Working!N$5,Data!$B:$B,52,Data!$C:$C,Working!N$4,Data!$H:$H,1)+SUMIFS(CHOOSE(VLOOKUP(port0201!$B$8,Lookup!$A$1:$B$3,2,FALSE),Data!$D:$D,Data!$E:$E,Data!$G:$G),Data!$A:$A,Working!N$5,Data!$B:$B,53,Data!$C:$C,Working!N$4,Data!$H:$H,1),3)),IF(port0201!$B$8&lt;&gt;"Units","z",ROUND(SUMIFS(CHOOSE(VLOOKUP(port0201!$B$8,Lookup!$A$1:$B$3,2,FALSE),Data!$D:$D,Data!$E:$E,Data!$H:$H),Data!$A:$A,Working!N$5,Data!$B:$B,52,Data!$C:$C,Working!N$4,Data!$F:$F,port0201!$B$9)+SUMIFS(CHOOSE(VLOOKUP(port0201!$B$8,Lookup!$A$1:$B$3,2,FALSE),Data!$D:$D,Data!$E:$E,Data!$H:$H),Data!$A:$A,Working!N$5,Data!$B:$B,53,Data!$C:$C,Working!N$4,Data!$F:$F,port0201!$B$9),3)))</f>
        <v>z</v>
      </c>
      <c r="O24" s="153" t="str">
        <f>IF(port0201!$B$9="All Routes",IF(port0201!$B$8&lt;&gt;"Units","z",ROUND(SUMIFS(CHOOSE(VLOOKUP(port0201!$B$8,Lookup!$A$1:$B$3,2,FALSE),Data!$D:$D,Data!$E:$E,Data!$G:$G),Data!$A:$A,Working!O$5,Data!$B:$B,52,Data!$C:$C,Working!O$4,Data!$H:$H,1)+SUMIFS(CHOOSE(VLOOKUP(port0201!$B$8,Lookup!$A$1:$B$3,2,FALSE),Data!$D:$D,Data!$E:$E,Data!$G:$G),Data!$A:$A,Working!O$5,Data!$B:$B,53,Data!$C:$C,Working!O$4,Data!$H:$H,1),3)),IF(port0201!$B$8&lt;&gt;"Units","z",ROUND(SUMIFS(CHOOSE(VLOOKUP(port0201!$B$8,Lookup!$A$1:$B$3,2,FALSE),Data!$D:$D,Data!$E:$E,Data!$H:$H),Data!$A:$A,Working!O$5,Data!$B:$B,52,Data!$C:$C,Working!O$4,Data!$F:$F,port0201!$B$9)+SUMIFS(CHOOSE(VLOOKUP(port0201!$B$8,Lookup!$A$1:$B$3,2,FALSE),Data!$D:$D,Data!$E:$E,Data!$H:$H),Data!$A:$A,Working!O$5,Data!$B:$B,53,Data!$C:$C,Working!O$4,Data!$F:$F,port0201!$B$9),3)))</f>
        <v>z</v>
      </c>
      <c r="P24" s="153" t="str">
        <f>IF(port0201!$B$9="All Routes",IF(port0201!$B$8&lt;&gt;"Units","z",ROUND(SUMIFS(CHOOSE(VLOOKUP(port0201!$B$8,Lookup!$A$1:$B$3,2,FALSE),Data!$D:$D,Data!$E:$E,Data!$G:$G),Data!$A:$A,Working!P$5,Data!$B:$B,52,Data!$C:$C,Working!P$4,Data!$H:$H,1)+SUMIFS(CHOOSE(VLOOKUP(port0201!$B$8,Lookup!$A$1:$B$3,2,FALSE),Data!$D:$D,Data!$E:$E,Data!$G:$G),Data!$A:$A,Working!P$5,Data!$B:$B,53,Data!$C:$C,Working!P$4,Data!$H:$H,1),3)),IF(port0201!$B$8&lt;&gt;"Units","z",ROUND(SUMIFS(CHOOSE(VLOOKUP(port0201!$B$8,Lookup!$A$1:$B$3,2,FALSE),Data!$D:$D,Data!$E:$E,Data!$H:$H),Data!$A:$A,Working!P$5,Data!$B:$B,52,Data!$C:$C,Working!P$4,Data!$F:$F,port0201!$B$9)+SUMIFS(CHOOSE(VLOOKUP(port0201!$B$8,Lookup!$A$1:$B$3,2,FALSE),Data!$D:$D,Data!$E:$E,Data!$H:$H),Data!$A:$A,Working!P$5,Data!$B:$B,53,Data!$C:$C,Working!P$4,Data!$F:$F,port0201!$B$9),3)))</f>
        <v>z</v>
      </c>
      <c r="Q24" s="153" t="str">
        <f>IF(port0201!$B$9="All Routes",IF(port0201!$B$8&lt;&gt;"Units","z",ROUND(SUMIFS(CHOOSE(VLOOKUP(port0201!$B$8,Lookup!$A$1:$B$3,2,FALSE),Data!$D:$D,Data!$E:$E,Data!$G:$G),Data!$A:$A,Working!Q$5,Data!$B:$B,52,Data!$C:$C,Working!Q$4,Data!$H:$H,1)+SUMIFS(CHOOSE(VLOOKUP(port0201!$B$8,Lookup!$A$1:$B$3,2,FALSE),Data!$D:$D,Data!$E:$E,Data!$G:$G),Data!$A:$A,Working!Q$5,Data!$B:$B,53,Data!$C:$C,Working!Q$4,Data!$H:$H,1),3)),IF(port0201!$B$8&lt;&gt;"Units","z",ROUND(SUMIFS(CHOOSE(VLOOKUP(port0201!$B$8,Lookup!$A$1:$B$3,2,FALSE),Data!$D:$D,Data!$E:$E,Data!$H:$H),Data!$A:$A,Working!Q$5,Data!$B:$B,52,Data!$C:$C,Working!Q$4,Data!$F:$F,port0201!$B$9)+SUMIFS(CHOOSE(VLOOKUP(port0201!$B$8,Lookup!$A$1:$B$3,2,FALSE),Data!$D:$D,Data!$E:$E,Data!$H:$H),Data!$A:$A,Working!Q$5,Data!$B:$B,53,Data!$C:$C,Working!Q$4,Data!$F:$F,port0201!$B$9),3)))</f>
        <v>z</v>
      </c>
      <c r="R24" s="153" t="str">
        <f>IF(port0201!$B$9="All Routes",IF(port0201!$B$8&lt;&gt;"Units","z",ROUND(SUMIFS(CHOOSE(VLOOKUP(port0201!$B$8,Lookup!$A$1:$B$3,2,FALSE),Data!$D:$D,Data!$E:$E,Data!$G:$G),Data!$A:$A,Working!R$5,Data!$B:$B,52,Data!$C:$C,Working!R$4,Data!$H:$H,1)+SUMIFS(CHOOSE(VLOOKUP(port0201!$B$8,Lookup!$A$1:$B$3,2,FALSE),Data!$D:$D,Data!$E:$E,Data!$G:$G),Data!$A:$A,Working!R$5,Data!$B:$B,53,Data!$C:$C,Working!R$4,Data!$H:$H,1),3)),IF(port0201!$B$8&lt;&gt;"Units","z",ROUND(SUMIFS(CHOOSE(VLOOKUP(port0201!$B$8,Lookup!$A$1:$B$3,2,FALSE),Data!$D:$D,Data!$E:$E,Data!$H:$H),Data!$A:$A,Working!R$5,Data!$B:$B,52,Data!$C:$C,Working!R$4,Data!$F:$F,port0201!$B$9)+SUMIFS(CHOOSE(VLOOKUP(port0201!$B$8,Lookup!$A$1:$B$3,2,FALSE),Data!$D:$D,Data!$E:$E,Data!$H:$H),Data!$A:$A,Working!R$5,Data!$B:$B,53,Data!$C:$C,Working!R$4,Data!$F:$F,port0201!$B$9),3)))</f>
        <v>z</v>
      </c>
      <c r="S24" s="153" t="str">
        <f>IF(port0201!$B$9="All Routes",IF(port0201!$B$8&lt;&gt;"Units","z",ROUND(SUMIFS(CHOOSE(VLOOKUP(port0201!$B$8,Lookup!$A$1:$B$3,2,FALSE),Data!$D:$D,Data!$E:$E,Data!$G:$G),Data!$A:$A,Working!S$5,Data!$B:$B,52,Data!$C:$C,Working!S$4,Data!$H:$H,1)+SUMIFS(CHOOSE(VLOOKUP(port0201!$B$8,Lookup!$A$1:$B$3,2,FALSE),Data!$D:$D,Data!$E:$E,Data!$G:$G),Data!$A:$A,Working!S$5,Data!$B:$B,53,Data!$C:$C,Working!S$4,Data!$H:$H,1),3)),IF(port0201!$B$8&lt;&gt;"Units","z",ROUND(SUMIFS(CHOOSE(VLOOKUP(port0201!$B$8,Lookup!$A$1:$B$3,2,FALSE),Data!$D:$D,Data!$E:$E,Data!$H:$H),Data!$A:$A,Working!S$5,Data!$B:$B,52,Data!$C:$C,Working!S$4,Data!$F:$F,port0201!$B$9)+SUMIFS(CHOOSE(VLOOKUP(port0201!$B$8,Lookup!$A$1:$B$3,2,FALSE),Data!$D:$D,Data!$E:$E,Data!$H:$H),Data!$A:$A,Working!S$5,Data!$B:$B,53,Data!$C:$C,Working!S$4,Data!$F:$F,port0201!$B$9),3)))</f>
        <v>z</v>
      </c>
      <c r="T24" s="153" t="str">
        <f>IF(port0201!$B$9="All Routes",IF(port0201!$B$8&lt;&gt;"Units","z",ROUND(SUMIFS(CHOOSE(VLOOKUP(port0201!$B$8,Lookup!$A$1:$B$3,2,FALSE),Data!$D:$D,Data!$E:$E,Data!$G:$G),Data!$A:$A,Working!T$5,Data!$B:$B,52,Data!$C:$C,Working!T$4,Data!$H:$H,1)+SUMIFS(CHOOSE(VLOOKUP(port0201!$B$8,Lookup!$A$1:$B$3,2,FALSE),Data!$D:$D,Data!$E:$E,Data!$G:$G),Data!$A:$A,Working!T$5,Data!$B:$B,53,Data!$C:$C,Working!T$4,Data!$H:$H,1),3)),IF(port0201!$B$8&lt;&gt;"Units","z",ROUND(SUMIFS(CHOOSE(VLOOKUP(port0201!$B$8,Lookup!$A$1:$B$3,2,FALSE),Data!$D:$D,Data!$E:$E,Data!$H:$H),Data!$A:$A,Working!T$5,Data!$B:$B,52,Data!$C:$C,Working!T$4,Data!$F:$F,port0201!$B$9)+SUMIFS(CHOOSE(VLOOKUP(port0201!$B$8,Lookup!$A$1:$B$3,2,FALSE),Data!$D:$D,Data!$E:$E,Data!$H:$H),Data!$A:$A,Working!T$5,Data!$B:$B,53,Data!$C:$C,Working!T$4,Data!$F:$F,port0201!$B$9),3)))</f>
        <v>z</v>
      </c>
      <c r="U24" s="153" t="str">
        <f>IF(port0201!$B$9="All Routes",IF(port0201!$B$8&lt;&gt;"Units","z",ROUND(SUMIFS(CHOOSE(VLOOKUP(port0201!$B$8,Lookup!$A$1:$B$3,2,FALSE),Data!$D:$D,Data!$E:$E,Data!$G:$G),Data!$A:$A,Working!U$5,Data!$B:$B,52,Data!$C:$C,Working!U$4,Data!$H:$H,1)+SUMIFS(CHOOSE(VLOOKUP(port0201!$B$8,Lookup!$A$1:$B$3,2,FALSE),Data!$D:$D,Data!$E:$E,Data!$G:$G),Data!$A:$A,Working!U$5,Data!$B:$B,53,Data!$C:$C,Working!U$4,Data!$H:$H,1),3)),IF(port0201!$B$8&lt;&gt;"Units","z",ROUND(SUMIFS(CHOOSE(VLOOKUP(port0201!$B$8,Lookup!$A$1:$B$3,2,FALSE),Data!$D:$D,Data!$E:$E,Data!$H:$H),Data!$A:$A,Working!U$5,Data!$B:$B,52,Data!$C:$C,Working!U$4,Data!$F:$F,port0201!$B$9)+SUMIFS(CHOOSE(VLOOKUP(port0201!$B$8,Lookup!$A$1:$B$3,2,FALSE),Data!$D:$D,Data!$E:$E,Data!$H:$H),Data!$A:$A,Working!U$5,Data!$B:$B,53,Data!$C:$C,Working!U$4,Data!$F:$F,port0201!$B$9),3)))</f>
        <v>z</v>
      </c>
      <c r="V24" s="153" t="str">
        <f>IF(port0201!$B$9="All Routes",IF(port0201!$B$8&lt;&gt;"Units","z",ROUND(SUMIFS(CHOOSE(VLOOKUP(port0201!$B$8,Lookup!$A$1:$B$3,2,FALSE),Data!$D:$D,Data!$E:$E,Data!$G:$G),Data!$A:$A,Working!V$5,Data!$B:$B,52,Data!$C:$C,Working!V$4,Data!$H:$H,1)+SUMIFS(CHOOSE(VLOOKUP(port0201!$B$8,Lookup!$A$1:$B$3,2,FALSE),Data!$D:$D,Data!$E:$E,Data!$G:$G),Data!$A:$A,Working!V$5,Data!$B:$B,53,Data!$C:$C,Working!V$4,Data!$H:$H,1),3)),IF(port0201!$B$8&lt;&gt;"Units","z",ROUND(SUMIFS(CHOOSE(VLOOKUP(port0201!$B$8,Lookup!$A$1:$B$3,2,FALSE),Data!$D:$D,Data!$E:$E,Data!$H:$H),Data!$A:$A,Working!V$5,Data!$B:$B,52,Data!$C:$C,Working!V$4,Data!$F:$F,port0201!$B$9)+SUMIFS(CHOOSE(VLOOKUP(port0201!$B$8,Lookup!$A$1:$B$3,2,FALSE),Data!$D:$D,Data!$E:$E,Data!$H:$H),Data!$A:$A,Working!V$5,Data!$B:$B,53,Data!$C:$C,Working!V$4,Data!$F:$F,port0201!$B$9),3)))</f>
        <v>z</v>
      </c>
      <c r="W24" s="153" t="str">
        <f>IF(port0201!$B$9="All Routes",IF(port0201!$B$8&lt;&gt;"Units","z",ROUND(SUMIFS(CHOOSE(VLOOKUP(port0201!$B$8,Lookup!$A$1:$B$3,2,FALSE),Data!$D:$D,Data!$E:$E,Data!$G:$G),Data!$A:$A,Working!W$5,Data!$B:$B,52,Data!$C:$C,Working!W$4,Data!$H:$H,1)+SUMIFS(CHOOSE(VLOOKUP(port0201!$B$8,Lookup!$A$1:$B$3,2,FALSE),Data!$D:$D,Data!$E:$E,Data!$G:$G),Data!$A:$A,Working!W$5,Data!$B:$B,53,Data!$C:$C,Working!W$4,Data!$H:$H,1),3)),IF(port0201!$B$8&lt;&gt;"Units","z",ROUND(SUMIFS(CHOOSE(VLOOKUP(port0201!$B$8,Lookup!$A$1:$B$3,2,FALSE),Data!$D:$D,Data!$E:$E,Data!$H:$H),Data!$A:$A,Working!W$5,Data!$B:$B,52,Data!$C:$C,Working!W$4,Data!$F:$F,port0201!$B$9)+SUMIFS(CHOOSE(VLOOKUP(port0201!$B$8,Lookup!$A$1:$B$3,2,FALSE),Data!$D:$D,Data!$E:$E,Data!$H:$H),Data!$A:$A,Working!W$5,Data!$B:$B,53,Data!$C:$C,Working!W$4,Data!$F:$F,port0201!$B$9),3)))</f>
        <v>z</v>
      </c>
      <c r="X24" s="153" t="str">
        <f>IF(port0201!$B$9="All Routes",IF(port0201!$B$8&lt;&gt;"Units","z",ROUND(SUMIFS(CHOOSE(VLOOKUP(port0201!$B$8,Lookup!$A$1:$B$3,2,FALSE),Data!$D:$D,Data!$E:$E,Data!$G:$G),Data!$A:$A,Working!X$5,Data!$B:$B,52,Data!$C:$C,Working!X$4,Data!$H:$H,1)+SUMIFS(CHOOSE(VLOOKUP(port0201!$B$8,Lookup!$A$1:$B$3,2,FALSE),Data!$D:$D,Data!$E:$E,Data!$G:$G),Data!$A:$A,Working!X$5,Data!$B:$B,53,Data!$C:$C,Working!X$4,Data!$H:$H,1),3)),IF(port0201!$B$8&lt;&gt;"Units","z",ROUND(SUMIFS(CHOOSE(VLOOKUP(port0201!$B$8,Lookup!$A$1:$B$3,2,FALSE),Data!$D:$D,Data!$E:$E,Data!$H:$H),Data!$A:$A,Working!X$5,Data!$B:$B,52,Data!$C:$C,Working!X$4,Data!$F:$F,port0201!$B$9)+SUMIFS(CHOOSE(VLOOKUP(port0201!$B$8,Lookup!$A$1:$B$3,2,FALSE),Data!$D:$D,Data!$E:$E,Data!$H:$H),Data!$A:$A,Working!X$5,Data!$B:$B,53,Data!$C:$C,Working!X$4,Data!$F:$F,port0201!$B$9),3)))</f>
        <v>z</v>
      </c>
      <c r="Y24" s="153" t="str">
        <f>IF(port0201!$B$9="All Routes",IF(port0201!$B$8&lt;&gt;"Units","z",ROUND(SUMIFS(CHOOSE(VLOOKUP(port0201!$B$8,Lookup!$A$1:$B$3,2,FALSE),Data!$D:$D,Data!$E:$E,Data!$G:$G),Data!$A:$A,Working!Y$5,Data!$B:$B,52,Data!$C:$C,Working!Y$4,Data!$H:$H,1)+SUMIFS(CHOOSE(VLOOKUP(port0201!$B$8,Lookup!$A$1:$B$3,2,FALSE),Data!$D:$D,Data!$E:$E,Data!$G:$G),Data!$A:$A,Working!Y$5,Data!$B:$B,53,Data!$C:$C,Working!Y$4,Data!$H:$H,1),3)),IF(port0201!$B$8&lt;&gt;"Units","z",ROUND(SUMIFS(CHOOSE(VLOOKUP(port0201!$B$8,Lookup!$A$1:$B$3,2,FALSE),Data!$D:$D,Data!$E:$E,Data!$H:$H),Data!$A:$A,Working!Y$5,Data!$B:$B,52,Data!$C:$C,Working!Y$4,Data!$F:$F,port0201!$B$9)+SUMIFS(CHOOSE(VLOOKUP(port0201!$B$8,Lookup!$A$1:$B$3,2,FALSE),Data!$D:$D,Data!$E:$E,Data!$H:$H),Data!$A:$A,Working!Y$5,Data!$B:$B,53,Data!$C:$C,Working!Y$4,Data!$F:$F,port0201!$B$9),3)))</f>
        <v>z</v>
      </c>
      <c r="Z24" s="153" t="str">
        <f>IF(port0201!$B$9="All Routes",IF(port0201!$B$8&lt;&gt;"Units","z",ROUND(SUMIFS(CHOOSE(VLOOKUP(port0201!$B$8,Lookup!$A$1:$B$3,2,FALSE),Data!$D:$D,Data!$E:$E,Data!$G:$G),Data!$A:$A,Working!Z$5,Data!$B:$B,52,Data!$C:$C,Working!Z$4,Data!$H:$H,1)+SUMIFS(CHOOSE(VLOOKUP(port0201!$B$8,Lookup!$A$1:$B$3,2,FALSE),Data!$D:$D,Data!$E:$E,Data!$G:$G),Data!$A:$A,Working!Z$5,Data!$B:$B,53,Data!$C:$C,Working!Z$4,Data!$H:$H,1),3)),IF(port0201!$B$8&lt;&gt;"Units","z",ROUND(SUMIFS(CHOOSE(VLOOKUP(port0201!$B$8,Lookup!$A$1:$B$3,2,FALSE),Data!$D:$D,Data!$E:$E,Data!$H:$H),Data!$A:$A,Working!Z$5,Data!$B:$B,52,Data!$C:$C,Working!Z$4,Data!$F:$F,port0201!$B$9)+SUMIFS(CHOOSE(VLOOKUP(port0201!$B$8,Lookup!$A$1:$B$3,2,FALSE),Data!$D:$D,Data!$E:$E,Data!$H:$H),Data!$A:$A,Working!Z$5,Data!$B:$B,53,Data!$C:$C,Working!Z$4,Data!$F:$F,port0201!$B$9),3)))</f>
        <v>z</v>
      </c>
      <c r="AA24" s="153" t="str">
        <f>IF(port0201!$B$9="All Routes",IF(port0201!$B$8&lt;&gt;"Units","z",ROUND(SUMIFS(CHOOSE(VLOOKUP(port0201!$B$8,Lookup!$A$1:$B$3,2,FALSE),Data!$D:$D,Data!$E:$E,Data!$G:$G),Data!$A:$A,Working!AA$5,Data!$B:$B,52,Data!$C:$C,Working!AA$4,Data!$H:$H,1)+SUMIFS(CHOOSE(VLOOKUP(port0201!$B$8,Lookup!$A$1:$B$3,2,FALSE),Data!$D:$D,Data!$E:$E,Data!$G:$G),Data!$A:$A,Working!AA$5,Data!$B:$B,53,Data!$C:$C,Working!AA$4,Data!$H:$H,1),3)),IF(port0201!$B$8&lt;&gt;"Units","z",ROUND(SUMIFS(CHOOSE(VLOOKUP(port0201!$B$8,Lookup!$A$1:$B$3,2,FALSE),Data!$D:$D,Data!$E:$E,Data!$H:$H),Data!$A:$A,Working!AA$5,Data!$B:$B,52,Data!$C:$C,Working!AA$4,Data!$F:$F,port0201!$B$9)+SUMIFS(CHOOSE(VLOOKUP(port0201!$B$8,Lookup!$A$1:$B$3,2,FALSE),Data!$D:$D,Data!$E:$E,Data!$H:$H),Data!$A:$A,Working!AA$5,Data!$B:$B,53,Data!$C:$C,Working!AA$4,Data!$F:$F,port0201!$B$9),3)))</f>
        <v>z</v>
      </c>
      <c r="AB24" s="153" t="str">
        <f>IF(port0201!$B$9="All Routes",IF(port0201!$B$8&lt;&gt;"Units","z",ROUND(SUMIFS(CHOOSE(VLOOKUP(port0201!$B$8,Lookup!$A$1:$B$3,2,FALSE),Data!$D:$D,Data!$E:$E,Data!$G:$G),Data!$A:$A,Working!AB$5,Data!$B:$B,52,Data!$C:$C,Working!AB$4,Data!$H:$H,1)+SUMIFS(CHOOSE(VLOOKUP(port0201!$B$8,Lookup!$A$1:$B$3,2,FALSE),Data!$D:$D,Data!$E:$E,Data!$G:$G),Data!$A:$A,Working!AB$5,Data!$B:$B,53,Data!$C:$C,Working!AB$4,Data!$H:$H,1),3)),IF(port0201!$B$8&lt;&gt;"Units","z",ROUND(SUMIFS(CHOOSE(VLOOKUP(port0201!$B$8,Lookup!$A$1:$B$3,2,FALSE),Data!$D:$D,Data!$E:$E,Data!$H:$H),Data!$A:$A,Working!AB$5,Data!$B:$B,52,Data!$C:$C,Working!AB$4,Data!$F:$F,port0201!$B$9)+SUMIFS(CHOOSE(VLOOKUP(port0201!$B$8,Lookup!$A$1:$B$3,2,FALSE),Data!$D:$D,Data!$E:$E,Data!$H:$H),Data!$A:$A,Working!AB$5,Data!$B:$B,53,Data!$C:$C,Working!AB$4,Data!$F:$F,port0201!$B$9),3)))</f>
        <v>z</v>
      </c>
      <c r="AC24" s="153" t="str">
        <f>IF(port0201!$B$9="All Routes",IF(port0201!$B$8&lt;&gt;"Units","z",ROUND(SUMIFS(CHOOSE(VLOOKUP(port0201!$B$8,Lookup!$A$1:$B$3,2,FALSE),Data!$D:$D,Data!$E:$E,Data!$G:$G),Data!$A:$A,Working!AC$5,Data!$B:$B,52,Data!$C:$C,Working!AC$4,Data!$H:$H,1)+SUMIFS(CHOOSE(VLOOKUP(port0201!$B$8,Lookup!$A$1:$B$3,2,FALSE),Data!$D:$D,Data!$E:$E,Data!$G:$G),Data!$A:$A,Working!AC$5,Data!$B:$B,53,Data!$C:$C,Working!AC$4,Data!$H:$H,1),3)),IF(port0201!$B$8&lt;&gt;"Units","z",ROUND(SUMIFS(CHOOSE(VLOOKUP(port0201!$B$8,Lookup!$A$1:$B$3,2,FALSE),Data!$D:$D,Data!$E:$E,Data!$H:$H),Data!$A:$A,Working!AC$5,Data!$B:$B,52,Data!$C:$C,Working!AC$4,Data!$F:$F,port0201!$B$9)+SUMIFS(CHOOSE(VLOOKUP(port0201!$B$8,Lookup!$A$1:$B$3,2,FALSE),Data!$D:$D,Data!$E:$E,Data!$H:$H),Data!$A:$A,Working!AC$5,Data!$B:$B,53,Data!$C:$C,Working!AC$4,Data!$F:$F,port0201!$B$9),3)))</f>
        <v>z</v>
      </c>
      <c r="AD24" s="133"/>
      <c r="AE24" s="127" t="e">
        <f t="shared" si="0"/>
        <v>#VALUE!</v>
      </c>
      <c r="AF24" s="112" t="e">
        <f t="shared" si="1"/>
        <v>#VALUE!</v>
      </c>
      <c r="AG24" s="133"/>
      <c r="AH24" s="133"/>
      <c r="AI24" s="133"/>
      <c r="AJ24" s="125" t="e">
        <f t="shared" si="2"/>
        <v>#VALUE!</v>
      </c>
      <c r="AK24" s="126" t="e">
        <f t="shared" si="3"/>
        <v>#VALUE!</v>
      </c>
    </row>
    <row r="25" spans="1:37" ht="14">
      <c r="A25" s="144" t="s">
        <v>166</v>
      </c>
      <c r="B25" s="119">
        <v>54</v>
      </c>
      <c r="C25" s="145" t="s">
        <v>87</v>
      </c>
      <c r="D25" s="151">
        <f>IF(port0201!$B$9="All Routes",IF(port0201!$B$8="TEU","z",ROUND(SUMIFS(CHOOSE(VLOOKUP(port0201!$B$8,Lookup!$A$1:$B$3,2,FALSE),Data!$D:$D,Data!$E:$E,Data!$G:$G),Data!$A:$A,Working!D$5,Data!$B:$B,Working!$B25,Data!$C:$C,Working!D$4,Data!$H:$H,1),3)),IF(port0201!$B$8="TEU","z",ROUND(SUMIFS(CHOOSE(VLOOKUP(port0201!$B$8,Lookup!$A$1:$B$3,2,FALSE),Data!$D:$D,Data!$E:$E,Data!$H:$H),Data!$A:$A,Working!D$5,Data!$B:$B,Working!$B25,Data!$C:$C,Working!D$4,Data!$F:$F,port0201!$B$9),3)))</f>
        <v>4083.1289999999999</v>
      </c>
      <c r="E25" s="151">
        <f>IF(port0201!$B$9="All Routes",IF(port0201!$B$8="TEU","z",ROUND(SUMIFS(CHOOSE(VLOOKUP(port0201!$B$8,Lookup!$A$1:$B$3,2,FALSE),Data!$D:$D,Data!$E:$E,Data!$G:$G),Data!$A:$A,Working!E$5,Data!$B:$B,Working!$B25,Data!$C:$C,Working!E$4,Data!$H:$H,1),3)),IF(port0201!$B$8="TEU","z",ROUND(SUMIFS(CHOOSE(VLOOKUP(port0201!$B$8,Lookup!$A$1:$B$3,2,FALSE),Data!$D:$D,Data!$E:$E,Data!$H:$H),Data!$A:$A,Working!E$5,Data!$B:$B,Working!$B25,Data!$C:$C,Working!E$4,Data!$F:$F,port0201!$B$9),3)))</f>
        <v>4023.248</v>
      </c>
      <c r="F25" s="151">
        <f>IF(port0201!$B$9="All Routes",IF(port0201!$B$8="TEU","z",ROUND(SUMIFS(CHOOSE(VLOOKUP(port0201!$B$8,Lookup!$A$1:$B$3,2,FALSE),Data!$D:$D,Data!$E:$E,Data!$G:$G),Data!$A:$A,Working!F$5,Data!$B:$B,Working!$B25,Data!$C:$C,Working!F$4,Data!$H:$H,1),3)),IF(port0201!$B$8="TEU","z",ROUND(SUMIFS(CHOOSE(VLOOKUP(port0201!$B$8,Lookup!$A$1:$B$3,2,FALSE),Data!$D:$D,Data!$E:$E,Data!$H:$H),Data!$A:$A,Working!F$5,Data!$B:$B,Working!$B25,Data!$C:$C,Working!F$4,Data!$F:$F,port0201!$B$9),3)))</f>
        <v>4693.2929999999997</v>
      </c>
      <c r="G25" s="151">
        <f>IF(port0201!$B$9="All Routes",IF(port0201!$B$8="TEU","z",ROUND(SUMIFS(CHOOSE(VLOOKUP(port0201!$B$8,Lookup!$A$1:$B$3,2,FALSE),Data!$D:$D,Data!$E:$E,Data!$G:$G),Data!$A:$A,Working!G$5,Data!$B:$B,Working!$B25,Data!$C:$C,Working!G$4,Data!$H:$H,1),3)),IF(port0201!$B$8="TEU","z",ROUND(SUMIFS(CHOOSE(VLOOKUP(port0201!$B$8,Lookup!$A$1:$B$3,2,FALSE),Data!$D:$D,Data!$E:$E,Data!$H:$H),Data!$A:$A,Working!G$5,Data!$B:$B,Working!$B25,Data!$C:$C,Working!G$4,Data!$F:$F,port0201!$B$9),3)))</f>
        <v>4839.0249999999996</v>
      </c>
      <c r="H25" s="151">
        <f>IF(port0201!$B$9="All Routes",IF(port0201!$B$8="TEU","z",ROUND(SUMIFS(CHOOSE(VLOOKUP(port0201!$B$8,Lookup!$A$1:$B$3,2,FALSE),Data!$D:$D,Data!$E:$E,Data!$G:$G),Data!$A:$A,Working!H$5,Data!$B:$B,Working!$B25,Data!$C:$C,Working!H$4,Data!$H:$H,1),3)),IF(port0201!$B$8="TEU","z",ROUND(SUMIFS(CHOOSE(VLOOKUP(port0201!$B$8,Lookup!$A$1:$B$3,2,FALSE),Data!$D:$D,Data!$E:$E,Data!$H:$H),Data!$A:$A,Working!H$5,Data!$B:$B,Working!$B25,Data!$C:$C,Working!H$4,Data!$F:$F,port0201!$B$9),3)))</f>
        <v>5267.6450000000004</v>
      </c>
      <c r="I25" s="151">
        <f>IF(port0201!$B$9="All Routes",IF(port0201!$B$8="TEU","z",ROUND(SUMIFS(CHOOSE(VLOOKUP(port0201!$B$8,Lookup!$A$1:$B$3,2,FALSE),Data!$D:$D,Data!$E:$E,Data!$G:$G),Data!$A:$A,Working!I$5,Data!$B:$B,Working!$B25,Data!$C:$C,Working!I$4,Data!$H:$H,1),3)),IF(port0201!$B$8="TEU","z",ROUND(SUMIFS(CHOOSE(VLOOKUP(port0201!$B$8,Lookup!$A$1:$B$3,2,FALSE),Data!$D:$D,Data!$E:$E,Data!$H:$H),Data!$A:$A,Working!I$5,Data!$B:$B,Working!$B25,Data!$C:$C,Working!I$4,Data!$F:$F,port0201!$B$9),3)))</f>
        <v>5399.7359999999999</v>
      </c>
      <c r="J25" s="151">
        <f>IF(port0201!$B$9="All Routes",IF(port0201!$B$8="TEU","z",ROUND(SUMIFS(CHOOSE(VLOOKUP(port0201!$B$8,Lookup!$A$1:$B$3,2,FALSE),Data!$D:$D,Data!$E:$E,Data!$G:$G),Data!$A:$A,Working!J$5,Data!$B:$B,Working!$B25,Data!$C:$C,Working!J$4,Data!$H:$H,1),3)),IF(port0201!$B$8="TEU","z",ROUND(SUMIFS(CHOOSE(VLOOKUP(port0201!$B$8,Lookup!$A$1:$B$3,2,FALSE),Data!$D:$D,Data!$E:$E,Data!$H:$H),Data!$A:$A,Working!J$5,Data!$B:$B,Working!$B25,Data!$C:$C,Working!J$4,Data!$F:$F,port0201!$B$9),3)))</f>
        <v>5565.5789999999997</v>
      </c>
      <c r="K25" s="151">
        <f>IF(port0201!$B$9="All Routes",IF(port0201!$B$8="TEU","z",ROUND(SUMIFS(CHOOSE(VLOOKUP(port0201!$B$8,Lookup!$A$1:$B$3,2,FALSE),Data!$D:$D,Data!$E:$E,Data!$G:$G),Data!$A:$A,Working!K$5,Data!$B:$B,Working!$B25,Data!$C:$C,Working!K$4,Data!$H:$H,1),3)),IF(port0201!$B$8="TEU","z",ROUND(SUMIFS(CHOOSE(VLOOKUP(port0201!$B$8,Lookup!$A$1:$B$3,2,FALSE),Data!$D:$D,Data!$E:$E,Data!$H:$H),Data!$A:$A,Working!K$5,Data!$B:$B,Working!$B25,Data!$C:$C,Working!K$4,Data!$F:$F,port0201!$B$9),3)))</f>
        <v>5931.5659999999998</v>
      </c>
      <c r="L25" s="151">
        <f>IF(port0201!$B$9="All Routes",IF(port0201!$B$8="TEU","z",ROUND(SUMIFS(CHOOSE(VLOOKUP(port0201!$B$8,Lookup!$A$1:$B$3,2,FALSE),Data!$D:$D,Data!$E:$E,Data!$G:$G),Data!$A:$A,Working!L$5,Data!$B:$B,Working!$B25,Data!$C:$C,Working!L$4,Data!$H:$H,1),3)),IF(port0201!$B$8="TEU","z",ROUND(SUMIFS(CHOOSE(VLOOKUP(port0201!$B$8,Lookup!$A$1:$B$3,2,FALSE),Data!$D:$D,Data!$E:$E,Data!$H:$H),Data!$A:$A,Working!L$5,Data!$B:$B,Working!$B25,Data!$C:$C,Working!L$4,Data!$F:$F,port0201!$B$9),3)))</f>
        <v>5143.5330000000004</v>
      </c>
      <c r="M25" s="151">
        <f>IF(port0201!$B$9="All Routes",IF(port0201!$B$8="TEU","z",ROUND(SUMIFS(CHOOSE(VLOOKUP(port0201!$B$8,Lookup!$A$1:$B$3,2,FALSE),Data!$D:$D,Data!$E:$E,Data!$G:$G),Data!$A:$A,Working!M$5,Data!$B:$B,Working!$B25,Data!$C:$C,Working!M$4,Data!$H:$H,1),3)),IF(port0201!$B$8="TEU","z",ROUND(SUMIFS(CHOOSE(VLOOKUP(port0201!$B$8,Lookup!$A$1:$B$3,2,FALSE),Data!$D:$D,Data!$E:$E,Data!$H:$H),Data!$A:$A,Working!M$5,Data!$B:$B,Working!$B25,Data!$C:$C,Working!M$4,Data!$F:$F,port0201!$B$9),3)))</f>
        <v>4003.7310000000002</v>
      </c>
      <c r="N25" s="151">
        <f>IF(port0201!$B$9="All Routes",IF(port0201!$B$8="TEU","z",ROUND(SUMIFS(CHOOSE(VLOOKUP(port0201!$B$8,Lookup!$A$1:$B$3,2,FALSE),Data!$D:$D,Data!$E:$E,Data!$G:$G),Data!$A:$A,Working!N$5,Data!$B:$B,Working!$B25,Data!$C:$C,Working!N$4,Data!$H:$H,1),3)),IF(port0201!$B$8="TEU","z",ROUND(SUMIFS(CHOOSE(VLOOKUP(port0201!$B$8,Lookup!$A$1:$B$3,2,FALSE),Data!$D:$D,Data!$E:$E,Data!$H:$H),Data!$A:$A,Working!N$5,Data!$B:$B,Working!$B25,Data!$C:$C,Working!N$4,Data!$F:$F,port0201!$B$9),3)))</f>
        <v>4706.4830000000002</v>
      </c>
      <c r="O25" s="151">
        <f>IF(port0201!$B$9="All Routes",IF(port0201!$B$8="TEU","z",ROUND(SUMIFS(CHOOSE(VLOOKUP(port0201!$B$8,Lookup!$A$1:$B$3,2,FALSE),Data!$D:$D,Data!$E:$E,Data!$G:$G),Data!$A:$A,Working!O$5,Data!$B:$B,Working!$B25,Data!$C:$C,Working!O$4,Data!$H:$H,1),3)),IF(port0201!$B$8="TEU","z",ROUND(SUMIFS(CHOOSE(VLOOKUP(port0201!$B$8,Lookup!$A$1:$B$3,2,FALSE),Data!$D:$D,Data!$E:$E,Data!$H:$H),Data!$A:$A,Working!O$5,Data!$B:$B,Working!$B25,Data!$C:$C,Working!O$4,Data!$F:$F,port0201!$B$9),3)))</f>
        <v>5284.3</v>
      </c>
      <c r="P25" s="151">
        <f>IF(port0201!$B$9="All Routes",IF(port0201!$B$8="TEU","z",ROUND(SUMIFS(CHOOSE(VLOOKUP(port0201!$B$8,Lookup!$A$1:$B$3,2,FALSE),Data!$D:$D,Data!$E:$E,Data!$G:$G),Data!$A:$A,Working!P$5,Data!$B:$B,Working!$B25,Data!$C:$C,Working!P$4,Data!$H:$H,1),3)),IF(port0201!$B$8="TEU","z",ROUND(SUMIFS(CHOOSE(VLOOKUP(port0201!$B$8,Lookup!$A$1:$B$3,2,FALSE),Data!$D:$D,Data!$E:$E,Data!$H:$H),Data!$A:$A,Working!P$5,Data!$B:$B,Working!$B25,Data!$C:$C,Working!P$4,Data!$F:$F,port0201!$B$9),3)))</f>
        <v>5540.527</v>
      </c>
      <c r="Q25" s="151">
        <f>IF(port0201!$B$9="All Routes",IF(port0201!$B$8="TEU","z",ROUND(SUMIFS(CHOOSE(VLOOKUP(port0201!$B$8,Lookup!$A$1:$B$3,2,FALSE),Data!$D:$D,Data!$E:$E,Data!$G:$G),Data!$A:$A,Working!Q$5,Data!$B:$B,Working!$B25,Data!$C:$C,Working!Q$4,Data!$H:$H,1),3)),IF(port0201!$B$8="TEU","z",ROUND(SUMIFS(CHOOSE(VLOOKUP(port0201!$B$8,Lookup!$A$1:$B$3,2,FALSE),Data!$D:$D,Data!$E:$E,Data!$H:$H),Data!$A:$A,Working!Q$5,Data!$B:$B,Working!$B25,Data!$C:$C,Working!Q$4,Data!$F:$F,port0201!$B$9),3)))</f>
        <v>6350.9470000000001</v>
      </c>
      <c r="R25" s="151">
        <f>IF(port0201!$B$9="All Routes",IF(port0201!$B$8="TEU","z",ROUND(SUMIFS(CHOOSE(VLOOKUP(port0201!$B$8,Lookup!$A$1:$B$3,2,FALSE),Data!$D:$D,Data!$E:$E,Data!$G:$G),Data!$A:$A,Working!R$5,Data!$B:$B,Working!$B25,Data!$C:$C,Working!R$4,Data!$H:$H,1),3)),IF(port0201!$B$8="TEU","z",ROUND(SUMIFS(CHOOSE(VLOOKUP(port0201!$B$8,Lookup!$A$1:$B$3,2,FALSE),Data!$D:$D,Data!$E:$E,Data!$H:$H),Data!$A:$A,Working!R$5,Data!$B:$B,Working!$B25,Data!$C:$C,Working!R$4,Data!$F:$F,port0201!$B$9),3)))</f>
        <v>6962.3419999999996</v>
      </c>
      <c r="S25" s="151">
        <f>IF(port0201!$B$9="All Routes",IF(port0201!$B$8="TEU","z",ROUND(SUMIFS(CHOOSE(VLOOKUP(port0201!$B$8,Lookup!$A$1:$B$3,2,FALSE),Data!$D:$D,Data!$E:$E,Data!$G:$G),Data!$A:$A,Working!S$5,Data!$B:$B,Working!$B25,Data!$C:$C,Working!S$4,Data!$H:$H,1),3)),IF(port0201!$B$8="TEU","z",ROUND(SUMIFS(CHOOSE(VLOOKUP(port0201!$B$8,Lookup!$A$1:$B$3,2,FALSE),Data!$D:$D,Data!$E:$E,Data!$H:$H),Data!$A:$A,Working!S$5,Data!$B:$B,Working!$B25,Data!$C:$C,Working!S$4,Data!$F:$F,port0201!$B$9),3)))</f>
        <v>7033.9160000000002</v>
      </c>
      <c r="T25" s="151">
        <f>IF(port0201!$B$9="All Routes",IF(port0201!$B$8="TEU","z",ROUND(SUMIFS(CHOOSE(VLOOKUP(port0201!$B$8,Lookup!$A$1:$B$3,2,FALSE),Data!$D:$D,Data!$E:$E,Data!$G:$G),Data!$A:$A,Working!T$5,Data!$B:$B,Working!$B25,Data!$C:$C,Working!T$4,Data!$H:$H,1),3)),IF(port0201!$B$8="TEU","z",ROUND(SUMIFS(CHOOSE(VLOOKUP(port0201!$B$8,Lookup!$A$1:$B$3,2,FALSE),Data!$D:$D,Data!$E:$E,Data!$H:$H),Data!$A:$A,Working!T$5,Data!$B:$B,Working!$B25,Data!$C:$C,Working!T$4,Data!$F:$F,port0201!$B$9),3)))</f>
        <v>6711.2740000000003</v>
      </c>
      <c r="U25" s="151">
        <f>IF(port0201!$B$9="All Routes",IF(port0201!$B$8="TEU","z",ROUND(SUMIFS(CHOOSE(VLOOKUP(port0201!$B$8,Lookup!$A$1:$B$3,2,FALSE),Data!$D:$D,Data!$E:$E,Data!$G:$G),Data!$A:$A,Working!U$5,Data!$B:$B,Working!$B25,Data!$C:$C,Working!U$4,Data!$H:$H,1),3)),IF(port0201!$B$8="TEU","z",ROUND(SUMIFS(CHOOSE(VLOOKUP(port0201!$B$8,Lookup!$A$1:$B$3,2,FALSE),Data!$D:$D,Data!$E:$E,Data!$H:$H),Data!$A:$A,Working!U$5,Data!$B:$B,Working!$B25,Data!$C:$C,Working!U$4,Data!$F:$F,port0201!$B$9),3)))</f>
        <v>6093.8789999999999</v>
      </c>
      <c r="V25" s="151">
        <f>IF(port0201!$B$9="All Routes",IF(port0201!$B$8="TEU","z",ROUND(SUMIFS(CHOOSE(VLOOKUP(port0201!$B$8,Lookup!$A$1:$B$3,2,FALSE),Data!$D:$D,Data!$E:$E,Data!$G:$G),Data!$A:$A,Working!V$5,Data!$B:$B,Working!$B25,Data!$C:$C,Working!V$4,Data!$H:$H,1),3)),IF(port0201!$B$8="TEU","z",ROUND(SUMIFS(CHOOSE(VLOOKUP(port0201!$B$8,Lookup!$A$1:$B$3,2,FALSE),Data!$D:$D,Data!$E:$E,Data!$H:$H),Data!$A:$A,Working!V$5,Data!$B:$B,Working!$B25,Data!$C:$C,Working!V$4,Data!$F:$F,port0201!$B$9),3)))</f>
        <v>6667.2910000000002</v>
      </c>
      <c r="W25" s="151">
        <f>IF(port0201!$B$9="All Routes",IF(port0201!$B$8="TEU","z",ROUND(SUMIFS(CHOOSE(VLOOKUP(port0201!$B$8,Lookup!$A$1:$B$3,2,FALSE),Data!$D:$D,Data!$E:$E,Data!$G:$G),Data!$A:$A,Working!W$5,Data!$B:$B,Working!$B25,Data!$C:$C,Working!W$4,Data!$H:$H,1),3)),IF(port0201!$B$8="TEU","z",ROUND(SUMIFS(CHOOSE(VLOOKUP(port0201!$B$8,Lookup!$A$1:$B$3,2,FALSE),Data!$D:$D,Data!$E:$E,Data!$H:$H),Data!$A:$A,Working!W$5,Data!$B:$B,Working!$B25,Data!$C:$C,Working!W$4,Data!$F:$F,port0201!$B$9),3)))</f>
        <v>6161.2759999999998</v>
      </c>
      <c r="X25" s="151">
        <f>IF(port0201!$B$9="All Routes",IF(port0201!$B$8="TEU","z",ROUND(SUMIFS(CHOOSE(VLOOKUP(port0201!$B$8,Lookup!$A$1:$B$3,2,FALSE),Data!$D:$D,Data!$E:$E,Data!$G:$G),Data!$A:$A,Working!X$5,Data!$B:$B,Working!$B25,Data!$C:$C,Working!X$4,Data!$H:$H,1),3)),IF(port0201!$B$8="TEU","z",ROUND(SUMIFS(CHOOSE(VLOOKUP(port0201!$B$8,Lookup!$A$1:$B$3,2,FALSE),Data!$D:$D,Data!$E:$E,Data!$H:$H),Data!$A:$A,Working!X$5,Data!$B:$B,Working!$B25,Data!$C:$C,Working!X$4,Data!$F:$F,port0201!$B$9),3)))</f>
        <v>4606.933</v>
      </c>
      <c r="Y25" s="151">
        <f>IF(port0201!$B$9="All Routes",IF(port0201!$B$8="TEU","z",ROUND(SUMIFS(CHOOSE(VLOOKUP(port0201!$B$8,Lookup!$A$1:$B$3,2,FALSE),Data!$D:$D,Data!$E:$E,Data!$G:$G),Data!$A:$A,Working!Y$5,Data!$B:$B,Working!$B25,Data!$C:$C,Working!Y$4,Data!$H:$H,1),3)),IF(port0201!$B$8="TEU","z",ROUND(SUMIFS(CHOOSE(VLOOKUP(port0201!$B$8,Lookup!$A$1:$B$3,2,FALSE),Data!$D:$D,Data!$E:$E,Data!$H:$H),Data!$A:$A,Working!Y$5,Data!$B:$B,Working!$B25,Data!$C:$C,Working!Y$4,Data!$F:$F,port0201!$B$9),3)))</f>
        <v>4272.8130000000001</v>
      </c>
      <c r="Z25" s="151">
        <f>IF(port0201!$B$9="All Routes",IF(port0201!$B$8="TEU","z",ROUND(SUMIFS(CHOOSE(VLOOKUP(port0201!$B$8,Lookup!$A$1:$B$3,2,FALSE),Data!$D:$D,Data!$E:$E,Data!$G:$G),Data!$A:$A,Working!Z$5,Data!$B:$B,Working!$B25,Data!$C:$C,Working!Z$4,Data!$H:$H,1),3)),IF(port0201!$B$8="TEU","z",ROUND(SUMIFS(CHOOSE(VLOOKUP(port0201!$B$8,Lookup!$A$1:$B$3,2,FALSE),Data!$D:$D,Data!$E:$E,Data!$H:$H),Data!$A:$A,Working!Z$5,Data!$B:$B,Working!$B25,Data!$C:$C,Working!Z$4,Data!$F:$F,port0201!$B$9),3)))</f>
        <v>4953.3890000000001</v>
      </c>
      <c r="AA25" s="151">
        <f>IF(port0201!$B$9="All Routes",IF(port0201!$B$8="TEU","z",ROUND(SUMIFS(CHOOSE(VLOOKUP(port0201!$B$8,Lookup!$A$1:$B$3,2,FALSE),Data!$D:$D,Data!$E:$E,Data!$G:$G),Data!$A:$A,Working!AA$5,Data!$B:$B,Working!$B25,Data!$C:$C,Working!AA$4,Data!$H:$H,1),3)),IF(port0201!$B$8="TEU","z",ROUND(SUMIFS(CHOOSE(VLOOKUP(port0201!$B$8,Lookup!$A$1:$B$3,2,FALSE),Data!$D:$D,Data!$E:$E,Data!$H:$H),Data!$A:$A,Working!AA$5,Data!$B:$B,Working!$B25,Data!$C:$C,Working!AA$4,Data!$F:$F,port0201!$B$9),3)))</f>
        <v>5469.1850000000004</v>
      </c>
      <c r="AB25" s="151">
        <f>IF(port0201!$B$9="All Routes",IF(port0201!$B$8="TEU","z",ROUND(SUMIFS(CHOOSE(VLOOKUP(port0201!$B$8,Lookup!$A$1:$B$3,2,FALSE),Data!$D:$D,Data!$E:$E,Data!$G:$G),Data!$A:$A,Working!AB$5,Data!$B:$B,Working!$B25,Data!$C:$C,Working!AB$4,Data!$H:$H,1),3)),IF(port0201!$B$8="TEU","z",ROUND(SUMIFS(CHOOSE(VLOOKUP(port0201!$B$8,Lookup!$A$1:$B$3,2,FALSE),Data!$D:$D,Data!$E:$E,Data!$H:$H),Data!$A:$A,Working!AB$5,Data!$B:$B,Working!$B25,Data!$C:$C,Working!AB$4,Data!$F:$F,port0201!$B$9),3)))</f>
        <v>5343.6840000000002</v>
      </c>
      <c r="AC25" s="151">
        <f>IF(port0201!$B$9="All Routes",IF(port0201!$B$8="TEU","z",ROUND(SUMIFS(CHOOSE(VLOOKUP(port0201!$B$8,Lookup!$A$1:$B$3,2,FALSE),Data!$D:$D,Data!$E:$E,Data!$G:$G),Data!$A:$A,Working!AC$5,Data!$B:$B,Working!$B25,Data!$C:$C,Working!AC$4,Data!$H:$H,1),3)),IF(port0201!$B$8="TEU","z",ROUND(SUMIFS(CHOOSE(VLOOKUP(port0201!$B$8,Lookup!$A$1:$B$3,2,FALSE),Data!$D:$D,Data!$E:$E,Data!$H:$H),Data!$A:$A,Working!AC$5,Data!$B:$B,Working!$B25,Data!$C:$C,Working!AC$4,Data!$F:$F,port0201!$B$9),3)))</f>
        <v>5550.3789999999999</v>
      </c>
      <c r="AD25" s="133"/>
      <c r="AE25" s="127">
        <f t="shared" si="0"/>
        <v>3.8680243816812468E-2</v>
      </c>
      <c r="AF25" s="112">
        <f t="shared" si="1"/>
        <v>206.69499999999971</v>
      </c>
      <c r="AG25" s="133"/>
      <c r="AH25" s="133"/>
      <c r="AI25" s="133"/>
      <c r="AJ25" s="125">
        <f t="shared" si="2"/>
        <v>-125.5010000000002</v>
      </c>
      <c r="AK25" s="126">
        <f t="shared" si="3"/>
        <v>-2.2946929021417303E-2</v>
      </c>
    </row>
    <row r="26" spans="1:37" ht="14">
      <c r="A26" s="144" t="s">
        <v>166</v>
      </c>
      <c r="B26" s="119">
        <v>63</v>
      </c>
      <c r="C26" s="145" t="s">
        <v>168</v>
      </c>
      <c r="D26" s="151">
        <f>IF(port0201!$B$9="All Routes",IF(port0201!$B$8="TEU","z",ROUND(SUMIFS(CHOOSE(VLOOKUP(port0201!$B$8,Lookup!$A$1:$B$3,2,FALSE),Data!$D:$D,Data!$E:$E,Data!$G:$G),Data!$A:$A,Working!D$5,Data!$B:$B,Working!$B26,Data!$C:$C,Working!D$4,Data!$H:$H,1),3)),IF(port0201!$B$8="TEU","z",ROUND(SUMIFS(CHOOSE(VLOOKUP(port0201!$B$8,Lookup!$A$1:$B$3,2,FALSE),Data!$D:$D,Data!$E:$E,Data!$H:$H),Data!$A:$A,Working!D$5,Data!$B:$B,Working!$B26,Data!$C:$C,Working!D$4,Data!$F:$F,port0201!$B$9),3)))</f>
        <v>6165.89</v>
      </c>
      <c r="E26" s="151">
        <f>IF(port0201!$B$9="All Routes",IF(port0201!$B$8="TEU","z",ROUND(SUMIFS(CHOOSE(VLOOKUP(port0201!$B$8,Lookup!$A$1:$B$3,2,FALSE),Data!$D:$D,Data!$E:$E,Data!$G:$G),Data!$A:$A,Working!E$5,Data!$B:$B,Working!$B26,Data!$C:$C,Working!E$4,Data!$H:$H,1),3)),IF(port0201!$B$8="TEU","z",ROUND(SUMIFS(CHOOSE(VLOOKUP(port0201!$B$8,Lookup!$A$1:$B$3,2,FALSE),Data!$D:$D,Data!$E:$E,Data!$H:$H),Data!$A:$A,Working!E$5,Data!$B:$B,Working!$B26,Data!$C:$C,Working!E$4,Data!$F:$F,port0201!$B$9),3)))</f>
        <v>4846.2470000000003</v>
      </c>
      <c r="F26" s="151">
        <f>IF(port0201!$B$9="All Routes",IF(port0201!$B$8="TEU","z",ROUND(SUMIFS(CHOOSE(VLOOKUP(port0201!$B$8,Lookup!$A$1:$B$3,2,FALSE),Data!$D:$D,Data!$E:$E,Data!$G:$G),Data!$A:$A,Working!F$5,Data!$B:$B,Working!$B26,Data!$C:$C,Working!F$4,Data!$H:$H,1),3)),IF(port0201!$B$8="TEU","z",ROUND(SUMIFS(CHOOSE(VLOOKUP(port0201!$B$8,Lookup!$A$1:$B$3,2,FALSE),Data!$D:$D,Data!$E:$E,Data!$H:$H),Data!$A:$A,Working!F$5,Data!$B:$B,Working!$B26,Data!$C:$C,Working!F$4,Data!$F:$F,port0201!$B$9),3)))</f>
        <v>5293.5690000000004</v>
      </c>
      <c r="G26" s="151">
        <f>IF(port0201!$B$9="All Routes",IF(port0201!$B$8="TEU","z",ROUND(SUMIFS(CHOOSE(VLOOKUP(port0201!$B$8,Lookup!$A$1:$B$3,2,FALSE),Data!$D:$D,Data!$E:$E,Data!$G:$G),Data!$A:$A,Working!G$5,Data!$B:$B,Working!$B26,Data!$C:$C,Working!G$4,Data!$H:$H,1),3)),IF(port0201!$B$8="TEU","z",ROUND(SUMIFS(CHOOSE(VLOOKUP(port0201!$B$8,Lookup!$A$1:$B$3,2,FALSE),Data!$D:$D,Data!$E:$E,Data!$H:$H),Data!$A:$A,Working!G$5,Data!$B:$B,Working!$B26,Data!$C:$C,Working!G$4,Data!$F:$F,port0201!$B$9),3)))</f>
        <v>5505.0140000000001</v>
      </c>
      <c r="H26" s="151">
        <f>IF(port0201!$B$9="All Routes",IF(port0201!$B$8="TEU","z",ROUND(SUMIFS(CHOOSE(VLOOKUP(port0201!$B$8,Lookup!$A$1:$B$3,2,FALSE),Data!$D:$D,Data!$E:$E,Data!$G:$G),Data!$A:$A,Working!H$5,Data!$B:$B,Working!$B26,Data!$C:$C,Working!H$4,Data!$H:$H,1),3)),IF(port0201!$B$8="TEU","z",ROUND(SUMIFS(CHOOSE(VLOOKUP(port0201!$B$8,Lookup!$A$1:$B$3,2,FALSE),Data!$D:$D,Data!$E:$E,Data!$H:$H),Data!$A:$A,Working!H$5,Data!$B:$B,Working!$B26,Data!$C:$C,Working!H$4,Data!$F:$F,port0201!$B$9),3)))</f>
        <v>5483.1710000000003</v>
      </c>
      <c r="I26" s="151">
        <f>IF(port0201!$B$9="All Routes",IF(port0201!$B$8="TEU","z",ROUND(SUMIFS(CHOOSE(VLOOKUP(port0201!$B$8,Lookup!$A$1:$B$3,2,FALSE),Data!$D:$D,Data!$E:$E,Data!$G:$G),Data!$A:$A,Working!I$5,Data!$B:$B,Working!$B26,Data!$C:$C,Working!I$4,Data!$H:$H,1),3)),IF(port0201!$B$8="TEU","z",ROUND(SUMIFS(CHOOSE(VLOOKUP(port0201!$B$8,Lookup!$A$1:$B$3,2,FALSE),Data!$D:$D,Data!$E:$E,Data!$H:$H),Data!$A:$A,Working!I$5,Data!$B:$B,Working!$B26,Data!$C:$C,Working!I$4,Data!$F:$F,port0201!$B$9),3)))</f>
        <v>10064.44</v>
      </c>
      <c r="J26" s="151">
        <f>IF(port0201!$B$9="All Routes",IF(port0201!$B$8="TEU","z",ROUND(SUMIFS(CHOOSE(VLOOKUP(port0201!$B$8,Lookup!$A$1:$B$3,2,FALSE),Data!$D:$D,Data!$E:$E,Data!$G:$G),Data!$A:$A,Working!J$5,Data!$B:$B,Working!$B26,Data!$C:$C,Working!J$4,Data!$H:$H,1),3)),IF(port0201!$B$8="TEU","z",ROUND(SUMIFS(CHOOSE(VLOOKUP(port0201!$B$8,Lookup!$A$1:$B$3,2,FALSE),Data!$D:$D,Data!$E:$E,Data!$H:$H),Data!$A:$A,Working!J$5,Data!$B:$B,Working!$B26,Data!$C:$C,Working!J$4,Data!$F:$F,port0201!$B$9),3)))</f>
        <v>10837.384</v>
      </c>
      <c r="K26" s="151">
        <f>IF(port0201!$B$9="All Routes",IF(port0201!$B$8="TEU","z",ROUND(SUMIFS(CHOOSE(VLOOKUP(port0201!$B$8,Lookup!$A$1:$B$3,2,FALSE),Data!$D:$D,Data!$E:$E,Data!$G:$G),Data!$A:$A,Working!K$5,Data!$B:$B,Working!$B26,Data!$C:$C,Working!K$4,Data!$H:$H,1),3)),IF(port0201!$B$8="TEU","z",ROUND(SUMIFS(CHOOSE(VLOOKUP(port0201!$B$8,Lookup!$A$1:$B$3,2,FALSE),Data!$D:$D,Data!$E:$E,Data!$H:$H),Data!$A:$A,Working!K$5,Data!$B:$B,Working!$B26,Data!$C:$C,Working!K$4,Data!$F:$F,port0201!$B$9),3)))</f>
        <v>11098.967000000001</v>
      </c>
      <c r="L26" s="151">
        <f>IF(port0201!$B$9="All Routes",IF(port0201!$B$8="TEU","z",ROUND(SUMIFS(CHOOSE(VLOOKUP(port0201!$B$8,Lookup!$A$1:$B$3,2,FALSE),Data!$D:$D,Data!$E:$E,Data!$G:$G),Data!$A:$A,Working!L$5,Data!$B:$B,Working!$B26,Data!$C:$C,Working!L$4,Data!$H:$H,1),3)),IF(port0201!$B$8="TEU","z",ROUND(SUMIFS(CHOOSE(VLOOKUP(port0201!$B$8,Lookup!$A$1:$B$3,2,FALSE),Data!$D:$D,Data!$E:$E,Data!$H:$H),Data!$A:$A,Working!L$5,Data!$B:$B,Working!$B26,Data!$C:$C,Working!L$4,Data!$F:$F,port0201!$B$9),3)))</f>
        <v>10800.483</v>
      </c>
      <c r="M26" s="151">
        <f>IF(port0201!$B$9="All Routes",IF(port0201!$B$8="TEU","z",ROUND(SUMIFS(CHOOSE(VLOOKUP(port0201!$B$8,Lookup!$A$1:$B$3,2,FALSE),Data!$D:$D,Data!$E:$E,Data!$G:$G),Data!$A:$A,Working!M$5,Data!$B:$B,Working!$B26,Data!$C:$C,Working!M$4,Data!$H:$H,1),3)),IF(port0201!$B$8="TEU","z",ROUND(SUMIFS(CHOOSE(VLOOKUP(port0201!$B$8,Lookup!$A$1:$B$3,2,FALSE),Data!$D:$D,Data!$E:$E,Data!$H:$H),Data!$A:$A,Working!M$5,Data!$B:$B,Working!$B26,Data!$C:$C,Working!M$4,Data!$F:$F,port0201!$B$9),3)))</f>
        <v>11023.458000000001</v>
      </c>
      <c r="N26" s="151">
        <f>IF(port0201!$B$9="All Routes",IF(port0201!$B$8="TEU","z",ROUND(SUMIFS(CHOOSE(VLOOKUP(port0201!$B$8,Lookup!$A$1:$B$3,2,FALSE),Data!$D:$D,Data!$E:$E,Data!$G:$G),Data!$A:$A,Working!N$5,Data!$B:$B,Working!$B26,Data!$C:$C,Working!N$4,Data!$H:$H,1),3)),IF(port0201!$B$8="TEU","z",ROUND(SUMIFS(CHOOSE(VLOOKUP(port0201!$B$8,Lookup!$A$1:$B$3,2,FALSE),Data!$D:$D,Data!$E:$E,Data!$H:$H),Data!$A:$A,Working!N$5,Data!$B:$B,Working!$B26,Data!$C:$C,Working!N$4,Data!$F:$F,port0201!$B$9),3)))</f>
        <v>11204.699000000001</v>
      </c>
      <c r="O26" s="151">
        <f>IF(port0201!$B$9="All Routes",IF(port0201!$B$8="TEU","z",ROUND(SUMIFS(CHOOSE(VLOOKUP(port0201!$B$8,Lookup!$A$1:$B$3,2,FALSE),Data!$D:$D,Data!$E:$E,Data!$G:$G),Data!$A:$A,Working!O$5,Data!$B:$B,Working!$B26,Data!$C:$C,Working!O$4,Data!$H:$H,1),3)),IF(port0201!$B$8="TEU","z",ROUND(SUMIFS(CHOOSE(VLOOKUP(port0201!$B$8,Lookup!$A$1:$B$3,2,FALSE),Data!$D:$D,Data!$E:$E,Data!$H:$H),Data!$A:$A,Working!O$5,Data!$B:$B,Working!$B26,Data!$C:$C,Working!O$4,Data!$F:$F,port0201!$B$9),3)))</f>
        <v>11380.065000000001</v>
      </c>
      <c r="P26" s="151">
        <f>IF(port0201!$B$9="All Routes",IF(port0201!$B$8="TEU","z",ROUND(SUMIFS(CHOOSE(VLOOKUP(port0201!$B$8,Lookup!$A$1:$B$3,2,FALSE),Data!$D:$D,Data!$E:$E,Data!$G:$G),Data!$A:$A,Working!P$5,Data!$B:$B,Working!$B26,Data!$C:$C,Working!P$4,Data!$H:$H,1),3)),IF(port0201!$B$8="TEU","z",ROUND(SUMIFS(CHOOSE(VLOOKUP(port0201!$B$8,Lookup!$A$1:$B$3,2,FALSE),Data!$D:$D,Data!$E:$E,Data!$H:$H),Data!$A:$A,Working!P$5,Data!$B:$B,Working!$B26,Data!$C:$C,Working!P$4,Data!$F:$F,port0201!$B$9),3)))</f>
        <v>10705.550999999999</v>
      </c>
      <c r="Q26" s="151">
        <f>IF(port0201!$B$9="All Routes",IF(port0201!$B$8="TEU","z",ROUND(SUMIFS(CHOOSE(VLOOKUP(port0201!$B$8,Lookup!$A$1:$B$3,2,FALSE),Data!$D:$D,Data!$E:$E,Data!$G:$G),Data!$A:$A,Working!Q$5,Data!$B:$B,Working!$B26,Data!$C:$C,Working!Q$4,Data!$H:$H,1),3)),IF(port0201!$B$8="TEU","z",ROUND(SUMIFS(CHOOSE(VLOOKUP(port0201!$B$8,Lookup!$A$1:$B$3,2,FALSE),Data!$D:$D,Data!$E:$E,Data!$H:$H),Data!$A:$A,Working!Q$5,Data!$B:$B,Working!$B26,Data!$C:$C,Working!Q$4,Data!$F:$F,port0201!$B$9),3)))</f>
        <v>9642.2829999999994</v>
      </c>
      <c r="R26" s="151">
        <f>IF(port0201!$B$9="All Routes",IF(port0201!$B$8="TEU","z",ROUND(SUMIFS(CHOOSE(VLOOKUP(port0201!$B$8,Lookup!$A$1:$B$3,2,FALSE),Data!$D:$D,Data!$E:$E,Data!$G:$G),Data!$A:$A,Working!R$5,Data!$B:$B,Working!$B26,Data!$C:$C,Working!R$4,Data!$H:$H,1),3)),IF(port0201!$B$8="TEU","z",ROUND(SUMIFS(CHOOSE(VLOOKUP(port0201!$B$8,Lookup!$A$1:$B$3,2,FALSE),Data!$D:$D,Data!$E:$E,Data!$H:$H),Data!$A:$A,Working!R$5,Data!$B:$B,Working!$B26,Data!$C:$C,Working!R$4,Data!$F:$F,port0201!$B$9),3)))</f>
        <v>9601.3619999999992</v>
      </c>
      <c r="S26" s="151">
        <f>IF(port0201!$B$9="All Routes",IF(port0201!$B$8="TEU","z",ROUND(SUMIFS(CHOOSE(VLOOKUP(port0201!$B$8,Lookup!$A$1:$B$3,2,FALSE),Data!$D:$D,Data!$E:$E,Data!$G:$G),Data!$A:$A,Working!S$5,Data!$B:$B,Working!$B26,Data!$C:$C,Working!S$4,Data!$H:$H,1),3)),IF(port0201!$B$8="TEU","z",ROUND(SUMIFS(CHOOSE(VLOOKUP(port0201!$B$8,Lookup!$A$1:$B$3,2,FALSE),Data!$D:$D,Data!$E:$E,Data!$H:$H),Data!$A:$A,Working!S$5,Data!$B:$B,Working!$B26,Data!$C:$C,Working!S$4,Data!$F:$F,port0201!$B$9),3)))</f>
        <v>10014.355</v>
      </c>
      <c r="T26" s="151">
        <f>IF(port0201!$B$9="All Routes",IF(port0201!$B$8="TEU","z",ROUND(SUMIFS(CHOOSE(VLOOKUP(port0201!$B$8,Lookup!$A$1:$B$3,2,FALSE),Data!$D:$D,Data!$E:$E,Data!$G:$G),Data!$A:$A,Working!T$5,Data!$B:$B,Working!$B26,Data!$C:$C,Working!T$4,Data!$H:$H,1),3)),IF(port0201!$B$8="TEU","z",ROUND(SUMIFS(CHOOSE(VLOOKUP(port0201!$B$8,Lookup!$A$1:$B$3,2,FALSE),Data!$D:$D,Data!$E:$E,Data!$H:$H),Data!$A:$A,Working!T$5,Data!$B:$B,Working!$B26,Data!$C:$C,Working!T$4,Data!$F:$F,port0201!$B$9),3)))</f>
        <v>10277.418</v>
      </c>
      <c r="U26" s="151">
        <f>IF(port0201!$B$9="All Routes",IF(port0201!$B$8="TEU","z",ROUND(SUMIFS(CHOOSE(VLOOKUP(port0201!$B$8,Lookup!$A$1:$B$3,2,FALSE),Data!$D:$D,Data!$E:$E,Data!$G:$G),Data!$A:$A,Working!U$5,Data!$B:$B,Working!$B26,Data!$C:$C,Working!U$4,Data!$H:$H,1),3)),IF(port0201!$B$8="TEU","z",ROUND(SUMIFS(CHOOSE(VLOOKUP(port0201!$B$8,Lookup!$A$1:$B$3,2,FALSE),Data!$D:$D,Data!$E:$E,Data!$H:$H),Data!$A:$A,Working!U$5,Data!$B:$B,Working!$B26,Data!$C:$C,Working!U$4,Data!$F:$F,port0201!$B$9),3)))</f>
        <v>10412.58</v>
      </c>
      <c r="V26" s="151">
        <f>IF(port0201!$B$9="All Routes",IF(port0201!$B$8="TEU","z",ROUND(SUMIFS(CHOOSE(VLOOKUP(port0201!$B$8,Lookup!$A$1:$B$3,2,FALSE),Data!$D:$D,Data!$E:$E,Data!$G:$G),Data!$A:$A,Working!V$5,Data!$B:$B,Working!$B26,Data!$C:$C,Working!V$4,Data!$H:$H,1),3)),IF(port0201!$B$8="TEU","z",ROUND(SUMIFS(CHOOSE(VLOOKUP(port0201!$B$8,Lookup!$A$1:$B$3,2,FALSE),Data!$D:$D,Data!$E:$E,Data!$H:$H),Data!$A:$A,Working!V$5,Data!$B:$B,Working!$B26,Data!$C:$C,Working!V$4,Data!$F:$F,port0201!$B$9),3)))</f>
        <v>10244.424000000001</v>
      </c>
      <c r="W26" s="151">
        <f>IF(port0201!$B$9="All Routes",IF(port0201!$B$8="TEU","z",ROUND(SUMIFS(CHOOSE(VLOOKUP(port0201!$B$8,Lookup!$A$1:$B$3,2,FALSE),Data!$D:$D,Data!$E:$E,Data!$G:$G),Data!$A:$A,Working!W$5,Data!$B:$B,Working!$B26,Data!$C:$C,Working!W$4,Data!$H:$H,1),3)),IF(port0201!$B$8="TEU","z",ROUND(SUMIFS(CHOOSE(VLOOKUP(port0201!$B$8,Lookup!$A$1:$B$3,2,FALSE),Data!$D:$D,Data!$E:$E,Data!$H:$H),Data!$A:$A,Working!W$5,Data!$B:$B,Working!$B26,Data!$C:$C,Working!W$4,Data!$F:$F,port0201!$B$9),3)))</f>
        <v>9645.82</v>
      </c>
      <c r="X26" s="151">
        <f>IF(port0201!$B$9="All Routes",IF(port0201!$B$8="TEU","z",ROUND(SUMIFS(CHOOSE(VLOOKUP(port0201!$B$8,Lookup!$A$1:$B$3,2,FALSE),Data!$D:$D,Data!$E:$E,Data!$G:$G),Data!$A:$A,Working!X$5,Data!$B:$B,Working!$B26,Data!$C:$C,Working!X$4,Data!$H:$H,1),3)),IF(port0201!$B$8="TEU","z",ROUND(SUMIFS(CHOOSE(VLOOKUP(port0201!$B$8,Lookup!$A$1:$B$3,2,FALSE),Data!$D:$D,Data!$E:$E,Data!$H:$H),Data!$A:$A,Working!X$5,Data!$B:$B,Working!$B26,Data!$C:$C,Working!X$4,Data!$F:$F,port0201!$B$9),3)))</f>
        <v>9945.9279999999999</v>
      </c>
      <c r="Y26" s="151">
        <f>IF(port0201!$B$9="All Routes",IF(port0201!$B$8="TEU","z",ROUND(SUMIFS(CHOOSE(VLOOKUP(port0201!$B$8,Lookup!$A$1:$B$3,2,FALSE),Data!$D:$D,Data!$E:$E,Data!$G:$G),Data!$A:$A,Working!Y$5,Data!$B:$B,Working!$B26,Data!$C:$C,Working!Y$4,Data!$H:$H,1),3)),IF(port0201!$B$8="TEU","z",ROUND(SUMIFS(CHOOSE(VLOOKUP(port0201!$B$8,Lookup!$A$1:$B$3,2,FALSE),Data!$D:$D,Data!$E:$E,Data!$H:$H),Data!$A:$A,Working!Y$5,Data!$B:$B,Working!$B26,Data!$C:$C,Working!Y$4,Data!$F:$F,port0201!$B$9),3)))</f>
        <v>9401.1959999999999</v>
      </c>
      <c r="Z26" s="151">
        <f>IF(port0201!$B$9="All Routes",IF(port0201!$B$8="TEU","z",ROUND(SUMIFS(CHOOSE(VLOOKUP(port0201!$B$8,Lookup!$A$1:$B$3,2,FALSE),Data!$D:$D,Data!$E:$E,Data!$G:$G),Data!$A:$A,Working!Z$5,Data!$B:$B,Working!$B26,Data!$C:$C,Working!Z$4,Data!$H:$H,1),3)),IF(port0201!$B$8="TEU","z",ROUND(SUMIFS(CHOOSE(VLOOKUP(port0201!$B$8,Lookup!$A$1:$B$3,2,FALSE),Data!$D:$D,Data!$E:$E,Data!$H:$H),Data!$A:$A,Working!Z$5,Data!$B:$B,Working!$B26,Data!$C:$C,Working!Z$4,Data!$F:$F,port0201!$B$9),3)))</f>
        <v>10104.228999999999</v>
      </c>
      <c r="AA26" s="151">
        <f>IF(port0201!$B$9="All Routes",IF(port0201!$B$8="TEU","z",ROUND(SUMIFS(CHOOSE(VLOOKUP(port0201!$B$8,Lookup!$A$1:$B$3,2,FALSE),Data!$D:$D,Data!$E:$E,Data!$G:$G),Data!$A:$A,Working!AA$5,Data!$B:$B,Working!$B26,Data!$C:$C,Working!AA$4,Data!$H:$H,1),3)),IF(port0201!$B$8="TEU","z",ROUND(SUMIFS(CHOOSE(VLOOKUP(port0201!$B$8,Lookup!$A$1:$B$3,2,FALSE),Data!$D:$D,Data!$E:$E,Data!$H:$H),Data!$A:$A,Working!AA$5,Data!$B:$B,Working!$B26,Data!$C:$C,Working!AA$4,Data!$F:$F,port0201!$B$9),3)))</f>
        <v>8630.5169999999998</v>
      </c>
      <c r="AB26" s="151">
        <f>IF(port0201!$B$9="All Routes",IF(port0201!$B$8="TEU","z",ROUND(SUMIFS(CHOOSE(VLOOKUP(port0201!$B$8,Lookup!$A$1:$B$3,2,FALSE),Data!$D:$D,Data!$E:$E,Data!$G:$G),Data!$A:$A,Working!AB$5,Data!$B:$B,Working!$B26,Data!$C:$C,Working!AB$4,Data!$H:$H,1),3)),IF(port0201!$B$8="TEU","z",ROUND(SUMIFS(CHOOSE(VLOOKUP(port0201!$B$8,Lookup!$A$1:$B$3,2,FALSE),Data!$D:$D,Data!$E:$E,Data!$H:$H),Data!$A:$A,Working!AB$5,Data!$B:$B,Working!$B26,Data!$C:$C,Working!AB$4,Data!$F:$F,port0201!$B$9),3)))</f>
        <v>9042.5120000000006</v>
      </c>
      <c r="AC26" s="151">
        <f>IF(port0201!$B$9="All Routes",IF(port0201!$B$8="TEU","z",ROUND(SUMIFS(CHOOSE(VLOOKUP(port0201!$B$8,Lookup!$A$1:$B$3,2,FALSE),Data!$D:$D,Data!$E:$E,Data!$G:$G),Data!$A:$A,Working!AC$5,Data!$B:$B,Working!$B26,Data!$C:$C,Working!AC$4,Data!$H:$H,1),3)),IF(port0201!$B$8="TEU","z",ROUND(SUMIFS(CHOOSE(VLOOKUP(port0201!$B$8,Lookup!$A$1:$B$3,2,FALSE),Data!$D:$D,Data!$E:$E,Data!$H:$H),Data!$A:$A,Working!AC$5,Data!$B:$B,Working!$B26,Data!$C:$C,Working!AC$4,Data!$F:$F,port0201!$B$9),3)))</f>
        <v>7389.8869999999997</v>
      </c>
      <c r="AD26" s="133"/>
      <c r="AE26" s="127">
        <f t="shared" si="0"/>
        <v>-0.18276171488630602</v>
      </c>
      <c r="AF26" s="112">
        <f t="shared" si="1"/>
        <v>-1652.6250000000009</v>
      </c>
      <c r="AG26" s="133"/>
      <c r="AH26" s="133"/>
      <c r="AI26" s="133"/>
      <c r="AJ26" s="125">
        <f t="shared" si="2"/>
        <v>411.9950000000008</v>
      </c>
      <c r="AK26" s="126">
        <f t="shared" si="3"/>
        <v>4.7737001155319064E-2</v>
      </c>
    </row>
    <row r="27" spans="1:37" ht="14">
      <c r="A27" s="144" t="s">
        <v>166</v>
      </c>
      <c r="B27" s="119">
        <v>62</v>
      </c>
      <c r="C27" s="145" t="s">
        <v>169</v>
      </c>
      <c r="D27" s="151">
        <f>IF(port0201!$B$9="All Routes",IF(port0201!$B$8="TEU","z",ROUND(SUMIFS(CHOOSE(VLOOKUP(port0201!$B$8,Lookup!$A$1:$B$3,2,FALSE),Data!$D:$D,Data!$E:$E,Data!$G:$G),Data!$A:$A,Working!D$5,Data!$B:$B,Working!$B27,Data!$C:$C,Working!D$4,Data!$H:$H,1),3)),IF(port0201!$B$8="TEU","z",ROUND(SUMIFS(CHOOSE(VLOOKUP(port0201!$B$8,Lookup!$A$1:$B$3,2,FALSE),Data!$D:$D,Data!$E:$E,Data!$H:$H),Data!$A:$A,Working!D$5,Data!$B:$B,Working!$B27,Data!$C:$C,Working!D$4,Data!$F:$F,port0201!$B$9),3)))</f>
        <v>569.62699999999995</v>
      </c>
      <c r="E27" s="151">
        <f>IF(port0201!$B$9="All Routes",IF(port0201!$B$8="TEU","z",ROUND(SUMIFS(CHOOSE(VLOOKUP(port0201!$B$8,Lookup!$A$1:$B$3,2,FALSE),Data!$D:$D,Data!$E:$E,Data!$G:$G),Data!$A:$A,Working!E$5,Data!$B:$B,Working!$B27,Data!$C:$C,Working!E$4,Data!$H:$H,1),3)),IF(port0201!$B$8="TEU","z",ROUND(SUMIFS(CHOOSE(VLOOKUP(port0201!$B$8,Lookup!$A$1:$B$3,2,FALSE),Data!$D:$D,Data!$E:$E,Data!$H:$H),Data!$A:$A,Working!E$5,Data!$B:$B,Working!$B27,Data!$C:$C,Working!E$4,Data!$F:$F,port0201!$B$9),3)))</f>
        <v>798.73299999999995</v>
      </c>
      <c r="F27" s="151">
        <f>IF(port0201!$B$9="All Routes",IF(port0201!$B$8="TEU","z",ROUND(SUMIFS(CHOOSE(VLOOKUP(port0201!$B$8,Lookup!$A$1:$B$3,2,FALSE),Data!$D:$D,Data!$E:$E,Data!$G:$G),Data!$A:$A,Working!F$5,Data!$B:$B,Working!$B27,Data!$C:$C,Working!F$4,Data!$H:$H,1),3)),IF(port0201!$B$8="TEU","z",ROUND(SUMIFS(CHOOSE(VLOOKUP(port0201!$B$8,Lookup!$A$1:$B$3,2,FALSE),Data!$D:$D,Data!$E:$E,Data!$H:$H),Data!$A:$A,Working!F$5,Data!$B:$B,Working!$B27,Data!$C:$C,Working!F$4,Data!$F:$F,port0201!$B$9),3)))</f>
        <v>616.07600000000002</v>
      </c>
      <c r="G27" s="151">
        <f>IF(port0201!$B$9="All Routes",IF(port0201!$B$8="TEU","z",ROUND(SUMIFS(CHOOSE(VLOOKUP(port0201!$B$8,Lookup!$A$1:$B$3,2,FALSE),Data!$D:$D,Data!$E:$E,Data!$G:$G),Data!$A:$A,Working!G$5,Data!$B:$B,Working!$B27,Data!$C:$C,Working!G$4,Data!$H:$H,1),3)),IF(port0201!$B$8="TEU","z",ROUND(SUMIFS(CHOOSE(VLOOKUP(port0201!$B$8,Lookup!$A$1:$B$3,2,FALSE),Data!$D:$D,Data!$E:$E,Data!$H:$H),Data!$A:$A,Working!G$5,Data!$B:$B,Working!$B27,Data!$C:$C,Working!G$4,Data!$F:$F,port0201!$B$9),3)))</f>
        <v>649.44200000000001</v>
      </c>
      <c r="H27" s="151">
        <f>IF(port0201!$B$9="All Routes",IF(port0201!$B$8="TEU","z",ROUND(SUMIFS(CHOOSE(VLOOKUP(port0201!$B$8,Lookup!$A$1:$B$3,2,FALSE),Data!$D:$D,Data!$E:$E,Data!$G:$G),Data!$A:$A,Working!H$5,Data!$B:$B,Working!$B27,Data!$C:$C,Working!H$4,Data!$H:$H,1),3)),IF(port0201!$B$8="TEU","z",ROUND(SUMIFS(CHOOSE(VLOOKUP(port0201!$B$8,Lookup!$A$1:$B$3,2,FALSE),Data!$D:$D,Data!$E:$E,Data!$H:$H),Data!$A:$A,Working!H$5,Data!$B:$B,Working!$B27,Data!$C:$C,Working!H$4,Data!$F:$F,port0201!$B$9),3)))</f>
        <v>878.05499999999995</v>
      </c>
      <c r="I27" s="151">
        <f>IF(port0201!$B$9="All Routes",IF(port0201!$B$8="TEU","z",ROUND(SUMIFS(CHOOSE(VLOOKUP(port0201!$B$8,Lookup!$A$1:$B$3,2,FALSE),Data!$D:$D,Data!$E:$E,Data!$G:$G),Data!$A:$A,Working!I$5,Data!$B:$B,Working!$B27,Data!$C:$C,Working!I$4,Data!$H:$H,1),3)),IF(port0201!$B$8="TEU","z",ROUND(SUMIFS(CHOOSE(VLOOKUP(port0201!$B$8,Lookup!$A$1:$B$3,2,FALSE),Data!$D:$D,Data!$E:$E,Data!$H:$H),Data!$A:$A,Working!I$5,Data!$B:$B,Working!$B27,Data!$C:$C,Working!I$4,Data!$F:$F,port0201!$B$9),3)))</f>
        <v>422.95299999999997</v>
      </c>
      <c r="J27" s="151">
        <f>IF(port0201!$B$9="All Routes",IF(port0201!$B$8="TEU","z",ROUND(SUMIFS(CHOOSE(VLOOKUP(port0201!$B$8,Lookup!$A$1:$B$3,2,FALSE),Data!$D:$D,Data!$E:$E,Data!$G:$G),Data!$A:$A,Working!J$5,Data!$B:$B,Working!$B27,Data!$C:$C,Working!J$4,Data!$H:$H,1),3)),IF(port0201!$B$8="TEU","z",ROUND(SUMIFS(CHOOSE(VLOOKUP(port0201!$B$8,Lookup!$A$1:$B$3,2,FALSE),Data!$D:$D,Data!$E:$E,Data!$H:$H),Data!$A:$A,Working!J$5,Data!$B:$B,Working!$B27,Data!$C:$C,Working!J$4,Data!$F:$F,port0201!$B$9),3)))</f>
        <v>1042.8409999999999</v>
      </c>
      <c r="K27" s="151">
        <f>IF(port0201!$B$9="All Routes",IF(port0201!$B$8="TEU","z",ROUND(SUMIFS(CHOOSE(VLOOKUP(port0201!$B$8,Lookup!$A$1:$B$3,2,FALSE),Data!$D:$D,Data!$E:$E,Data!$G:$G),Data!$A:$A,Working!K$5,Data!$B:$B,Working!$B27,Data!$C:$C,Working!K$4,Data!$H:$H,1),3)),IF(port0201!$B$8="TEU","z",ROUND(SUMIFS(CHOOSE(VLOOKUP(port0201!$B$8,Lookup!$A$1:$B$3,2,FALSE),Data!$D:$D,Data!$E:$E,Data!$H:$H),Data!$A:$A,Working!K$5,Data!$B:$B,Working!$B27,Data!$C:$C,Working!K$4,Data!$F:$F,port0201!$B$9),3)))</f>
        <v>1024.0119999999999</v>
      </c>
      <c r="L27" s="151">
        <f>IF(port0201!$B$9="All Routes",IF(port0201!$B$8="TEU","z",ROUND(SUMIFS(CHOOSE(VLOOKUP(port0201!$B$8,Lookup!$A$1:$B$3,2,FALSE),Data!$D:$D,Data!$E:$E,Data!$G:$G),Data!$A:$A,Working!L$5,Data!$B:$B,Working!$B27,Data!$C:$C,Working!L$4,Data!$H:$H,1),3)),IF(port0201!$B$8="TEU","z",ROUND(SUMIFS(CHOOSE(VLOOKUP(port0201!$B$8,Lookup!$A$1:$B$3,2,FALSE),Data!$D:$D,Data!$E:$E,Data!$H:$H),Data!$A:$A,Working!L$5,Data!$B:$B,Working!$B27,Data!$C:$C,Working!L$4,Data!$F:$F,port0201!$B$9),3)))</f>
        <v>931.66499999999996</v>
      </c>
      <c r="M27" s="151">
        <f>IF(port0201!$B$9="All Routes",IF(port0201!$B$8="TEU","z",ROUND(SUMIFS(CHOOSE(VLOOKUP(port0201!$B$8,Lookup!$A$1:$B$3,2,FALSE),Data!$D:$D,Data!$E:$E,Data!$G:$G),Data!$A:$A,Working!M$5,Data!$B:$B,Working!$B27,Data!$C:$C,Working!M$4,Data!$H:$H,1),3)),IF(port0201!$B$8="TEU","z",ROUND(SUMIFS(CHOOSE(VLOOKUP(port0201!$B$8,Lookup!$A$1:$B$3,2,FALSE),Data!$D:$D,Data!$E:$E,Data!$H:$H),Data!$A:$A,Working!M$5,Data!$B:$B,Working!$B27,Data!$C:$C,Working!M$4,Data!$F:$F,port0201!$B$9),3)))</f>
        <v>734.06600000000003</v>
      </c>
      <c r="N27" s="151">
        <f>IF(port0201!$B$9="All Routes",IF(port0201!$B$8="TEU","z",ROUND(SUMIFS(CHOOSE(VLOOKUP(port0201!$B$8,Lookup!$A$1:$B$3,2,FALSE),Data!$D:$D,Data!$E:$E,Data!$G:$G),Data!$A:$A,Working!N$5,Data!$B:$B,Working!$B27,Data!$C:$C,Working!N$4,Data!$H:$H,1),3)),IF(port0201!$B$8="TEU","z",ROUND(SUMIFS(CHOOSE(VLOOKUP(port0201!$B$8,Lookup!$A$1:$B$3,2,FALSE),Data!$D:$D,Data!$E:$E,Data!$H:$H),Data!$A:$A,Working!N$5,Data!$B:$B,Working!$B27,Data!$C:$C,Working!N$4,Data!$F:$F,port0201!$B$9),3)))</f>
        <v>625.57299999999998</v>
      </c>
      <c r="O27" s="151">
        <f>IF(port0201!$B$9="All Routes",IF(port0201!$B$8="TEU","z",ROUND(SUMIFS(CHOOSE(VLOOKUP(port0201!$B$8,Lookup!$A$1:$B$3,2,FALSE),Data!$D:$D,Data!$E:$E,Data!$G:$G),Data!$A:$A,Working!O$5,Data!$B:$B,Working!$B27,Data!$C:$C,Working!O$4,Data!$H:$H,1),3)),IF(port0201!$B$8="TEU","z",ROUND(SUMIFS(CHOOSE(VLOOKUP(port0201!$B$8,Lookup!$A$1:$B$3,2,FALSE),Data!$D:$D,Data!$E:$E,Data!$H:$H),Data!$A:$A,Working!O$5,Data!$B:$B,Working!$B27,Data!$C:$C,Working!O$4,Data!$F:$F,port0201!$B$9),3)))</f>
        <v>310.97199999999998</v>
      </c>
      <c r="P27" s="151">
        <f>IF(port0201!$B$9="All Routes",IF(port0201!$B$8="TEU","z",ROUND(SUMIFS(CHOOSE(VLOOKUP(port0201!$B$8,Lookup!$A$1:$B$3,2,FALSE),Data!$D:$D,Data!$E:$E,Data!$G:$G),Data!$A:$A,Working!P$5,Data!$B:$B,Working!$B27,Data!$C:$C,Working!P$4,Data!$H:$H,1),3)),IF(port0201!$B$8="TEU","z",ROUND(SUMIFS(CHOOSE(VLOOKUP(port0201!$B$8,Lookup!$A$1:$B$3,2,FALSE),Data!$D:$D,Data!$E:$E,Data!$H:$H),Data!$A:$A,Working!P$5,Data!$B:$B,Working!$B27,Data!$C:$C,Working!P$4,Data!$F:$F,port0201!$B$9),3)))</f>
        <v>337.416</v>
      </c>
      <c r="Q27" s="151">
        <f>IF(port0201!$B$9="All Routes",IF(port0201!$B$8="TEU","z",ROUND(SUMIFS(CHOOSE(VLOOKUP(port0201!$B$8,Lookup!$A$1:$B$3,2,FALSE),Data!$D:$D,Data!$E:$E,Data!$G:$G),Data!$A:$A,Working!Q$5,Data!$B:$B,Working!$B27,Data!$C:$C,Working!Q$4,Data!$H:$H,1),3)),IF(port0201!$B$8="TEU","z",ROUND(SUMIFS(CHOOSE(VLOOKUP(port0201!$B$8,Lookup!$A$1:$B$3,2,FALSE),Data!$D:$D,Data!$E:$E,Data!$H:$H),Data!$A:$A,Working!Q$5,Data!$B:$B,Working!$B27,Data!$C:$C,Working!Q$4,Data!$F:$F,port0201!$B$9),3)))</f>
        <v>471.61200000000002</v>
      </c>
      <c r="R27" s="151">
        <f>IF(port0201!$B$9="All Routes",IF(port0201!$B$8="TEU","z",ROUND(SUMIFS(CHOOSE(VLOOKUP(port0201!$B$8,Lookup!$A$1:$B$3,2,FALSE),Data!$D:$D,Data!$E:$E,Data!$G:$G),Data!$A:$A,Working!R$5,Data!$B:$B,Working!$B27,Data!$C:$C,Working!R$4,Data!$H:$H,1),3)),IF(port0201!$B$8="TEU","z",ROUND(SUMIFS(CHOOSE(VLOOKUP(port0201!$B$8,Lookup!$A$1:$B$3,2,FALSE),Data!$D:$D,Data!$E:$E,Data!$H:$H),Data!$A:$A,Working!R$5,Data!$B:$B,Working!$B27,Data!$C:$C,Working!R$4,Data!$F:$F,port0201!$B$9),3)))</f>
        <v>238.21299999999999</v>
      </c>
      <c r="S27" s="151">
        <f>IF(port0201!$B$9="All Routes",IF(port0201!$B$8="TEU","z",ROUND(SUMIFS(CHOOSE(VLOOKUP(port0201!$B$8,Lookup!$A$1:$B$3,2,FALSE),Data!$D:$D,Data!$E:$E,Data!$G:$G),Data!$A:$A,Working!S$5,Data!$B:$B,Working!$B27,Data!$C:$C,Working!S$4,Data!$H:$H,1),3)),IF(port0201!$B$8="TEU","z",ROUND(SUMIFS(CHOOSE(VLOOKUP(port0201!$B$8,Lookup!$A$1:$B$3,2,FALSE),Data!$D:$D,Data!$E:$E,Data!$H:$H),Data!$A:$A,Working!S$5,Data!$B:$B,Working!$B27,Data!$C:$C,Working!S$4,Data!$F:$F,port0201!$B$9),3)))</f>
        <v>113.845</v>
      </c>
      <c r="T27" s="151">
        <f>IF(port0201!$B$9="All Routes",IF(port0201!$B$8="TEU","z",ROUND(SUMIFS(CHOOSE(VLOOKUP(port0201!$B$8,Lookup!$A$1:$B$3,2,FALSE),Data!$D:$D,Data!$E:$E,Data!$G:$G),Data!$A:$A,Working!T$5,Data!$B:$B,Working!$B27,Data!$C:$C,Working!T$4,Data!$H:$H,1),3)),IF(port0201!$B$8="TEU","z",ROUND(SUMIFS(CHOOSE(VLOOKUP(port0201!$B$8,Lookup!$A$1:$B$3,2,FALSE),Data!$D:$D,Data!$E:$E,Data!$H:$H),Data!$A:$A,Working!T$5,Data!$B:$B,Working!$B27,Data!$C:$C,Working!T$4,Data!$F:$F,port0201!$B$9),3)))</f>
        <v>181.98099999999999</v>
      </c>
      <c r="U27" s="151">
        <f>IF(port0201!$B$9="All Routes",IF(port0201!$B$8="TEU","z",ROUND(SUMIFS(CHOOSE(VLOOKUP(port0201!$B$8,Lookup!$A$1:$B$3,2,FALSE),Data!$D:$D,Data!$E:$E,Data!$G:$G),Data!$A:$A,Working!U$5,Data!$B:$B,Working!$B27,Data!$C:$C,Working!U$4,Data!$H:$H,1),3)),IF(port0201!$B$8="TEU","z",ROUND(SUMIFS(CHOOSE(VLOOKUP(port0201!$B$8,Lookup!$A$1:$B$3,2,FALSE),Data!$D:$D,Data!$E:$E,Data!$H:$H),Data!$A:$A,Working!U$5,Data!$B:$B,Working!$B27,Data!$C:$C,Working!U$4,Data!$F:$F,port0201!$B$9),3)))</f>
        <v>137.53800000000001</v>
      </c>
      <c r="V27" s="151">
        <f>IF(port0201!$B$9="All Routes",IF(port0201!$B$8="TEU","z",ROUND(SUMIFS(CHOOSE(VLOOKUP(port0201!$B$8,Lookup!$A$1:$B$3,2,FALSE),Data!$D:$D,Data!$E:$E,Data!$G:$G),Data!$A:$A,Working!V$5,Data!$B:$B,Working!$B27,Data!$C:$C,Working!V$4,Data!$H:$H,1),3)),IF(port0201!$B$8="TEU","z",ROUND(SUMIFS(CHOOSE(VLOOKUP(port0201!$B$8,Lookup!$A$1:$B$3,2,FALSE),Data!$D:$D,Data!$E:$E,Data!$H:$H),Data!$A:$A,Working!V$5,Data!$B:$B,Working!$B27,Data!$C:$C,Working!V$4,Data!$F:$F,port0201!$B$9),3)))</f>
        <v>109.765</v>
      </c>
      <c r="W27" s="151">
        <f>IF(port0201!$B$9="All Routes",IF(port0201!$B$8="TEU","z",ROUND(SUMIFS(CHOOSE(VLOOKUP(port0201!$B$8,Lookup!$A$1:$B$3,2,FALSE),Data!$D:$D,Data!$E:$E,Data!$G:$G),Data!$A:$A,Working!W$5,Data!$B:$B,Working!$B27,Data!$C:$C,Working!W$4,Data!$H:$H,1),3)),IF(port0201!$B$8="TEU","z",ROUND(SUMIFS(CHOOSE(VLOOKUP(port0201!$B$8,Lookup!$A$1:$B$3,2,FALSE),Data!$D:$D,Data!$E:$E,Data!$H:$H),Data!$A:$A,Working!W$5,Data!$B:$B,Working!$B27,Data!$C:$C,Working!W$4,Data!$F:$F,port0201!$B$9),3)))</f>
        <v>236.58</v>
      </c>
      <c r="X27" s="151">
        <f>IF(port0201!$B$9="All Routes",IF(port0201!$B$8="TEU","z",ROUND(SUMIFS(CHOOSE(VLOOKUP(port0201!$B$8,Lookup!$A$1:$B$3,2,FALSE),Data!$D:$D,Data!$E:$E,Data!$G:$G),Data!$A:$A,Working!X$5,Data!$B:$B,Working!$B27,Data!$C:$C,Working!X$4,Data!$H:$H,1),3)),IF(port0201!$B$8="TEU","z",ROUND(SUMIFS(CHOOSE(VLOOKUP(port0201!$B$8,Lookup!$A$1:$B$3,2,FALSE),Data!$D:$D,Data!$E:$E,Data!$H:$H),Data!$A:$A,Working!X$5,Data!$B:$B,Working!$B27,Data!$C:$C,Working!X$4,Data!$F:$F,port0201!$B$9),3)))</f>
        <v>135.51</v>
      </c>
      <c r="Y27" s="151">
        <f>IF(port0201!$B$9="All Routes",IF(port0201!$B$8="TEU","z",ROUND(SUMIFS(CHOOSE(VLOOKUP(port0201!$B$8,Lookup!$A$1:$B$3,2,FALSE),Data!$D:$D,Data!$E:$E,Data!$G:$G),Data!$A:$A,Working!Y$5,Data!$B:$B,Working!$B27,Data!$C:$C,Working!Y$4,Data!$H:$H,1),3)),IF(port0201!$B$8="TEU","z",ROUND(SUMIFS(CHOOSE(VLOOKUP(port0201!$B$8,Lookup!$A$1:$B$3,2,FALSE),Data!$D:$D,Data!$E:$E,Data!$H:$H),Data!$A:$A,Working!Y$5,Data!$B:$B,Working!$B27,Data!$C:$C,Working!Y$4,Data!$F:$F,port0201!$B$9),3)))</f>
        <v>299.99799999999999</v>
      </c>
      <c r="Z27" s="151">
        <f>IF(port0201!$B$9="All Routes",IF(port0201!$B$8="TEU","z",ROUND(SUMIFS(CHOOSE(VLOOKUP(port0201!$B$8,Lookup!$A$1:$B$3,2,FALSE),Data!$D:$D,Data!$E:$E,Data!$G:$G),Data!$A:$A,Working!Z$5,Data!$B:$B,Working!$B27,Data!$C:$C,Working!Z$4,Data!$H:$H,1),3)),IF(port0201!$B$8="TEU","z",ROUND(SUMIFS(CHOOSE(VLOOKUP(port0201!$B$8,Lookup!$A$1:$B$3,2,FALSE),Data!$D:$D,Data!$E:$E,Data!$H:$H),Data!$A:$A,Working!Z$5,Data!$B:$B,Working!$B27,Data!$C:$C,Working!Z$4,Data!$F:$F,port0201!$B$9),3)))</f>
        <v>221.62100000000001</v>
      </c>
      <c r="AA27" s="151">
        <f>IF(port0201!$B$9="All Routes",IF(port0201!$B$8="TEU","z",ROUND(SUMIFS(CHOOSE(VLOOKUP(port0201!$B$8,Lookup!$A$1:$B$3,2,FALSE),Data!$D:$D,Data!$E:$E,Data!$G:$G),Data!$A:$A,Working!AA$5,Data!$B:$B,Working!$B27,Data!$C:$C,Working!AA$4,Data!$H:$H,1),3)),IF(port0201!$B$8="TEU","z",ROUND(SUMIFS(CHOOSE(VLOOKUP(port0201!$B$8,Lookup!$A$1:$B$3,2,FALSE),Data!$D:$D,Data!$E:$E,Data!$H:$H),Data!$A:$A,Working!AA$5,Data!$B:$B,Working!$B27,Data!$C:$C,Working!AA$4,Data!$F:$F,port0201!$B$9),3)))</f>
        <v>242.809</v>
      </c>
      <c r="AB27" s="151">
        <f>IF(port0201!$B$9="All Routes",IF(port0201!$B$8="TEU","z",ROUND(SUMIFS(CHOOSE(VLOOKUP(port0201!$B$8,Lookup!$A$1:$B$3,2,FALSE),Data!$D:$D,Data!$E:$E,Data!$G:$G),Data!$A:$A,Working!AB$5,Data!$B:$B,Working!$B27,Data!$C:$C,Working!AB$4,Data!$H:$H,1),3)),IF(port0201!$B$8="TEU","z",ROUND(SUMIFS(CHOOSE(VLOOKUP(port0201!$B$8,Lookup!$A$1:$B$3,2,FALSE),Data!$D:$D,Data!$E:$E,Data!$H:$H),Data!$A:$A,Working!AB$5,Data!$B:$B,Working!$B27,Data!$C:$C,Working!AB$4,Data!$F:$F,port0201!$B$9),3)))</f>
        <v>249.11</v>
      </c>
      <c r="AC27" s="151">
        <f>IF(port0201!$B$9="All Routes",IF(port0201!$B$8="TEU","z",ROUND(SUMIFS(CHOOSE(VLOOKUP(port0201!$B$8,Lookup!$A$1:$B$3,2,FALSE),Data!$D:$D,Data!$E:$E,Data!$G:$G),Data!$A:$A,Working!AC$5,Data!$B:$B,Working!$B27,Data!$C:$C,Working!AC$4,Data!$H:$H,1),3)),IF(port0201!$B$8="TEU","z",ROUND(SUMIFS(CHOOSE(VLOOKUP(port0201!$B$8,Lookup!$A$1:$B$3,2,FALSE),Data!$D:$D,Data!$E:$E,Data!$H:$H),Data!$A:$A,Working!AC$5,Data!$B:$B,Working!$B27,Data!$C:$C,Working!AC$4,Data!$F:$F,port0201!$B$9),3)))</f>
        <v>153.77199999999999</v>
      </c>
      <c r="AD27" s="133"/>
      <c r="AE27" s="127">
        <f t="shared" si="0"/>
        <v>-0.38271446349002458</v>
      </c>
      <c r="AF27" s="112">
        <f t="shared" si="1"/>
        <v>-95.338000000000022</v>
      </c>
      <c r="AG27" s="133"/>
      <c r="AH27" s="133"/>
      <c r="AI27" s="133"/>
      <c r="AJ27" s="125">
        <f t="shared" si="2"/>
        <v>6.3010000000000161</v>
      </c>
      <c r="AK27" s="126">
        <f t="shared" si="3"/>
        <v>2.5950438410437902E-2</v>
      </c>
    </row>
    <row r="28" spans="1:37" ht="14">
      <c r="A28" s="144" t="s">
        <v>166</v>
      </c>
      <c r="B28" s="119">
        <v>56</v>
      </c>
      <c r="C28" s="145" t="s">
        <v>90</v>
      </c>
      <c r="D28" s="151">
        <f>IF(port0201!$B$9="All Routes",IF(port0201!$B$8="TEU","z",ROUND(SUMIFS(CHOOSE(VLOOKUP(port0201!$B$8,Lookup!$A$1:$B$3,2,FALSE),Data!$D:$D,Data!$E:$E,Data!$G:$G),Data!$A:$A,Working!D$5,Data!$B:$B,Working!$B28,Data!$C:$C,Working!D$4,Data!$H:$H,1),3)),IF(port0201!$B$8="TEU","z",ROUND(SUMIFS(CHOOSE(VLOOKUP(port0201!$B$8,Lookup!$A$1:$B$3,2,FALSE),Data!$D:$D,Data!$E:$E,Data!$H:$H),Data!$A:$A,Working!D$5,Data!$B:$B,Working!$B28,Data!$C:$C,Working!D$4,Data!$F:$F,port0201!$B$9),3)))</f>
        <v>20.88</v>
      </c>
      <c r="E28" s="151">
        <f>IF(port0201!$B$9="All Routes",IF(port0201!$B$8="TEU","z",ROUND(SUMIFS(CHOOSE(VLOOKUP(port0201!$B$8,Lookup!$A$1:$B$3,2,FALSE),Data!$D:$D,Data!$E:$E,Data!$G:$G),Data!$A:$A,Working!E$5,Data!$B:$B,Working!$B28,Data!$C:$C,Working!E$4,Data!$H:$H,1),3)),IF(port0201!$B$8="TEU","z",ROUND(SUMIFS(CHOOSE(VLOOKUP(port0201!$B$8,Lookup!$A$1:$B$3,2,FALSE),Data!$D:$D,Data!$E:$E,Data!$H:$H),Data!$A:$A,Working!E$5,Data!$B:$B,Working!$B28,Data!$C:$C,Working!E$4,Data!$F:$F,port0201!$B$9),3)))</f>
        <v>8.5269999999999992</v>
      </c>
      <c r="F28" s="151">
        <f>IF(port0201!$B$9="All Routes",IF(port0201!$B$8="TEU","z",ROUND(SUMIFS(CHOOSE(VLOOKUP(port0201!$B$8,Lookup!$A$1:$B$3,2,FALSE),Data!$D:$D,Data!$E:$E,Data!$G:$G),Data!$A:$A,Working!F$5,Data!$B:$B,Working!$B28,Data!$C:$C,Working!F$4,Data!$H:$H,1),3)),IF(port0201!$B$8="TEU","z",ROUND(SUMIFS(CHOOSE(VLOOKUP(port0201!$B$8,Lookup!$A$1:$B$3,2,FALSE),Data!$D:$D,Data!$E:$E,Data!$H:$H),Data!$A:$A,Working!F$5,Data!$B:$B,Working!$B28,Data!$C:$C,Working!F$4,Data!$F:$F,port0201!$B$9),3)))</f>
        <v>0.434</v>
      </c>
      <c r="G28" s="151">
        <f>IF(port0201!$B$9="All Routes",IF(port0201!$B$8="TEU","z",ROUND(SUMIFS(CHOOSE(VLOOKUP(port0201!$B$8,Lookup!$A$1:$B$3,2,FALSE),Data!$D:$D,Data!$E:$E,Data!$G:$G),Data!$A:$A,Working!G$5,Data!$B:$B,Working!$B28,Data!$C:$C,Working!G$4,Data!$H:$H,1),3)),IF(port0201!$B$8="TEU","z",ROUND(SUMIFS(CHOOSE(VLOOKUP(port0201!$B$8,Lookup!$A$1:$B$3,2,FALSE),Data!$D:$D,Data!$E:$E,Data!$H:$H),Data!$A:$A,Working!G$5,Data!$B:$B,Working!$B28,Data!$C:$C,Working!G$4,Data!$F:$F,port0201!$B$9),3)))</f>
        <v>5.3999999999999999E-2</v>
      </c>
      <c r="H28" s="151">
        <f>IF(port0201!$B$9="All Routes",IF(port0201!$B$8="TEU","z",ROUND(SUMIFS(CHOOSE(VLOOKUP(port0201!$B$8,Lookup!$A$1:$B$3,2,FALSE),Data!$D:$D,Data!$E:$E,Data!$G:$G),Data!$A:$A,Working!H$5,Data!$B:$B,Working!$B28,Data!$C:$C,Working!H$4,Data!$H:$H,1),3)),IF(port0201!$B$8="TEU","z",ROUND(SUMIFS(CHOOSE(VLOOKUP(port0201!$B$8,Lookup!$A$1:$B$3,2,FALSE),Data!$D:$D,Data!$E:$E,Data!$H:$H),Data!$A:$A,Working!H$5,Data!$B:$B,Working!$B28,Data!$C:$C,Working!H$4,Data!$F:$F,port0201!$B$9),3)))</f>
        <v>7.2999999999999995E-2</v>
      </c>
      <c r="I28" s="151">
        <f>IF(port0201!$B$9="All Routes",IF(port0201!$B$8="TEU","z",ROUND(SUMIFS(CHOOSE(VLOOKUP(port0201!$B$8,Lookup!$A$1:$B$3,2,FALSE),Data!$D:$D,Data!$E:$E,Data!$G:$G),Data!$A:$A,Working!I$5,Data!$B:$B,Working!$B28,Data!$C:$C,Working!I$4,Data!$H:$H,1),3)),IF(port0201!$B$8="TEU","z",ROUND(SUMIFS(CHOOSE(VLOOKUP(port0201!$B$8,Lookup!$A$1:$B$3,2,FALSE),Data!$D:$D,Data!$E:$E,Data!$H:$H),Data!$A:$A,Working!I$5,Data!$B:$B,Working!$B28,Data!$C:$C,Working!I$4,Data!$F:$F,port0201!$B$9),3)))</f>
        <v>0</v>
      </c>
      <c r="J28" s="151">
        <f>IF(port0201!$B$9="All Routes",IF(port0201!$B$8="TEU","z",ROUND(SUMIFS(CHOOSE(VLOOKUP(port0201!$B$8,Lookup!$A$1:$B$3,2,FALSE),Data!$D:$D,Data!$E:$E,Data!$G:$G),Data!$A:$A,Working!J$5,Data!$B:$B,Working!$B28,Data!$C:$C,Working!J$4,Data!$H:$H,1),3)),IF(port0201!$B$8="TEU","z",ROUND(SUMIFS(CHOOSE(VLOOKUP(port0201!$B$8,Lookup!$A$1:$B$3,2,FALSE),Data!$D:$D,Data!$E:$E,Data!$H:$H),Data!$A:$A,Working!J$5,Data!$B:$B,Working!$B28,Data!$C:$C,Working!J$4,Data!$F:$F,port0201!$B$9),3)))</f>
        <v>0</v>
      </c>
      <c r="K28" s="151">
        <f>IF(port0201!$B$9="All Routes",IF(port0201!$B$8="TEU","z",ROUND(SUMIFS(CHOOSE(VLOOKUP(port0201!$B$8,Lookup!$A$1:$B$3,2,FALSE),Data!$D:$D,Data!$E:$E,Data!$G:$G),Data!$A:$A,Working!K$5,Data!$B:$B,Working!$B28,Data!$C:$C,Working!K$4,Data!$H:$H,1),3)),IF(port0201!$B$8="TEU","z",ROUND(SUMIFS(CHOOSE(VLOOKUP(port0201!$B$8,Lookup!$A$1:$B$3,2,FALSE),Data!$D:$D,Data!$E:$E,Data!$H:$H),Data!$A:$A,Working!K$5,Data!$B:$B,Working!$B28,Data!$C:$C,Working!K$4,Data!$F:$F,port0201!$B$9),3)))</f>
        <v>3</v>
      </c>
      <c r="L28" s="151">
        <f>IF(port0201!$B$9="All Routes",IF(port0201!$B$8="TEU","z",ROUND(SUMIFS(CHOOSE(VLOOKUP(port0201!$B$8,Lookup!$A$1:$B$3,2,FALSE),Data!$D:$D,Data!$E:$E,Data!$G:$G),Data!$A:$A,Working!L$5,Data!$B:$B,Working!$B28,Data!$C:$C,Working!L$4,Data!$H:$H,1),3)),IF(port0201!$B$8="TEU","z",ROUND(SUMIFS(CHOOSE(VLOOKUP(port0201!$B$8,Lookup!$A$1:$B$3,2,FALSE),Data!$D:$D,Data!$E:$E,Data!$H:$H),Data!$A:$A,Working!L$5,Data!$B:$B,Working!$B28,Data!$C:$C,Working!L$4,Data!$F:$F,port0201!$B$9),3)))</f>
        <v>0</v>
      </c>
      <c r="M28" s="151">
        <f>IF(port0201!$B$9="All Routes",IF(port0201!$B$8="TEU","z",ROUND(SUMIFS(CHOOSE(VLOOKUP(port0201!$B$8,Lookup!$A$1:$B$3,2,FALSE),Data!$D:$D,Data!$E:$E,Data!$G:$G),Data!$A:$A,Working!M$5,Data!$B:$B,Working!$B28,Data!$C:$C,Working!M$4,Data!$H:$H,1),3)),IF(port0201!$B$8="TEU","z",ROUND(SUMIFS(CHOOSE(VLOOKUP(port0201!$B$8,Lookup!$A$1:$B$3,2,FALSE),Data!$D:$D,Data!$E:$E,Data!$H:$H),Data!$A:$A,Working!M$5,Data!$B:$B,Working!$B28,Data!$C:$C,Working!M$4,Data!$F:$F,port0201!$B$9),3)))</f>
        <v>0</v>
      </c>
      <c r="N28" s="151">
        <f>IF(port0201!$B$9="All Routes",IF(port0201!$B$8="TEU","z",ROUND(SUMIFS(CHOOSE(VLOOKUP(port0201!$B$8,Lookup!$A$1:$B$3,2,FALSE),Data!$D:$D,Data!$E:$E,Data!$G:$G),Data!$A:$A,Working!N$5,Data!$B:$B,Working!$B28,Data!$C:$C,Working!N$4,Data!$H:$H,1),3)),IF(port0201!$B$8="TEU","z",ROUND(SUMIFS(CHOOSE(VLOOKUP(port0201!$B$8,Lookup!$A$1:$B$3,2,FALSE),Data!$D:$D,Data!$E:$E,Data!$H:$H),Data!$A:$A,Working!N$5,Data!$B:$B,Working!$B28,Data!$C:$C,Working!N$4,Data!$F:$F,port0201!$B$9),3)))</f>
        <v>0</v>
      </c>
      <c r="O28" s="151">
        <f>IF(port0201!$B$9="All Routes",IF(port0201!$B$8="TEU","z",ROUND(SUMIFS(CHOOSE(VLOOKUP(port0201!$B$8,Lookup!$A$1:$B$3,2,FALSE),Data!$D:$D,Data!$E:$E,Data!$G:$G),Data!$A:$A,Working!O$5,Data!$B:$B,Working!$B28,Data!$C:$C,Working!O$4,Data!$H:$H,1),3)),IF(port0201!$B$8="TEU","z",ROUND(SUMIFS(CHOOSE(VLOOKUP(port0201!$B$8,Lookup!$A$1:$B$3,2,FALSE),Data!$D:$D,Data!$E:$E,Data!$H:$H),Data!$A:$A,Working!O$5,Data!$B:$B,Working!$B28,Data!$C:$C,Working!O$4,Data!$F:$F,port0201!$B$9),3)))</f>
        <v>0</v>
      </c>
      <c r="P28" s="151">
        <f>IF(port0201!$B$9="All Routes",IF(port0201!$B$8="TEU","z",ROUND(SUMIFS(CHOOSE(VLOOKUP(port0201!$B$8,Lookup!$A$1:$B$3,2,FALSE),Data!$D:$D,Data!$E:$E,Data!$G:$G),Data!$A:$A,Working!P$5,Data!$B:$B,Working!$B28,Data!$C:$C,Working!P$4,Data!$H:$H,1),3)),IF(port0201!$B$8="TEU","z",ROUND(SUMIFS(CHOOSE(VLOOKUP(port0201!$B$8,Lookup!$A$1:$B$3,2,FALSE),Data!$D:$D,Data!$E:$E,Data!$H:$H),Data!$A:$A,Working!P$5,Data!$B:$B,Working!$B28,Data!$C:$C,Working!P$4,Data!$F:$F,port0201!$B$9),3)))</f>
        <v>0</v>
      </c>
      <c r="Q28" s="151">
        <f>IF(port0201!$B$9="All Routes",IF(port0201!$B$8="TEU","z",ROUND(SUMIFS(CHOOSE(VLOOKUP(port0201!$B$8,Lookup!$A$1:$B$3,2,FALSE),Data!$D:$D,Data!$E:$E,Data!$G:$G),Data!$A:$A,Working!Q$5,Data!$B:$B,Working!$B28,Data!$C:$C,Working!Q$4,Data!$H:$H,1),3)),IF(port0201!$B$8="TEU","z",ROUND(SUMIFS(CHOOSE(VLOOKUP(port0201!$B$8,Lookup!$A$1:$B$3,2,FALSE),Data!$D:$D,Data!$E:$E,Data!$H:$H),Data!$A:$A,Working!Q$5,Data!$B:$B,Working!$B28,Data!$C:$C,Working!Q$4,Data!$F:$F,port0201!$B$9),3)))</f>
        <v>0</v>
      </c>
      <c r="R28" s="151">
        <f>IF(port0201!$B$9="All Routes",IF(port0201!$B$8="TEU","z",ROUND(SUMIFS(CHOOSE(VLOOKUP(port0201!$B$8,Lookup!$A$1:$B$3,2,FALSE),Data!$D:$D,Data!$E:$E,Data!$G:$G),Data!$A:$A,Working!R$5,Data!$B:$B,Working!$B28,Data!$C:$C,Working!R$4,Data!$H:$H,1),3)),IF(port0201!$B$8="TEU","z",ROUND(SUMIFS(CHOOSE(VLOOKUP(port0201!$B$8,Lookup!$A$1:$B$3,2,FALSE),Data!$D:$D,Data!$E:$E,Data!$H:$H),Data!$A:$A,Working!R$5,Data!$B:$B,Working!$B28,Data!$C:$C,Working!R$4,Data!$F:$F,port0201!$B$9),3)))</f>
        <v>0</v>
      </c>
      <c r="S28" s="151">
        <f>IF(port0201!$B$9="All Routes",IF(port0201!$B$8="TEU","z",ROUND(SUMIFS(CHOOSE(VLOOKUP(port0201!$B$8,Lookup!$A$1:$B$3,2,FALSE),Data!$D:$D,Data!$E:$E,Data!$G:$G),Data!$A:$A,Working!S$5,Data!$B:$B,Working!$B28,Data!$C:$C,Working!S$4,Data!$H:$H,1),3)),IF(port0201!$B$8="TEU","z",ROUND(SUMIFS(CHOOSE(VLOOKUP(port0201!$B$8,Lookup!$A$1:$B$3,2,FALSE),Data!$D:$D,Data!$E:$E,Data!$H:$H),Data!$A:$A,Working!S$5,Data!$B:$B,Working!$B28,Data!$C:$C,Working!S$4,Data!$F:$F,port0201!$B$9),3)))</f>
        <v>0</v>
      </c>
      <c r="T28" s="151">
        <f>IF(port0201!$B$9="All Routes",IF(port0201!$B$8="TEU","z",ROUND(SUMIFS(CHOOSE(VLOOKUP(port0201!$B$8,Lookup!$A$1:$B$3,2,FALSE),Data!$D:$D,Data!$E:$E,Data!$G:$G),Data!$A:$A,Working!T$5,Data!$B:$B,Working!$B28,Data!$C:$C,Working!T$4,Data!$H:$H,1),3)),IF(port0201!$B$8="TEU","z",ROUND(SUMIFS(CHOOSE(VLOOKUP(port0201!$B$8,Lookup!$A$1:$B$3,2,FALSE),Data!$D:$D,Data!$E:$E,Data!$H:$H),Data!$A:$A,Working!T$5,Data!$B:$B,Working!$B28,Data!$C:$C,Working!T$4,Data!$F:$F,port0201!$B$9),3)))</f>
        <v>0</v>
      </c>
      <c r="U28" s="151">
        <f>IF(port0201!$B$9="All Routes",IF(port0201!$B$8="TEU","z",ROUND(SUMIFS(CHOOSE(VLOOKUP(port0201!$B$8,Lookup!$A$1:$B$3,2,FALSE),Data!$D:$D,Data!$E:$E,Data!$G:$G),Data!$A:$A,Working!U$5,Data!$B:$B,Working!$B28,Data!$C:$C,Working!U$4,Data!$H:$H,1),3)),IF(port0201!$B$8="TEU","z",ROUND(SUMIFS(CHOOSE(VLOOKUP(port0201!$B$8,Lookup!$A$1:$B$3,2,FALSE),Data!$D:$D,Data!$E:$E,Data!$H:$H),Data!$A:$A,Working!U$5,Data!$B:$B,Working!$B28,Data!$C:$C,Working!U$4,Data!$F:$F,port0201!$B$9),3)))</f>
        <v>0</v>
      </c>
      <c r="V28" s="151">
        <f>IF(port0201!$B$9="All Routes",IF(port0201!$B$8="TEU","z",ROUND(SUMIFS(CHOOSE(VLOOKUP(port0201!$B$8,Lookup!$A$1:$B$3,2,FALSE),Data!$D:$D,Data!$E:$E,Data!$G:$G),Data!$A:$A,Working!V$5,Data!$B:$B,Working!$B28,Data!$C:$C,Working!V$4,Data!$H:$H,1),3)),IF(port0201!$B$8="TEU","z",ROUND(SUMIFS(CHOOSE(VLOOKUP(port0201!$B$8,Lookup!$A$1:$B$3,2,FALSE),Data!$D:$D,Data!$E:$E,Data!$H:$H),Data!$A:$A,Working!V$5,Data!$B:$B,Working!$B28,Data!$C:$C,Working!V$4,Data!$F:$F,port0201!$B$9),3)))</f>
        <v>0</v>
      </c>
      <c r="W28" s="151">
        <f>IF(port0201!$B$9="All Routes",IF(port0201!$B$8="TEU","z",ROUND(SUMIFS(CHOOSE(VLOOKUP(port0201!$B$8,Lookup!$A$1:$B$3,2,FALSE),Data!$D:$D,Data!$E:$E,Data!$G:$G),Data!$A:$A,Working!W$5,Data!$B:$B,Working!$B28,Data!$C:$C,Working!W$4,Data!$H:$H,1),3)),IF(port0201!$B$8="TEU","z",ROUND(SUMIFS(CHOOSE(VLOOKUP(port0201!$B$8,Lookup!$A$1:$B$3,2,FALSE),Data!$D:$D,Data!$E:$E,Data!$H:$H),Data!$A:$A,Working!W$5,Data!$B:$B,Working!$B28,Data!$C:$C,Working!W$4,Data!$F:$F,port0201!$B$9),3)))</f>
        <v>0</v>
      </c>
      <c r="X28" s="151">
        <f>IF(port0201!$B$9="All Routes",IF(port0201!$B$8="TEU","z",ROUND(SUMIFS(CHOOSE(VLOOKUP(port0201!$B$8,Lookup!$A$1:$B$3,2,FALSE),Data!$D:$D,Data!$E:$E,Data!$G:$G),Data!$A:$A,Working!X$5,Data!$B:$B,Working!$B28,Data!$C:$C,Working!X$4,Data!$H:$H,1),3)),IF(port0201!$B$8="TEU","z",ROUND(SUMIFS(CHOOSE(VLOOKUP(port0201!$B$8,Lookup!$A$1:$B$3,2,FALSE),Data!$D:$D,Data!$E:$E,Data!$H:$H),Data!$A:$A,Working!X$5,Data!$B:$B,Working!$B28,Data!$C:$C,Working!X$4,Data!$F:$F,port0201!$B$9),3)))</f>
        <v>0</v>
      </c>
      <c r="Y28" s="151">
        <f>IF(port0201!$B$9="All Routes",IF(port0201!$B$8="TEU","z",ROUND(SUMIFS(CHOOSE(VLOOKUP(port0201!$B$8,Lookup!$A$1:$B$3,2,FALSE),Data!$D:$D,Data!$E:$E,Data!$G:$G),Data!$A:$A,Working!Y$5,Data!$B:$B,Working!$B28,Data!$C:$C,Working!Y$4,Data!$H:$H,1),3)),IF(port0201!$B$8="TEU","z",ROUND(SUMIFS(CHOOSE(VLOOKUP(port0201!$B$8,Lookup!$A$1:$B$3,2,FALSE),Data!$D:$D,Data!$E:$E,Data!$H:$H),Data!$A:$A,Working!Y$5,Data!$B:$B,Working!$B28,Data!$C:$C,Working!Y$4,Data!$F:$F,port0201!$B$9),3)))</f>
        <v>0</v>
      </c>
      <c r="Z28" s="151">
        <f>IF(port0201!$B$9="All Routes",IF(port0201!$B$8="TEU","z",ROUND(SUMIFS(CHOOSE(VLOOKUP(port0201!$B$8,Lookup!$A$1:$B$3,2,FALSE),Data!$D:$D,Data!$E:$E,Data!$G:$G),Data!$A:$A,Working!Z$5,Data!$B:$B,Working!$B28,Data!$C:$C,Working!Z$4,Data!$H:$H,1),3)),IF(port0201!$B$8="TEU","z",ROUND(SUMIFS(CHOOSE(VLOOKUP(port0201!$B$8,Lookup!$A$1:$B$3,2,FALSE),Data!$D:$D,Data!$E:$E,Data!$H:$H),Data!$A:$A,Working!Z$5,Data!$B:$B,Working!$B28,Data!$C:$C,Working!Z$4,Data!$F:$F,port0201!$B$9),3)))</f>
        <v>0</v>
      </c>
      <c r="AA28" s="151">
        <f>IF(port0201!$B$9="All Routes",IF(port0201!$B$8="TEU","z",ROUND(SUMIFS(CHOOSE(VLOOKUP(port0201!$B$8,Lookup!$A$1:$B$3,2,FALSE),Data!$D:$D,Data!$E:$E,Data!$G:$G),Data!$A:$A,Working!AA$5,Data!$B:$B,Working!$B28,Data!$C:$C,Working!AA$4,Data!$H:$H,1),3)),IF(port0201!$B$8="TEU","z",ROUND(SUMIFS(CHOOSE(VLOOKUP(port0201!$B$8,Lookup!$A$1:$B$3,2,FALSE),Data!$D:$D,Data!$E:$E,Data!$H:$H),Data!$A:$A,Working!AA$5,Data!$B:$B,Working!$B28,Data!$C:$C,Working!AA$4,Data!$F:$F,port0201!$B$9),3)))</f>
        <v>0</v>
      </c>
      <c r="AB28" s="151">
        <f>IF(port0201!$B$9="All Routes",IF(port0201!$B$8="TEU","z",ROUND(SUMIFS(CHOOSE(VLOOKUP(port0201!$B$8,Lookup!$A$1:$B$3,2,FALSE),Data!$D:$D,Data!$E:$E,Data!$G:$G),Data!$A:$A,Working!AB$5,Data!$B:$B,Working!$B28,Data!$C:$C,Working!AB$4,Data!$H:$H,1),3)),IF(port0201!$B$8="TEU","z",ROUND(SUMIFS(CHOOSE(VLOOKUP(port0201!$B$8,Lookup!$A$1:$B$3,2,FALSE),Data!$D:$D,Data!$E:$E,Data!$H:$H),Data!$A:$A,Working!AB$5,Data!$B:$B,Working!$B28,Data!$C:$C,Working!AB$4,Data!$F:$F,port0201!$B$9),3)))</f>
        <v>0</v>
      </c>
      <c r="AC28" s="151">
        <f>IF(port0201!$B$9="All Routes",IF(port0201!$B$8="TEU","z",ROUND(SUMIFS(CHOOSE(VLOOKUP(port0201!$B$8,Lookup!$A$1:$B$3,2,FALSE),Data!$D:$D,Data!$E:$E,Data!$G:$G),Data!$A:$A,Working!AC$5,Data!$B:$B,Working!$B28,Data!$C:$C,Working!AC$4,Data!$H:$H,1),3)),IF(port0201!$B$8="TEU","z",ROUND(SUMIFS(CHOOSE(VLOOKUP(port0201!$B$8,Lookup!$A$1:$B$3,2,FALSE),Data!$D:$D,Data!$E:$E,Data!$H:$H),Data!$A:$A,Working!AC$5,Data!$B:$B,Working!$B28,Data!$C:$C,Working!AC$4,Data!$F:$F,port0201!$B$9),3)))</f>
        <v>0</v>
      </c>
      <c r="AD28" s="133"/>
      <c r="AE28" s="127" t="e">
        <f t="shared" si="0"/>
        <v>#DIV/0!</v>
      </c>
      <c r="AF28" s="112">
        <f t="shared" si="1"/>
        <v>0</v>
      </c>
      <c r="AG28" s="133"/>
      <c r="AH28" s="133"/>
      <c r="AI28" s="133"/>
      <c r="AJ28" s="125">
        <f t="shared" si="2"/>
        <v>0</v>
      </c>
      <c r="AK28" s="126" t="e">
        <f t="shared" si="3"/>
        <v>#DIV/0!</v>
      </c>
    </row>
    <row r="29" spans="1:37" ht="14">
      <c r="A29" s="144" t="s">
        <v>166</v>
      </c>
      <c r="B29" s="119" t="s">
        <v>170</v>
      </c>
      <c r="C29" s="145" t="s">
        <v>171</v>
      </c>
      <c r="D29" s="153">
        <f>IF(port0201!$B$9="All Routes",IF(port0201!$B$8="TEU","z",ROUND(SUMIFS(CHOOSE(VLOOKUP(port0201!$B$8,Lookup!$A$1:$B$3,2,FALSE),Data!$D:$D,Data!$E:$E,Data!$G:$G),Data!$A:$A,Working!D$5,Data!$B:$B,59,Data!$C:$C,Working!D$4,Data!$H:$H,1)+SUMIFS(CHOOSE(VLOOKUP(port0201!$B$8,Lookup!$A$1:$B$3,2,FALSE),Data!$D:$D,Data!$E:$E,Data!$G:$G),Data!$A:$A,Working!D$5,Data!$B:$B,69,Data!$C:$C,Working!D$4,Data!$H:$H,1),3)),IF(port0201!$B$8="TEU","z",ROUND(SUMIFS(CHOOSE(VLOOKUP(port0201!$B$8,Lookup!$A$1:$B$3,2,FALSE),Data!$D:$D,Data!$E:$E,Data!$H:$H),Data!$A:$A,Working!D$5,Data!$B:$B,59,Data!$C:$C,Working!D$4,Data!$F:$F,port0201!$B$9)+SUMIFS(CHOOSE(VLOOKUP(port0201!$B$8,Lookup!$A$1:$B$3,2,FALSE),Data!$D:$D,Data!$E:$E,Data!$H:$H),Data!$A:$A,Working!D$5,Data!$B:$B,69,Data!$C:$C,Working!D$4,Data!$F:$F,port0201!$B$9),3)))</f>
        <v>1055.4369999999999</v>
      </c>
      <c r="E29" s="153">
        <f>IF(port0201!$B$9="All Routes",IF(port0201!$B$8="TEU","z",ROUND(SUMIFS(CHOOSE(VLOOKUP(port0201!$B$8,Lookup!$A$1:$B$3,2,FALSE),Data!$D:$D,Data!$E:$E,Data!$G:$G),Data!$A:$A,Working!E$5,Data!$B:$B,59,Data!$C:$C,Working!E$4,Data!$H:$H,1)+SUMIFS(CHOOSE(VLOOKUP(port0201!$B$8,Lookup!$A$1:$B$3,2,FALSE),Data!$D:$D,Data!$E:$E,Data!$G:$G),Data!$A:$A,Working!E$5,Data!$B:$B,69,Data!$C:$C,Working!E$4,Data!$H:$H,1),3)),IF(port0201!$B$8="TEU","z",ROUND(SUMIFS(CHOOSE(VLOOKUP(port0201!$B$8,Lookup!$A$1:$B$3,2,FALSE),Data!$D:$D,Data!$E:$E,Data!$H:$H),Data!$A:$A,Working!E$5,Data!$B:$B,59,Data!$C:$C,Working!E$4,Data!$F:$F,port0201!$B$9)+SUMIFS(CHOOSE(VLOOKUP(port0201!$B$8,Lookup!$A$1:$B$3,2,FALSE),Data!$D:$D,Data!$E:$E,Data!$H:$H),Data!$A:$A,Working!E$5,Data!$B:$B,69,Data!$C:$C,Working!E$4,Data!$F:$F,port0201!$B$9),3)))</f>
        <v>1131.942</v>
      </c>
      <c r="F29" s="153">
        <f>IF(port0201!$B$9="All Routes",IF(port0201!$B$8="TEU","z",ROUND(SUMIFS(CHOOSE(VLOOKUP(port0201!$B$8,Lookup!$A$1:$B$3,2,FALSE),Data!$D:$D,Data!$E:$E,Data!$G:$G),Data!$A:$A,Working!F$5,Data!$B:$B,59,Data!$C:$C,Working!F$4,Data!$H:$H,1)+SUMIFS(CHOOSE(VLOOKUP(port0201!$B$8,Lookup!$A$1:$B$3,2,FALSE),Data!$D:$D,Data!$E:$E,Data!$G:$G),Data!$A:$A,Working!F$5,Data!$B:$B,69,Data!$C:$C,Working!F$4,Data!$H:$H,1),3)),IF(port0201!$B$8="TEU","z",ROUND(SUMIFS(CHOOSE(VLOOKUP(port0201!$B$8,Lookup!$A$1:$B$3,2,FALSE),Data!$D:$D,Data!$E:$E,Data!$H:$H),Data!$A:$A,Working!F$5,Data!$B:$B,59,Data!$C:$C,Working!F$4,Data!$F:$F,port0201!$B$9)+SUMIFS(CHOOSE(VLOOKUP(port0201!$B$8,Lookup!$A$1:$B$3,2,FALSE),Data!$D:$D,Data!$E:$E,Data!$H:$H),Data!$A:$A,Working!F$5,Data!$B:$B,69,Data!$C:$C,Working!F$4,Data!$F:$F,port0201!$B$9),3)))</f>
        <v>820.68100000000004</v>
      </c>
      <c r="G29" s="153">
        <f>IF(port0201!$B$9="All Routes",IF(port0201!$B$8="TEU","z",ROUND(SUMIFS(CHOOSE(VLOOKUP(port0201!$B$8,Lookup!$A$1:$B$3,2,FALSE),Data!$D:$D,Data!$E:$E,Data!$G:$G),Data!$A:$A,Working!G$5,Data!$B:$B,59,Data!$C:$C,Working!G$4,Data!$H:$H,1)+SUMIFS(CHOOSE(VLOOKUP(port0201!$B$8,Lookup!$A$1:$B$3,2,FALSE),Data!$D:$D,Data!$E:$E,Data!$G:$G),Data!$A:$A,Working!G$5,Data!$B:$B,69,Data!$C:$C,Working!G$4,Data!$H:$H,1),3)),IF(port0201!$B$8="TEU","z",ROUND(SUMIFS(CHOOSE(VLOOKUP(port0201!$B$8,Lookup!$A$1:$B$3,2,FALSE),Data!$D:$D,Data!$E:$E,Data!$H:$H),Data!$A:$A,Working!G$5,Data!$B:$B,59,Data!$C:$C,Working!G$4,Data!$F:$F,port0201!$B$9)+SUMIFS(CHOOSE(VLOOKUP(port0201!$B$8,Lookup!$A$1:$B$3,2,FALSE),Data!$D:$D,Data!$E:$E,Data!$H:$H),Data!$A:$A,Working!G$5,Data!$B:$B,69,Data!$C:$C,Working!G$4,Data!$F:$F,port0201!$B$9),3)))</f>
        <v>847.19899999999996</v>
      </c>
      <c r="H29" s="153">
        <f>IF(port0201!$B$9="All Routes",IF(port0201!$B$8="TEU","z",ROUND(SUMIFS(CHOOSE(VLOOKUP(port0201!$B$8,Lookup!$A$1:$B$3,2,FALSE),Data!$D:$D,Data!$E:$E,Data!$G:$G),Data!$A:$A,Working!H$5,Data!$B:$B,59,Data!$C:$C,Working!H$4,Data!$H:$H,1)+SUMIFS(CHOOSE(VLOOKUP(port0201!$B$8,Lookup!$A$1:$B$3,2,FALSE),Data!$D:$D,Data!$E:$E,Data!$G:$G),Data!$A:$A,Working!H$5,Data!$B:$B,69,Data!$C:$C,Working!H$4,Data!$H:$H,1),3)),IF(port0201!$B$8="TEU","z",ROUND(SUMIFS(CHOOSE(VLOOKUP(port0201!$B$8,Lookup!$A$1:$B$3,2,FALSE),Data!$D:$D,Data!$E:$E,Data!$H:$H),Data!$A:$A,Working!H$5,Data!$B:$B,59,Data!$C:$C,Working!H$4,Data!$F:$F,port0201!$B$9)+SUMIFS(CHOOSE(VLOOKUP(port0201!$B$8,Lookup!$A$1:$B$3,2,FALSE),Data!$D:$D,Data!$E:$E,Data!$H:$H),Data!$A:$A,Working!H$5,Data!$B:$B,69,Data!$C:$C,Working!H$4,Data!$F:$F,port0201!$B$9),3)))</f>
        <v>554.798</v>
      </c>
      <c r="I29" s="153">
        <f>IF(port0201!$B$9="All Routes",IF(port0201!$B$8="TEU","z",ROUND(SUMIFS(CHOOSE(VLOOKUP(port0201!$B$8,Lookup!$A$1:$B$3,2,FALSE),Data!$D:$D,Data!$E:$E,Data!$G:$G),Data!$A:$A,Working!I$5,Data!$B:$B,59,Data!$C:$C,Working!I$4,Data!$H:$H,1)+SUMIFS(CHOOSE(VLOOKUP(port0201!$B$8,Lookup!$A$1:$B$3,2,FALSE),Data!$D:$D,Data!$E:$E,Data!$G:$G),Data!$A:$A,Working!I$5,Data!$B:$B,69,Data!$C:$C,Working!I$4,Data!$H:$H,1),3)),IF(port0201!$B$8="TEU","z",ROUND(SUMIFS(CHOOSE(VLOOKUP(port0201!$B$8,Lookup!$A$1:$B$3,2,FALSE),Data!$D:$D,Data!$E:$E,Data!$H:$H),Data!$A:$A,Working!I$5,Data!$B:$B,59,Data!$C:$C,Working!I$4,Data!$F:$F,port0201!$B$9)+SUMIFS(CHOOSE(VLOOKUP(port0201!$B$8,Lookup!$A$1:$B$3,2,FALSE),Data!$D:$D,Data!$E:$E,Data!$H:$H),Data!$A:$A,Working!I$5,Data!$B:$B,69,Data!$C:$C,Working!I$4,Data!$F:$F,port0201!$B$9),3)))</f>
        <v>1090.463</v>
      </c>
      <c r="J29" s="153">
        <f>IF(port0201!$B$9="All Routes",IF(port0201!$B$8="TEU","z",ROUND(SUMIFS(CHOOSE(VLOOKUP(port0201!$B$8,Lookup!$A$1:$B$3,2,FALSE),Data!$D:$D,Data!$E:$E,Data!$G:$G),Data!$A:$A,Working!J$5,Data!$B:$B,59,Data!$C:$C,Working!J$4,Data!$H:$H,1)+SUMIFS(CHOOSE(VLOOKUP(port0201!$B$8,Lookup!$A$1:$B$3,2,FALSE),Data!$D:$D,Data!$E:$E,Data!$G:$G),Data!$A:$A,Working!J$5,Data!$B:$B,69,Data!$C:$C,Working!J$4,Data!$H:$H,1),3)),IF(port0201!$B$8="TEU","z",ROUND(SUMIFS(CHOOSE(VLOOKUP(port0201!$B$8,Lookup!$A$1:$B$3,2,FALSE),Data!$D:$D,Data!$E:$E,Data!$H:$H),Data!$A:$A,Working!J$5,Data!$B:$B,59,Data!$C:$C,Working!J$4,Data!$F:$F,port0201!$B$9)+SUMIFS(CHOOSE(VLOOKUP(port0201!$B$8,Lookup!$A$1:$B$3,2,FALSE),Data!$D:$D,Data!$E:$E,Data!$H:$H),Data!$A:$A,Working!J$5,Data!$B:$B,69,Data!$C:$C,Working!J$4,Data!$F:$F,port0201!$B$9),3)))</f>
        <v>759.07799999999997</v>
      </c>
      <c r="K29" s="153">
        <f>IF(port0201!$B$9="All Routes",IF(port0201!$B$8="TEU","z",ROUND(SUMIFS(CHOOSE(VLOOKUP(port0201!$B$8,Lookup!$A$1:$B$3,2,FALSE),Data!$D:$D,Data!$E:$E,Data!$G:$G),Data!$A:$A,Working!K$5,Data!$B:$B,59,Data!$C:$C,Working!K$4,Data!$H:$H,1)+SUMIFS(CHOOSE(VLOOKUP(port0201!$B$8,Lookup!$A$1:$B$3,2,FALSE),Data!$D:$D,Data!$E:$E,Data!$G:$G),Data!$A:$A,Working!K$5,Data!$B:$B,69,Data!$C:$C,Working!K$4,Data!$H:$H,1),3)),IF(port0201!$B$8="TEU","z",ROUND(SUMIFS(CHOOSE(VLOOKUP(port0201!$B$8,Lookup!$A$1:$B$3,2,FALSE),Data!$D:$D,Data!$E:$E,Data!$H:$H),Data!$A:$A,Working!K$5,Data!$B:$B,59,Data!$C:$C,Working!K$4,Data!$F:$F,port0201!$B$9)+SUMIFS(CHOOSE(VLOOKUP(port0201!$B$8,Lookup!$A$1:$B$3,2,FALSE),Data!$D:$D,Data!$E:$E,Data!$H:$H),Data!$A:$A,Working!K$5,Data!$B:$B,69,Data!$C:$C,Working!K$4,Data!$F:$F,port0201!$B$9),3)))</f>
        <v>613.94799999999998</v>
      </c>
      <c r="L29" s="153">
        <f>IF(port0201!$B$9="All Routes",IF(port0201!$B$8="TEU","z",ROUND(SUMIFS(CHOOSE(VLOOKUP(port0201!$B$8,Lookup!$A$1:$B$3,2,FALSE),Data!$D:$D,Data!$E:$E,Data!$G:$G),Data!$A:$A,Working!L$5,Data!$B:$B,59,Data!$C:$C,Working!L$4,Data!$H:$H,1)+SUMIFS(CHOOSE(VLOOKUP(port0201!$B$8,Lookup!$A$1:$B$3,2,FALSE),Data!$D:$D,Data!$E:$E,Data!$G:$G),Data!$A:$A,Working!L$5,Data!$B:$B,69,Data!$C:$C,Working!L$4,Data!$H:$H,1),3)),IF(port0201!$B$8="TEU","z",ROUND(SUMIFS(CHOOSE(VLOOKUP(port0201!$B$8,Lookup!$A$1:$B$3,2,FALSE),Data!$D:$D,Data!$E:$E,Data!$H:$H),Data!$A:$A,Working!L$5,Data!$B:$B,59,Data!$C:$C,Working!L$4,Data!$F:$F,port0201!$B$9)+SUMIFS(CHOOSE(VLOOKUP(port0201!$B$8,Lookup!$A$1:$B$3,2,FALSE),Data!$D:$D,Data!$E:$E,Data!$H:$H),Data!$A:$A,Working!L$5,Data!$B:$B,69,Data!$C:$C,Working!L$4,Data!$F:$F,port0201!$B$9),3)))</f>
        <v>531.04899999999998</v>
      </c>
      <c r="M29" s="153">
        <f>IF(port0201!$B$9="All Routes",IF(port0201!$B$8="TEU","z",ROUND(SUMIFS(CHOOSE(VLOOKUP(port0201!$B$8,Lookup!$A$1:$B$3,2,FALSE),Data!$D:$D,Data!$E:$E,Data!$G:$G),Data!$A:$A,Working!M$5,Data!$B:$B,59,Data!$C:$C,Working!M$4,Data!$H:$H,1)+SUMIFS(CHOOSE(VLOOKUP(port0201!$B$8,Lookup!$A$1:$B$3,2,FALSE),Data!$D:$D,Data!$E:$E,Data!$G:$G),Data!$A:$A,Working!M$5,Data!$B:$B,69,Data!$C:$C,Working!M$4,Data!$H:$H,1),3)),IF(port0201!$B$8="TEU","z",ROUND(SUMIFS(CHOOSE(VLOOKUP(port0201!$B$8,Lookup!$A$1:$B$3,2,FALSE),Data!$D:$D,Data!$E:$E,Data!$H:$H),Data!$A:$A,Working!M$5,Data!$B:$B,59,Data!$C:$C,Working!M$4,Data!$F:$F,port0201!$B$9)+SUMIFS(CHOOSE(VLOOKUP(port0201!$B$8,Lookup!$A$1:$B$3,2,FALSE),Data!$D:$D,Data!$E:$E,Data!$H:$H),Data!$A:$A,Working!M$5,Data!$B:$B,69,Data!$C:$C,Working!M$4,Data!$F:$F,port0201!$B$9),3)))</f>
        <v>433.416</v>
      </c>
      <c r="N29" s="153">
        <f>IF(port0201!$B$9="All Routes",IF(port0201!$B$8="TEU","z",ROUND(SUMIFS(CHOOSE(VLOOKUP(port0201!$B$8,Lookup!$A$1:$B$3,2,FALSE),Data!$D:$D,Data!$E:$E,Data!$G:$G),Data!$A:$A,Working!N$5,Data!$B:$B,59,Data!$C:$C,Working!N$4,Data!$H:$H,1)+SUMIFS(CHOOSE(VLOOKUP(port0201!$B$8,Lookup!$A$1:$B$3,2,FALSE),Data!$D:$D,Data!$E:$E,Data!$G:$G),Data!$A:$A,Working!N$5,Data!$B:$B,69,Data!$C:$C,Working!N$4,Data!$H:$H,1),3)),IF(port0201!$B$8="TEU","z",ROUND(SUMIFS(CHOOSE(VLOOKUP(port0201!$B$8,Lookup!$A$1:$B$3,2,FALSE),Data!$D:$D,Data!$E:$E,Data!$H:$H),Data!$A:$A,Working!N$5,Data!$B:$B,59,Data!$C:$C,Working!N$4,Data!$F:$F,port0201!$B$9)+SUMIFS(CHOOSE(VLOOKUP(port0201!$B$8,Lookup!$A$1:$B$3,2,FALSE),Data!$D:$D,Data!$E:$E,Data!$H:$H),Data!$A:$A,Working!N$5,Data!$B:$B,69,Data!$C:$C,Working!N$4,Data!$F:$F,port0201!$B$9),3)))</f>
        <v>533.32299999999998</v>
      </c>
      <c r="O29" s="153">
        <f>IF(port0201!$B$9="All Routes",IF(port0201!$B$8="TEU","z",ROUND(SUMIFS(CHOOSE(VLOOKUP(port0201!$B$8,Lookup!$A$1:$B$3,2,FALSE),Data!$D:$D,Data!$E:$E,Data!$G:$G),Data!$A:$A,Working!O$5,Data!$B:$B,59,Data!$C:$C,Working!O$4,Data!$H:$H,1)+SUMIFS(CHOOSE(VLOOKUP(port0201!$B$8,Lookup!$A$1:$B$3,2,FALSE),Data!$D:$D,Data!$E:$E,Data!$G:$G),Data!$A:$A,Working!O$5,Data!$B:$B,69,Data!$C:$C,Working!O$4,Data!$H:$H,1),3)),IF(port0201!$B$8="TEU","z",ROUND(SUMIFS(CHOOSE(VLOOKUP(port0201!$B$8,Lookup!$A$1:$B$3,2,FALSE),Data!$D:$D,Data!$E:$E,Data!$H:$H),Data!$A:$A,Working!O$5,Data!$B:$B,59,Data!$C:$C,Working!O$4,Data!$F:$F,port0201!$B$9)+SUMIFS(CHOOSE(VLOOKUP(port0201!$B$8,Lookup!$A$1:$B$3,2,FALSE),Data!$D:$D,Data!$E:$E,Data!$H:$H),Data!$A:$A,Working!O$5,Data!$B:$B,69,Data!$C:$C,Working!O$4,Data!$F:$F,port0201!$B$9),3)))</f>
        <v>55.055999999999997</v>
      </c>
      <c r="P29" s="153">
        <f>IF(port0201!$B$9="All Routes",IF(port0201!$B$8="TEU","z",ROUND(SUMIFS(CHOOSE(VLOOKUP(port0201!$B$8,Lookup!$A$1:$B$3,2,FALSE),Data!$D:$D,Data!$E:$E,Data!$G:$G),Data!$A:$A,Working!P$5,Data!$B:$B,59,Data!$C:$C,Working!P$4,Data!$H:$H,1)+SUMIFS(CHOOSE(VLOOKUP(port0201!$B$8,Lookup!$A$1:$B$3,2,FALSE),Data!$D:$D,Data!$E:$E,Data!$G:$G),Data!$A:$A,Working!P$5,Data!$B:$B,69,Data!$C:$C,Working!P$4,Data!$H:$H,1),3)),IF(port0201!$B$8="TEU","z",ROUND(SUMIFS(CHOOSE(VLOOKUP(port0201!$B$8,Lookup!$A$1:$B$3,2,FALSE),Data!$D:$D,Data!$E:$E,Data!$H:$H),Data!$A:$A,Working!P$5,Data!$B:$B,59,Data!$C:$C,Working!P$4,Data!$F:$F,port0201!$B$9)+SUMIFS(CHOOSE(VLOOKUP(port0201!$B$8,Lookup!$A$1:$B$3,2,FALSE),Data!$D:$D,Data!$E:$E,Data!$H:$H),Data!$A:$A,Working!P$5,Data!$B:$B,69,Data!$C:$C,Working!P$4,Data!$F:$F,port0201!$B$9),3)))</f>
        <v>1.377</v>
      </c>
      <c r="Q29" s="153">
        <f>IF(port0201!$B$9="All Routes",IF(port0201!$B$8="TEU","z",ROUND(SUMIFS(CHOOSE(VLOOKUP(port0201!$B$8,Lookup!$A$1:$B$3,2,FALSE),Data!$D:$D,Data!$E:$E,Data!$G:$G),Data!$A:$A,Working!Q$5,Data!$B:$B,59,Data!$C:$C,Working!Q$4,Data!$H:$H,1)+SUMIFS(CHOOSE(VLOOKUP(port0201!$B$8,Lookup!$A$1:$B$3,2,FALSE),Data!$D:$D,Data!$E:$E,Data!$G:$G),Data!$A:$A,Working!Q$5,Data!$B:$B,69,Data!$C:$C,Working!Q$4,Data!$H:$H,1),3)),IF(port0201!$B$8="TEU","z",ROUND(SUMIFS(CHOOSE(VLOOKUP(port0201!$B$8,Lookup!$A$1:$B$3,2,FALSE),Data!$D:$D,Data!$E:$E,Data!$H:$H),Data!$A:$A,Working!Q$5,Data!$B:$B,59,Data!$C:$C,Working!Q$4,Data!$F:$F,port0201!$B$9)+SUMIFS(CHOOSE(VLOOKUP(port0201!$B$8,Lookup!$A$1:$B$3,2,FALSE),Data!$D:$D,Data!$E:$E,Data!$H:$H),Data!$A:$A,Working!Q$5,Data!$B:$B,69,Data!$C:$C,Working!Q$4,Data!$F:$F,port0201!$B$9),3)))</f>
        <v>1.391</v>
      </c>
      <c r="R29" s="153">
        <f>IF(port0201!$B$9="All Routes",IF(port0201!$B$8="TEU","z",ROUND(SUMIFS(CHOOSE(VLOOKUP(port0201!$B$8,Lookup!$A$1:$B$3,2,FALSE),Data!$D:$D,Data!$E:$E,Data!$G:$G),Data!$A:$A,Working!R$5,Data!$B:$B,59,Data!$C:$C,Working!R$4,Data!$H:$H,1)+SUMIFS(CHOOSE(VLOOKUP(port0201!$B$8,Lookup!$A$1:$B$3,2,FALSE),Data!$D:$D,Data!$E:$E,Data!$G:$G),Data!$A:$A,Working!R$5,Data!$B:$B,69,Data!$C:$C,Working!R$4,Data!$H:$H,1),3)),IF(port0201!$B$8="TEU","z",ROUND(SUMIFS(CHOOSE(VLOOKUP(port0201!$B$8,Lookup!$A$1:$B$3,2,FALSE),Data!$D:$D,Data!$E:$E,Data!$H:$H),Data!$A:$A,Working!R$5,Data!$B:$B,59,Data!$C:$C,Working!R$4,Data!$F:$F,port0201!$B$9)+SUMIFS(CHOOSE(VLOOKUP(port0201!$B$8,Lookup!$A$1:$B$3,2,FALSE),Data!$D:$D,Data!$E:$E,Data!$H:$H),Data!$A:$A,Working!R$5,Data!$B:$B,69,Data!$C:$C,Working!R$4,Data!$F:$F,port0201!$B$9),3)))</f>
        <v>18.652000000000001</v>
      </c>
      <c r="S29" s="153">
        <f>IF(port0201!$B$9="All Routes",IF(port0201!$B$8="TEU","z",ROUND(SUMIFS(CHOOSE(VLOOKUP(port0201!$B$8,Lookup!$A$1:$B$3,2,FALSE),Data!$D:$D,Data!$E:$E,Data!$G:$G),Data!$A:$A,Working!S$5,Data!$B:$B,59,Data!$C:$C,Working!S$4,Data!$H:$H,1)+SUMIFS(CHOOSE(VLOOKUP(port0201!$B$8,Lookup!$A$1:$B$3,2,FALSE),Data!$D:$D,Data!$E:$E,Data!$G:$G),Data!$A:$A,Working!S$5,Data!$B:$B,69,Data!$C:$C,Working!S$4,Data!$H:$H,1),3)),IF(port0201!$B$8="TEU","z",ROUND(SUMIFS(CHOOSE(VLOOKUP(port0201!$B$8,Lookup!$A$1:$B$3,2,FALSE),Data!$D:$D,Data!$E:$E,Data!$H:$H),Data!$A:$A,Working!S$5,Data!$B:$B,59,Data!$C:$C,Working!S$4,Data!$F:$F,port0201!$B$9)+SUMIFS(CHOOSE(VLOOKUP(port0201!$B$8,Lookup!$A$1:$B$3,2,FALSE),Data!$D:$D,Data!$E:$E,Data!$H:$H),Data!$A:$A,Working!S$5,Data!$B:$B,69,Data!$C:$C,Working!S$4,Data!$F:$F,port0201!$B$9),3)))</f>
        <v>4.5999999999999999E-2</v>
      </c>
      <c r="T29" s="153">
        <f>IF(port0201!$B$9="All Routes",IF(port0201!$B$8="TEU","z",ROUND(SUMIFS(CHOOSE(VLOOKUP(port0201!$B$8,Lookup!$A$1:$B$3,2,FALSE),Data!$D:$D,Data!$E:$E,Data!$G:$G),Data!$A:$A,Working!T$5,Data!$B:$B,59,Data!$C:$C,Working!T$4,Data!$H:$H,1)+SUMIFS(CHOOSE(VLOOKUP(port0201!$B$8,Lookup!$A$1:$B$3,2,FALSE),Data!$D:$D,Data!$E:$E,Data!$G:$G),Data!$A:$A,Working!T$5,Data!$B:$B,69,Data!$C:$C,Working!T$4,Data!$H:$H,1),3)),IF(port0201!$B$8="TEU","z",ROUND(SUMIFS(CHOOSE(VLOOKUP(port0201!$B$8,Lookup!$A$1:$B$3,2,FALSE),Data!$D:$D,Data!$E:$E,Data!$H:$H),Data!$A:$A,Working!T$5,Data!$B:$B,59,Data!$C:$C,Working!T$4,Data!$F:$F,port0201!$B$9)+SUMIFS(CHOOSE(VLOOKUP(port0201!$B$8,Lookup!$A$1:$B$3,2,FALSE),Data!$D:$D,Data!$E:$E,Data!$H:$H),Data!$A:$A,Working!T$5,Data!$B:$B,69,Data!$C:$C,Working!T$4,Data!$F:$F,port0201!$B$9),3)))</f>
        <v>0</v>
      </c>
      <c r="U29" s="153">
        <f>IF(port0201!$B$9="All Routes",IF(port0201!$B$8="TEU","z",ROUND(SUMIFS(CHOOSE(VLOOKUP(port0201!$B$8,Lookup!$A$1:$B$3,2,FALSE),Data!$D:$D,Data!$E:$E,Data!$G:$G),Data!$A:$A,Working!U$5,Data!$B:$B,59,Data!$C:$C,Working!U$4,Data!$H:$H,1)+SUMIFS(CHOOSE(VLOOKUP(port0201!$B$8,Lookup!$A$1:$B$3,2,FALSE),Data!$D:$D,Data!$E:$E,Data!$G:$G),Data!$A:$A,Working!U$5,Data!$B:$B,69,Data!$C:$C,Working!U$4,Data!$H:$H,1),3)),IF(port0201!$B$8="TEU","z",ROUND(SUMIFS(CHOOSE(VLOOKUP(port0201!$B$8,Lookup!$A$1:$B$3,2,FALSE),Data!$D:$D,Data!$E:$E,Data!$H:$H),Data!$A:$A,Working!U$5,Data!$B:$B,59,Data!$C:$C,Working!U$4,Data!$F:$F,port0201!$B$9)+SUMIFS(CHOOSE(VLOOKUP(port0201!$B$8,Lookup!$A$1:$B$3,2,FALSE),Data!$D:$D,Data!$E:$E,Data!$H:$H),Data!$A:$A,Working!U$5,Data!$B:$B,69,Data!$C:$C,Working!U$4,Data!$F:$F,port0201!$B$9),3)))</f>
        <v>0.378</v>
      </c>
      <c r="V29" s="153">
        <f>IF(port0201!$B$9="All Routes",IF(port0201!$B$8="TEU","z",ROUND(SUMIFS(CHOOSE(VLOOKUP(port0201!$B$8,Lookup!$A$1:$B$3,2,FALSE),Data!$D:$D,Data!$E:$E,Data!$G:$G),Data!$A:$A,Working!V$5,Data!$B:$B,59,Data!$C:$C,Working!V$4,Data!$H:$H,1)+SUMIFS(CHOOSE(VLOOKUP(port0201!$B$8,Lookup!$A$1:$B$3,2,FALSE),Data!$D:$D,Data!$E:$E,Data!$G:$G),Data!$A:$A,Working!V$5,Data!$B:$B,69,Data!$C:$C,Working!V$4,Data!$H:$H,1),3)),IF(port0201!$B$8="TEU","z",ROUND(SUMIFS(CHOOSE(VLOOKUP(port0201!$B$8,Lookup!$A$1:$B$3,2,FALSE),Data!$D:$D,Data!$E:$E,Data!$H:$H),Data!$A:$A,Working!V$5,Data!$B:$B,59,Data!$C:$C,Working!V$4,Data!$F:$F,port0201!$B$9)+SUMIFS(CHOOSE(VLOOKUP(port0201!$B$8,Lookup!$A$1:$B$3,2,FALSE),Data!$D:$D,Data!$E:$E,Data!$H:$H),Data!$A:$A,Working!V$5,Data!$B:$B,69,Data!$C:$C,Working!V$4,Data!$F:$F,port0201!$B$9),3)))</f>
        <v>0</v>
      </c>
      <c r="W29" s="153">
        <f>IF(port0201!$B$9="All Routes",IF(port0201!$B$8="TEU","z",ROUND(SUMIFS(CHOOSE(VLOOKUP(port0201!$B$8,Lookup!$A$1:$B$3,2,FALSE),Data!$D:$D,Data!$E:$E,Data!$G:$G),Data!$A:$A,Working!W$5,Data!$B:$B,59,Data!$C:$C,Working!W$4,Data!$H:$H,1)+SUMIFS(CHOOSE(VLOOKUP(port0201!$B$8,Lookup!$A$1:$B$3,2,FALSE),Data!$D:$D,Data!$E:$E,Data!$G:$G),Data!$A:$A,Working!W$5,Data!$B:$B,69,Data!$C:$C,Working!W$4,Data!$H:$H,1),3)),IF(port0201!$B$8="TEU","z",ROUND(SUMIFS(CHOOSE(VLOOKUP(port0201!$B$8,Lookup!$A$1:$B$3,2,FALSE),Data!$D:$D,Data!$E:$E,Data!$H:$H),Data!$A:$A,Working!W$5,Data!$B:$B,59,Data!$C:$C,Working!W$4,Data!$F:$F,port0201!$B$9)+SUMIFS(CHOOSE(VLOOKUP(port0201!$B$8,Lookup!$A$1:$B$3,2,FALSE),Data!$D:$D,Data!$E:$E,Data!$H:$H),Data!$A:$A,Working!W$5,Data!$B:$B,69,Data!$C:$C,Working!W$4,Data!$F:$F,port0201!$B$9),3)))</f>
        <v>7.7110000000000003</v>
      </c>
      <c r="X29" s="153">
        <f>IF(port0201!$B$9="All Routes",IF(port0201!$B$8="TEU","z",ROUND(SUMIFS(CHOOSE(VLOOKUP(port0201!$B$8,Lookup!$A$1:$B$3,2,FALSE),Data!$D:$D,Data!$E:$E,Data!$G:$G),Data!$A:$A,Working!X$5,Data!$B:$B,59,Data!$C:$C,Working!X$4,Data!$H:$H,1)+SUMIFS(CHOOSE(VLOOKUP(port0201!$B$8,Lookup!$A$1:$B$3,2,FALSE),Data!$D:$D,Data!$E:$E,Data!$G:$G),Data!$A:$A,Working!X$5,Data!$B:$B,69,Data!$C:$C,Working!X$4,Data!$H:$H,1),3)),IF(port0201!$B$8="TEU","z",ROUND(SUMIFS(CHOOSE(VLOOKUP(port0201!$B$8,Lookup!$A$1:$B$3,2,FALSE),Data!$D:$D,Data!$E:$E,Data!$H:$H),Data!$A:$A,Working!X$5,Data!$B:$B,59,Data!$C:$C,Working!X$4,Data!$F:$F,port0201!$B$9)+SUMIFS(CHOOSE(VLOOKUP(port0201!$B$8,Lookup!$A$1:$B$3,2,FALSE),Data!$D:$D,Data!$E:$E,Data!$H:$H),Data!$A:$A,Working!X$5,Data!$B:$B,69,Data!$C:$C,Working!X$4,Data!$F:$F,port0201!$B$9),3)))</f>
        <v>4.2460000000000004</v>
      </c>
      <c r="Y29" s="153">
        <f>IF(port0201!$B$9="All Routes",IF(port0201!$B$8="TEU","z",ROUND(SUMIFS(CHOOSE(VLOOKUP(port0201!$B$8,Lookup!$A$1:$B$3,2,FALSE),Data!$D:$D,Data!$E:$E,Data!$G:$G),Data!$A:$A,Working!Y$5,Data!$B:$B,59,Data!$C:$C,Working!Y$4,Data!$H:$H,1)+SUMIFS(CHOOSE(VLOOKUP(port0201!$B$8,Lookup!$A$1:$B$3,2,FALSE),Data!$D:$D,Data!$E:$E,Data!$G:$G),Data!$A:$A,Working!Y$5,Data!$B:$B,69,Data!$C:$C,Working!Y$4,Data!$H:$H,1),3)),IF(port0201!$B$8="TEU","z",ROUND(SUMIFS(CHOOSE(VLOOKUP(port0201!$B$8,Lookup!$A$1:$B$3,2,FALSE),Data!$D:$D,Data!$E:$E,Data!$H:$H),Data!$A:$A,Working!Y$5,Data!$B:$B,59,Data!$C:$C,Working!Y$4,Data!$F:$F,port0201!$B$9)+SUMIFS(CHOOSE(VLOOKUP(port0201!$B$8,Lookup!$A$1:$B$3,2,FALSE),Data!$D:$D,Data!$E:$E,Data!$H:$H),Data!$A:$A,Working!Y$5,Data!$B:$B,69,Data!$C:$C,Working!Y$4,Data!$F:$F,port0201!$B$9),3)))</f>
        <v>90.048000000000002</v>
      </c>
      <c r="Z29" s="153">
        <f>IF(port0201!$B$9="All Routes",IF(port0201!$B$8="TEU","z",ROUND(SUMIFS(CHOOSE(VLOOKUP(port0201!$B$8,Lookup!$A$1:$B$3,2,FALSE),Data!$D:$D,Data!$E:$E,Data!$G:$G),Data!$A:$A,Working!Z$5,Data!$B:$B,59,Data!$C:$C,Working!Z$4,Data!$H:$H,1)+SUMIFS(CHOOSE(VLOOKUP(port0201!$B$8,Lookup!$A$1:$B$3,2,FALSE),Data!$D:$D,Data!$E:$E,Data!$G:$G),Data!$A:$A,Working!Z$5,Data!$B:$B,69,Data!$C:$C,Working!Z$4,Data!$H:$H,1),3)),IF(port0201!$B$8="TEU","z",ROUND(SUMIFS(CHOOSE(VLOOKUP(port0201!$B$8,Lookup!$A$1:$B$3,2,FALSE),Data!$D:$D,Data!$E:$E,Data!$H:$H),Data!$A:$A,Working!Z$5,Data!$B:$B,59,Data!$C:$C,Working!Z$4,Data!$F:$F,port0201!$B$9)+SUMIFS(CHOOSE(VLOOKUP(port0201!$B$8,Lookup!$A$1:$B$3,2,FALSE),Data!$D:$D,Data!$E:$E,Data!$H:$H),Data!$A:$A,Working!Z$5,Data!$B:$B,69,Data!$C:$C,Working!Z$4,Data!$F:$F,port0201!$B$9),3)))</f>
        <v>193.58799999999999</v>
      </c>
      <c r="AA29" s="153">
        <f>IF(port0201!$B$9="All Routes",IF(port0201!$B$8="TEU","z",ROUND(SUMIFS(CHOOSE(VLOOKUP(port0201!$B$8,Lookup!$A$1:$B$3,2,FALSE),Data!$D:$D,Data!$E:$E,Data!$G:$G),Data!$A:$A,Working!AA$5,Data!$B:$B,59,Data!$C:$C,Working!AA$4,Data!$H:$H,1)+SUMIFS(CHOOSE(VLOOKUP(port0201!$B$8,Lookup!$A$1:$B$3,2,FALSE),Data!$D:$D,Data!$E:$E,Data!$G:$G),Data!$A:$A,Working!AA$5,Data!$B:$B,69,Data!$C:$C,Working!AA$4,Data!$H:$H,1),3)),IF(port0201!$B$8="TEU","z",ROUND(SUMIFS(CHOOSE(VLOOKUP(port0201!$B$8,Lookup!$A$1:$B$3,2,FALSE),Data!$D:$D,Data!$E:$E,Data!$H:$H),Data!$A:$A,Working!AA$5,Data!$B:$B,59,Data!$C:$C,Working!AA$4,Data!$F:$F,port0201!$B$9)+SUMIFS(CHOOSE(VLOOKUP(port0201!$B$8,Lookup!$A$1:$B$3,2,FALSE),Data!$D:$D,Data!$E:$E,Data!$H:$H),Data!$A:$A,Working!AA$5,Data!$B:$B,69,Data!$C:$C,Working!AA$4,Data!$F:$F,port0201!$B$9),3)))</f>
        <v>263.101</v>
      </c>
      <c r="AB29" s="153">
        <f>IF(port0201!$B$9="All Routes",IF(port0201!$B$8="TEU","z",ROUND(SUMIFS(CHOOSE(VLOOKUP(port0201!$B$8,Lookup!$A$1:$B$3,2,FALSE),Data!$D:$D,Data!$E:$E,Data!$G:$G),Data!$A:$A,Working!AB$5,Data!$B:$B,59,Data!$C:$C,Working!AB$4,Data!$H:$H,1)+SUMIFS(CHOOSE(VLOOKUP(port0201!$B$8,Lookup!$A$1:$B$3,2,FALSE),Data!$D:$D,Data!$E:$E,Data!$G:$G),Data!$A:$A,Working!AB$5,Data!$B:$B,69,Data!$C:$C,Working!AB$4,Data!$H:$H,1),3)),IF(port0201!$B$8="TEU","z",ROUND(SUMIFS(CHOOSE(VLOOKUP(port0201!$B$8,Lookup!$A$1:$B$3,2,FALSE),Data!$D:$D,Data!$E:$E,Data!$H:$H),Data!$A:$A,Working!AB$5,Data!$B:$B,59,Data!$C:$C,Working!AB$4,Data!$F:$F,port0201!$B$9)+SUMIFS(CHOOSE(VLOOKUP(port0201!$B$8,Lookup!$A$1:$B$3,2,FALSE),Data!$D:$D,Data!$E:$E,Data!$H:$H),Data!$A:$A,Working!AB$5,Data!$B:$B,69,Data!$C:$C,Working!AB$4,Data!$F:$F,port0201!$B$9),3)))</f>
        <v>186.495</v>
      </c>
      <c r="AC29" s="153">
        <f>IF(port0201!$B$9="All Routes",IF(port0201!$B$8="TEU","z",ROUND(SUMIFS(CHOOSE(VLOOKUP(port0201!$B$8,Lookup!$A$1:$B$3,2,FALSE),Data!$D:$D,Data!$E:$E,Data!$G:$G),Data!$A:$A,Working!AC$5,Data!$B:$B,59,Data!$C:$C,Working!AC$4,Data!$H:$H,1)+SUMIFS(CHOOSE(VLOOKUP(port0201!$B$8,Lookup!$A$1:$B$3,2,FALSE),Data!$D:$D,Data!$E:$E,Data!$G:$G),Data!$A:$A,Working!AC$5,Data!$B:$B,69,Data!$C:$C,Working!AC$4,Data!$H:$H,1),3)),IF(port0201!$B$8="TEU","z",ROUND(SUMIFS(CHOOSE(VLOOKUP(port0201!$B$8,Lookup!$A$1:$B$3,2,FALSE),Data!$D:$D,Data!$E:$E,Data!$H:$H),Data!$A:$A,Working!AC$5,Data!$B:$B,59,Data!$C:$C,Working!AC$4,Data!$F:$F,port0201!$B$9)+SUMIFS(CHOOSE(VLOOKUP(port0201!$B$8,Lookup!$A$1:$B$3,2,FALSE),Data!$D:$D,Data!$E:$E,Data!$H:$H),Data!$A:$A,Working!AC$5,Data!$B:$B,69,Data!$C:$C,Working!AC$4,Data!$F:$F,port0201!$B$9),3)))</f>
        <v>127.29300000000001</v>
      </c>
      <c r="AD29" s="133"/>
      <c r="AE29" s="127">
        <f t="shared" si="0"/>
        <v>-0.3174455079224644</v>
      </c>
      <c r="AF29" s="112">
        <f t="shared" si="1"/>
        <v>-59.201999999999998</v>
      </c>
      <c r="AG29" s="133"/>
      <c r="AH29" s="133"/>
      <c r="AI29" s="133"/>
      <c r="AJ29" s="125">
        <f t="shared" si="2"/>
        <v>-76.605999999999995</v>
      </c>
      <c r="AK29" s="126">
        <f t="shared" si="3"/>
        <v>-0.2911657500351576</v>
      </c>
    </row>
    <row r="30" spans="1:37" ht="13">
      <c r="A30" s="147" t="s">
        <v>166</v>
      </c>
      <c r="B30" s="135" t="s">
        <v>172</v>
      </c>
      <c r="C30" s="136" t="s">
        <v>173</v>
      </c>
      <c r="D30" s="149">
        <f>IF(port0201!$B$8="TEU","z",(ROUND(SUM(D22:D29),3)))</f>
        <v>85390.115000000005</v>
      </c>
      <c r="E30" s="149">
        <f>IF(port0201!$B$8="TEU","z",(ROUND(SUM(E22:E29),3)))</f>
        <v>83187.134000000005</v>
      </c>
      <c r="F30" s="149">
        <f>IF(port0201!$B$8="TEU","z",(ROUND(SUM(F22:F29),3)))</f>
        <v>86338.504000000001</v>
      </c>
      <c r="G30" s="149">
        <f>IF(port0201!$B$8="TEU","z",(ROUND(SUM(G22:G29),3)))</f>
        <v>86975.767999999996</v>
      </c>
      <c r="H30" s="149">
        <f>IF(port0201!$B$8="TEU","z",(ROUND(SUM(H22:H29),3)))</f>
        <v>92804.406000000003</v>
      </c>
      <c r="I30" s="149">
        <f>IF(port0201!$B$8="TEU","z",(ROUND(SUM(I22:I29),3)))</f>
        <v>100261.57</v>
      </c>
      <c r="J30" s="149">
        <f>IF(port0201!$B$8="TEU","z",(ROUND(SUM(J22:J29),3)))</f>
        <v>104262.86</v>
      </c>
      <c r="K30" s="149">
        <f>IF(port0201!$B$8="TEU","z",(ROUND(SUM(K22:K29),3)))</f>
        <v>104693.819</v>
      </c>
      <c r="L30" s="149">
        <f>IF(port0201!$B$8="TEU","z",(ROUND(SUM(L22:L29),3)))</f>
        <v>101414.215</v>
      </c>
      <c r="M30" s="149">
        <f>IF(port0201!$B$8="TEU","z",(ROUND(SUM(M22:M29),3)))</f>
        <v>94080.786999999997</v>
      </c>
      <c r="N30" s="149">
        <f>IF(port0201!$B$8="TEU","z",(ROUND(SUM(N22:N29),3)))</f>
        <v>96014.84</v>
      </c>
      <c r="O30" s="149">
        <f>IF(port0201!$B$8="TEU","z",(ROUND(SUM(O22:O29),3)))</f>
        <v>97309.053</v>
      </c>
      <c r="P30" s="149">
        <f>IF(port0201!$B$8="TEU","z",(ROUND(SUM(P22:P29),3)))</f>
        <v>94344.975999999995</v>
      </c>
      <c r="Q30" s="149">
        <f>IF(port0201!$B$8="TEU","z",(ROUND(SUM(Q22:Q29),3)))</f>
        <v>95055.375</v>
      </c>
      <c r="R30" s="149">
        <f>IF(port0201!$B$8="TEU","z",(ROUND(SUM(R22:R29),3)))</f>
        <v>99613.923999999999</v>
      </c>
      <c r="S30" s="149">
        <f>IF(port0201!$B$8="TEU","z",(ROUND(SUM(S22:S29),3)))</f>
        <v>103778.22100000001</v>
      </c>
      <c r="T30" s="149">
        <f>IF(port0201!$B$8="TEU","z",(ROUND(SUM(T22:T29),3)))</f>
        <v>106442.139</v>
      </c>
      <c r="U30" s="149">
        <f>IF(port0201!$B$8="TEU","z",(ROUND(SUM(U22:U29),3)))</f>
        <v>107037.66499999999</v>
      </c>
      <c r="V30" s="149">
        <f>IF(port0201!$B$8="TEU","z",(ROUND(SUM(V22:V29),3)))</f>
        <v>107580.13499999999</v>
      </c>
      <c r="W30" s="149">
        <f>IF(port0201!$B$8="TEU","z",(ROUND(SUM(W22:W29),3)))</f>
        <v>104285.175</v>
      </c>
      <c r="X30" s="149">
        <f>IF(port0201!$B$8="TEU","z",(ROUND(SUM(X22:X29),3)))</f>
        <v>99771.53</v>
      </c>
      <c r="Y30" s="149">
        <f>IF(port0201!$B$8="TEU","z",(ROUND(SUM(Y22:Y29),3)))</f>
        <v>97960.716</v>
      </c>
      <c r="Z30" s="149">
        <f>IF(port0201!$B$8="TEU","z",(ROUND(SUM(Z22:Z29),3)))</f>
        <v>101796.114</v>
      </c>
      <c r="AA30" s="149">
        <f>IF(port0201!$B$8="TEU","z",(ROUND(SUM(AA22:AA29),3)))</f>
        <v>98600.557000000001</v>
      </c>
      <c r="AB30" s="149">
        <f>IF(port0201!$B$8="TEU","z",(ROUND(SUM(AB22:AB29),3)))</f>
        <v>99314.501000000004</v>
      </c>
      <c r="AC30" s="149">
        <f>IF(port0201!$B$8="TEU","z",(ROUND(SUM(AC22:AC29),3)))</f>
        <v>97049.59</v>
      </c>
      <c r="AD30" s="133">
        <f>SUM(AB22:AB29)-AB30</f>
        <v>0</v>
      </c>
      <c r="AE30" s="127">
        <f t="shared" si="0"/>
        <v>-2.280544107048383E-2</v>
      </c>
      <c r="AF30" s="112">
        <f t="shared" si="1"/>
        <v>-2264.9110000000073</v>
      </c>
      <c r="AG30" s="127">
        <f>(AB30-AA30)/AA30</f>
        <v>7.2407704552825509E-3</v>
      </c>
      <c r="AH30" s="133"/>
      <c r="AI30" s="133"/>
      <c r="AJ30" s="125">
        <f t="shared" si="2"/>
        <v>713.94400000000314</v>
      </c>
      <c r="AK30" s="126">
        <f t="shared" si="3"/>
        <v>7.2407704552825509E-3</v>
      </c>
    </row>
    <row r="31" spans="1:37" ht="14">
      <c r="A31" s="118" t="s">
        <v>94</v>
      </c>
      <c r="B31" s="119">
        <v>91</v>
      </c>
      <c r="C31" s="120" t="s">
        <v>174</v>
      </c>
      <c r="D31" s="121">
        <f>IF(port0201!$B$9="All Routes",IF(port0201!$B$8&lt;&gt;"Tonnage","z",ROUND(SUMIFS(Data!$D:$D,Data!$A:$A,D$5,Data!$C:$C,D$4,Data!$B:$B,$B31),3)),IF(port0201!$B$8&lt;&gt;"Tonnage","z",ROUND(SUMIFS(Data!$D:$D,Data!$A:$A,D$5,Data!$C:$C,D$4,Data!$B:$B,$B31,Data!$F:$F,port0201!$B$9),3)))</f>
        <v>9795.1650000000009</v>
      </c>
      <c r="E31" s="121">
        <f>IF(port0201!$B$9="All Routes",IF(port0201!$B$8&lt;&gt;"Tonnage","z",ROUND(SUMIFS(Data!$D:$D,Data!$A:$A,E$5,Data!$C:$C,E$4,Data!$B:$B,$B31),3)),IF(port0201!$B$8&lt;&gt;"Tonnage","z",ROUND(SUMIFS(Data!$D:$D,Data!$A:$A,E$5,Data!$C:$C,E$4,Data!$B:$B,$B31,Data!$F:$F,port0201!$B$9),3)))</f>
        <v>9404.9290000000001</v>
      </c>
      <c r="F31" s="121">
        <f>IF(port0201!$B$9="All Routes",IF(port0201!$B$8&lt;&gt;"Tonnage","z",ROUND(SUMIFS(Data!$D:$D,Data!$A:$A,F$5,Data!$C:$C,F$4,Data!$B:$B,$B31),3)),IF(port0201!$B$8&lt;&gt;"Tonnage","z",ROUND(SUMIFS(Data!$D:$D,Data!$A:$A,F$5,Data!$C:$C,F$4,Data!$B:$B,$B31,Data!$F:$F,port0201!$B$9),3)))</f>
        <v>10190.632</v>
      </c>
      <c r="G31" s="121">
        <f>IF(port0201!$B$9="All Routes",IF(port0201!$B$8&lt;&gt;"Tonnage","z",ROUND(SUMIFS(Data!$D:$D,Data!$A:$A,G$5,Data!$C:$C,G$4,Data!$B:$B,$B31),3)),IF(port0201!$B$8&lt;&gt;"Tonnage","z",ROUND(SUMIFS(Data!$D:$D,Data!$A:$A,G$5,Data!$C:$C,G$4,Data!$B:$B,$B31,Data!$F:$F,port0201!$B$9),3)))</f>
        <v>10248.771000000001</v>
      </c>
      <c r="H31" s="121">
        <f>IF(port0201!$B$9="All Routes",IF(port0201!$B$8&lt;&gt;"Tonnage","z",ROUND(SUMIFS(Data!$D:$D,Data!$A:$A,H$5,Data!$C:$C,H$4,Data!$B:$B,$B31),3)),IF(port0201!$B$8&lt;&gt;"Tonnage","z",ROUND(SUMIFS(Data!$D:$D,Data!$A:$A,H$5,Data!$C:$C,H$4,Data!$B:$B,$B31,Data!$F:$F,port0201!$B$9),3)))</f>
        <v>10557.540999999999</v>
      </c>
      <c r="I31" s="121">
        <f>IF(port0201!$B$9="All Routes",IF(port0201!$B$8&lt;&gt;"Tonnage","z",ROUND(SUMIFS(Data!$D:$D,Data!$A:$A,I$5,Data!$C:$C,I$4,Data!$B:$B,$B31),3)),IF(port0201!$B$8&lt;&gt;"Tonnage","z",ROUND(SUMIFS(Data!$D:$D,Data!$A:$A,I$5,Data!$C:$C,I$4,Data!$B:$B,$B31,Data!$F:$F,port0201!$B$9),3)))</f>
        <v>9615.9079999999994</v>
      </c>
      <c r="J31" s="121">
        <f>IF(port0201!$B$9="All Routes",IF(port0201!$B$8&lt;&gt;"Tonnage","z",ROUND(SUMIFS(Data!$D:$D,Data!$A:$A,J$5,Data!$C:$C,J$4,Data!$B:$B,$B31),3)),IF(port0201!$B$8&lt;&gt;"Tonnage","z",ROUND(SUMIFS(Data!$D:$D,Data!$A:$A,J$5,Data!$C:$C,J$4,Data!$B:$B,$B31,Data!$F:$F,port0201!$B$9),3)))</f>
        <v>8894.2160000000003</v>
      </c>
      <c r="K31" s="121">
        <f>IF(port0201!$B$9="All Routes",IF(port0201!$B$8&lt;&gt;"Tonnage","z",ROUND(SUMIFS(Data!$D:$D,Data!$A:$A,K$5,Data!$C:$C,K$4,Data!$B:$B,$B31),3)),IF(port0201!$B$8&lt;&gt;"Tonnage","z",ROUND(SUMIFS(Data!$D:$D,Data!$A:$A,K$5,Data!$C:$C,K$4,Data!$B:$B,$B31,Data!$F:$F,port0201!$B$9),3)))</f>
        <v>8986.9150000000009</v>
      </c>
      <c r="L31" s="121">
        <f>IF(port0201!$B$9="All Routes",IF(port0201!$B$8&lt;&gt;"Tonnage","z",ROUND(SUMIFS(Data!$D:$D,Data!$A:$A,L$5,Data!$C:$C,L$4,Data!$B:$B,$B31),3)),IF(port0201!$B$8&lt;&gt;"Tonnage","z",ROUND(SUMIFS(Data!$D:$D,Data!$A:$A,L$5,Data!$C:$C,L$4,Data!$B:$B,$B31,Data!$F:$F,port0201!$B$9),3)))</f>
        <v>6525.2569999999996</v>
      </c>
      <c r="M31" s="121">
        <f>IF(port0201!$B$9="All Routes",IF(port0201!$B$8&lt;&gt;"Tonnage","z",ROUND(SUMIFS(Data!$D:$D,Data!$A:$A,M$5,Data!$C:$C,M$4,Data!$B:$B,$B31),3)),IF(port0201!$B$8&lt;&gt;"Tonnage","z",ROUND(SUMIFS(Data!$D:$D,Data!$A:$A,M$5,Data!$C:$C,M$4,Data!$B:$B,$B31,Data!$F:$F,port0201!$B$9),3)))</f>
        <v>5242.6400000000003</v>
      </c>
      <c r="N31" s="121">
        <f>IF(port0201!$B$9="All Routes",IF(port0201!$B$8&lt;&gt;"Tonnage","z",ROUND(SUMIFS(Data!$D:$D,Data!$A:$A,N$5,Data!$C:$C,N$4,Data!$B:$B,$B31),3)),IF(port0201!$B$8&lt;&gt;"Tonnage","z",ROUND(SUMIFS(Data!$D:$D,Data!$A:$A,N$5,Data!$C:$C,N$4,Data!$B:$B,$B31,Data!$F:$F,port0201!$B$9),3)))</f>
        <v>5588.4160000000002</v>
      </c>
      <c r="O31" s="121">
        <f>IF(port0201!$B$9="All Routes",IF(port0201!$B$8&lt;&gt;"Tonnage","z",ROUND(SUMIFS(Data!$D:$D,Data!$A:$A,O$5,Data!$C:$C,O$4,Data!$B:$B,$B31),3)),IF(port0201!$B$8&lt;&gt;"Tonnage","z",ROUND(SUMIFS(Data!$D:$D,Data!$A:$A,O$5,Data!$C:$C,O$4,Data!$B:$B,$B31,Data!$F:$F,port0201!$B$9),3)))</f>
        <v>5713.0479999999998</v>
      </c>
      <c r="P31" s="121">
        <f>IF(port0201!$B$9="All Routes",IF(port0201!$B$8&lt;&gt;"Tonnage","z",ROUND(SUMIFS(Data!$D:$D,Data!$A:$A,P$5,Data!$C:$C,P$4,Data!$B:$B,$B31),3)),IF(port0201!$B$8&lt;&gt;"Tonnage","z",ROUND(SUMIFS(Data!$D:$D,Data!$A:$A,P$5,Data!$C:$C,P$4,Data!$B:$B,$B31,Data!$F:$F,port0201!$B$9),3)))</f>
        <v>4678.5420000000004</v>
      </c>
      <c r="Q31" s="121">
        <f>IF(port0201!$B$9="All Routes",IF(port0201!$B$8&lt;&gt;"Tonnage","z",ROUND(SUMIFS(Data!$D:$D,Data!$A:$A,Q$5,Data!$C:$C,Q$4,Data!$B:$B,$B31),3)),IF(port0201!$B$8&lt;&gt;"Tonnage","z",ROUND(SUMIFS(Data!$D:$D,Data!$A:$A,Q$5,Data!$C:$C,Q$4,Data!$B:$B,$B31,Data!$F:$F,port0201!$B$9),3)))</f>
        <v>7021.9059999999999</v>
      </c>
      <c r="R31" s="121">
        <f>IF(port0201!$B$9="All Routes",IF(port0201!$B$8&lt;&gt;"Tonnage","z",ROUND(SUMIFS(Data!$D:$D,Data!$A:$A,R$5,Data!$C:$C,R$4,Data!$B:$B,$B31),3)),IF(port0201!$B$8&lt;&gt;"Tonnage","z",ROUND(SUMIFS(Data!$D:$D,Data!$A:$A,R$5,Data!$C:$C,R$4,Data!$B:$B,$B31,Data!$F:$F,port0201!$B$9),3)))</f>
        <v>5704.0290000000005</v>
      </c>
      <c r="S31" s="121">
        <f>IF(port0201!$B$9="All Routes",IF(port0201!$B$8&lt;&gt;"Tonnage","z",ROUND(SUMIFS(Data!$D:$D,Data!$A:$A,S$5,Data!$C:$C,S$4,Data!$B:$B,$B31),3)),IF(port0201!$B$8&lt;&gt;"Tonnage","z",ROUND(SUMIFS(Data!$D:$D,Data!$A:$A,S$5,Data!$C:$C,S$4,Data!$B:$B,$B31,Data!$F:$F,port0201!$B$9),3)))</f>
        <v>5861.1109999999999</v>
      </c>
      <c r="T31" s="121">
        <f>IF(port0201!$B$9="All Routes",IF(port0201!$B$8&lt;&gt;"Tonnage","z",ROUND(SUMIFS(Data!$D:$D,Data!$A:$A,T$5,Data!$C:$C,T$4,Data!$B:$B,$B31),3)),IF(port0201!$B$8&lt;&gt;"Tonnage","z",ROUND(SUMIFS(Data!$D:$D,Data!$A:$A,T$5,Data!$C:$C,T$4,Data!$B:$B,$B31,Data!$F:$F,port0201!$B$9),3)))</f>
        <v>5310.4390000000003</v>
      </c>
      <c r="U31" s="121">
        <f>IF(port0201!$B$9="All Routes",IF(port0201!$B$8&lt;&gt;"Tonnage","z",ROUND(SUMIFS(Data!$D:$D,Data!$A:$A,U$5,Data!$C:$C,U$4,Data!$B:$B,$B31),3)),IF(port0201!$B$8&lt;&gt;"Tonnage","z",ROUND(SUMIFS(Data!$D:$D,Data!$A:$A,U$5,Data!$C:$C,U$4,Data!$B:$B,$B31,Data!$F:$F,port0201!$B$9),3)))</f>
        <v>5262.4009999999998</v>
      </c>
      <c r="V31" s="121">
        <f>IF(port0201!$B$9="All Routes",IF(port0201!$B$8&lt;&gt;"Tonnage","z",ROUND(SUMIFS(Data!$D:$D,Data!$A:$A,V$5,Data!$C:$C,V$4,Data!$B:$B,$B31),3)),IF(port0201!$B$8&lt;&gt;"Tonnage","z",ROUND(SUMIFS(Data!$D:$D,Data!$A:$A,V$5,Data!$C:$C,V$4,Data!$B:$B,$B31,Data!$F:$F,port0201!$B$9),3)))</f>
        <v>5253.7280000000001</v>
      </c>
      <c r="W31" s="121">
        <f>IF(port0201!$B$9="All Routes",IF(port0201!$B$8&lt;&gt;"Tonnage","z",ROUND(SUMIFS(Data!$D:$D,Data!$A:$A,W$5,Data!$C:$C,W$4,Data!$B:$B,$B31),3)),IF(port0201!$B$8&lt;&gt;"Tonnage","z",ROUND(SUMIFS(Data!$D:$D,Data!$A:$A,W$5,Data!$C:$C,W$4,Data!$B:$B,$B31,Data!$F:$F,port0201!$B$9),3)))</f>
        <v>4866.0379999999996</v>
      </c>
      <c r="X31" s="121">
        <f>IF(port0201!$B$9="All Routes",IF(port0201!$B$8&lt;&gt;"Tonnage","z",ROUND(SUMIFS(Data!$D:$D,Data!$A:$A,X$5,Data!$C:$C,X$4,Data!$B:$B,$B31),3)),IF(port0201!$B$8&lt;&gt;"Tonnage","z",ROUND(SUMIFS(Data!$D:$D,Data!$A:$A,X$5,Data!$C:$C,X$4,Data!$B:$B,$B31,Data!$F:$F,port0201!$B$9),3)))</f>
        <v>4900.9309999999996</v>
      </c>
      <c r="Y31" s="121">
        <f>IF(port0201!$B$9="All Routes",IF(port0201!$B$8&lt;&gt;"Tonnage","z",ROUND(SUMIFS(Data!$D:$D,Data!$A:$A,Y$5,Data!$C:$C,Y$4,Data!$B:$B,$B31),3)),IF(port0201!$B$8&lt;&gt;"Tonnage","z",ROUND(SUMIFS(Data!$D:$D,Data!$A:$A,Y$5,Data!$C:$C,Y$4,Data!$B:$B,$B31,Data!$F:$F,port0201!$B$9),3)))</f>
        <v>5649.0860000000002</v>
      </c>
      <c r="Z31" s="121">
        <f>IF(port0201!$B$9="All Routes",IF(port0201!$B$8&lt;&gt;"Tonnage","z",ROUND(SUMIFS(Data!$D:$D,Data!$A:$A,Z$5,Data!$C:$C,Z$4,Data!$B:$B,$B31),3)),IF(port0201!$B$8&lt;&gt;"Tonnage","z",ROUND(SUMIFS(Data!$D:$D,Data!$A:$A,Z$5,Data!$C:$C,Z$4,Data!$B:$B,$B31,Data!$F:$F,port0201!$B$9),3)))</f>
        <v>4734.826</v>
      </c>
      <c r="AA31" s="121">
        <f>IF(port0201!$B$9="All Routes",IF(port0201!$B$8&lt;&gt;"Tonnage","z",ROUND(SUMIFS(Data!$D:$D,Data!$A:$A,AA$5,Data!$C:$C,AA$4,Data!$B:$B,$B31),3)),IF(port0201!$B$8&lt;&gt;"Tonnage","z",ROUND(SUMIFS(Data!$D:$D,Data!$A:$A,AA$5,Data!$C:$C,AA$4,Data!$B:$B,$B31,Data!$F:$F,port0201!$B$9),3)))</f>
        <v>5194.482</v>
      </c>
      <c r="AB31" s="121">
        <f>IF(port0201!$B$9="All Routes",IF(port0201!$B$8&lt;&gt;"Tonnage","z",ROUND(SUMIFS(Data!$D:$D,Data!$A:$A,AB$5,Data!$C:$C,AB$4,Data!$B:$B,$B31),3)),IF(port0201!$B$8&lt;&gt;"Tonnage","z",ROUND(SUMIFS(Data!$D:$D,Data!$A:$A,AB$5,Data!$C:$C,AB$4,Data!$B:$B,$B31,Data!$F:$F,port0201!$B$9),3)))</f>
        <v>4952.4049999999997</v>
      </c>
      <c r="AC31" s="121">
        <f>IF(port0201!$B$9="All Routes",IF(port0201!$B$8&lt;&gt;"Tonnage","z",ROUND(SUMIFS(Data!$D:$D,Data!$A:$A,AC$5,Data!$C:$C,AC$4,Data!$B:$B,$B31),3)),IF(port0201!$B$8&lt;&gt;"Tonnage","z",ROUND(SUMIFS(Data!$D:$D,Data!$A:$A,AC$5,Data!$C:$C,AC$4,Data!$B:$B,$B31,Data!$F:$F,port0201!$B$9),3)))</f>
        <v>4494.8140000000003</v>
      </c>
      <c r="AD31" s="133"/>
      <c r="AE31" s="127">
        <f t="shared" si="0"/>
        <v>-9.2397734030233686E-2</v>
      </c>
      <c r="AF31" s="112">
        <f t="shared" si="1"/>
        <v>-457.59099999999944</v>
      </c>
      <c r="AG31" s="133"/>
      <c r="AH31" s="133"/>
      <c r="AI31" s="133"/>
      <c r="AJ31" s="125">
        <f t="shared" si="2"/>
        <v>-242.07700000000023</v>
      </c>
      <c r="AK31" s="126">
        <f t="shared" si="3"/>
        <v>-4.660272188834233E-2</v>
      </c>
    </row>
    <row r="32" spans="1:37" ht="14">
      <c r="A32" s="118" t="s">
        <v>94</v>
      </c>
      <c r="B32" s="119">
        <v>92</v>
      </c>
      <c r="C32" s="120" t="s">
        <v>175</v>
      </c>
      <c r="D32" s="121">
        <f>IF(port0201!$B$9="All Routes",IF(port0201!$B$8&lt;&gt;"Tonnage","z",ROUND(SUMIFS(Data!$D:$D,Data!$A:$A,D$5,Data!$C:$C,D$4,Data!$B:$B,$B32),3)),IF(port0201!$B$8&lt;&gt;"Tonnage","z",ROUND(SUMIFS(Data!$D:$D,Data!$A:$A,D$5,Data!$C:$C,D$4,Data!$B:$B,$B32,Data!$F:$F,port0201!$B$9),3)))</f>
        <v>9776.4390000000003</v>
      </c>
      <c r="E32" s="121">
        <f>IF(port0201!$B$9="All Routes",IF(port0201!$B$8&lt;&gt;"Tonnage","z",ROUND(SUMIFS(Data!$D:$D,Data!$A:$A,E$5,Data!$C:$C,E$4,Data!$B:$B,$B32),3)),IF(port0201!$B$8&lt;&gt;"Tonnage","z",ROUND(SUMIFS(Data!$D:$D,Data!$A:$A,E$5,Data!$C:$C,E$4,Data!$B:$B,$B32,Data!$F:$F,port0201!$B$9),3)))</f>
        <v>9818.1550000000007</v>
      </c>
      <c r="F32" s="121">
        <f>IF(port0201!$B$9="All Routes",IF(port0201!$B$8&lt;&gt;"Tonnage","z",ROUND(SUMIFS(Data!$D:$D,Data!$A:$A,F$5,Data!$C:$C,F$4,Data!$B:$B,$B32),3)),IF(port0201!$B$8&lt;&gt;"Tonnage","z",ROUND(SUMIFS(Data!$D:$D,Data!$A:$A,F$5,Data!$C:$C,F$4,Data!$B:$B,$B32,Data!$F:$F,port0201!$B$9),3)))</f>
        <v>10261.379000000001</v>
      </c>
      <c r="G32" s="121">
        <f>IF(port0201!$B$9="All Routes",IF(port0201!$B$8&lt;&gt;"Tonnage","z",ROUND(SUMIFS(Data!$D:$D,Data!$A:$A,G$5,Data!$C:$C,G$4,Data!$B:$B,$B32),3)),IF(port0201!$B$8&lt;&gt;"Tonnage","z",ROUND(SUMIFS(Data!$D:$D,Data!$A:$A,G$5,Data!$C:$C,G$4,Data!$B:$B,$B32,Data!$F:$F,port0201!$B$9),3)))</f>
        <v>8994.8340000000007</v>
      </c>
      <c r="H32" s="121">
        <f>IF(port0201!$B$9="All Routes",IF(port0201!$B$8&lt;&gt;"Tonnage","z",ROUND(SUMIFS(Data!$D:$D,Data!$A:$A,H$5,Data!$C:$C,H$4,Data!$B:$B,$B32),3)),IF(port0201!$B$8&lt;&gt;"Tonnage","z",ROUND(SUMIFS(Data!$D:$D,Data!$A:$A,H$5,Data!$C:$C,H$4,Data!$B:$B,$B32,Data!$F:$F,port0201!$B$9),3)))</f>
        <v>10057.262000000001</v>
      </c>
      <c r="I32" s="121">
        <f>IF(port0201!$B$9="All Routes",IF(port0201!$B$8&lt;&gt;"Tonnage","z",ROUND(SUMIFS(Data!$D:$D,Data!$A:$A,I$5,Data!$C:$C,I$4,Data!$B:$B,$B32),3)),IF(port0201!$B$8&lt;&gt;"Tonnage","z",ROUND(SUMIFS(Data!$D:$D,Data!$A:$A,I$5,Data!$C:$C,I$4,Data!$B:$B,$B32,Data!$F:$F,port0201!$B$9),3)))</f>
        <v>10350.99</v>
      </c>
      <c r="J32" s="121">
        <f>IF(port0201!$B$9="All Routes",IF(port0201!$B$8&lt;&gt;"Tonnage","z",ROUND(SUMIFS(Data!$D:$D,Data!$A:$A,J$5,Data!$C:$C,J$4,Data!$B:$B,$B32),3)),IF(port0201!$B$8&lt;&gt;"Tonnage","z",ROUND(SUMIFS(Data!$D:$D,Data!$A:$A,J$5,Data!$C:$C,J$4,Data!$B:$B,$B32,Data!$F:$F,port0201!$B$9),3)))</f>
        <v>10636.64</v>
      </c>
      <c r="K32" s="121">
        <f>IF(port0201!$B$9="All Routes",IF(port0201!$B$8&lt;&gt;"Tonnage","z",ROUND(SUMIFS(Data!$D:$D,Data!$A:$A,K$5,Data!$C:$C,K$4,Data!$B:$B,$B32),3)),IF(port0201!$B$8&lt;&gt;"Tonnage","z",ROUND(SUMIFS(Data!$D:$D,Data!$A:$A,K$5,Data!$C:$C,K$4,Data!$B:$B,$B32,Data!$F:$F,port0201!$B$9),3)))</f>
        <v>12236.459000000001</v>
      </c>
      <c r="L32" s="121">
        <f>IF(port0201!$B$9="All Routes",IF(port0201!$B$8&lt;&gt;"Tonnage","z",ROUND(SUMIFS(Data!$D:$D,Data!$A:$A,L$5,Data!$C:$C,L$4,Data!$B:$B,$B32),3)),IF(port0201!$B$8&lt;&gt;"Tonnage","z",ROUND(SUMIFS(Data!$D:$D,Data!$A:$A,L$5,Data!$C:$C,L$4,Data!$B:$B,$B32,Data!$F:$F,port0201!$B$9),3)))</f>
        <v>10316.886</v>
      </c>
      <c r="M32" s="121">
        <f>IF(port0201!$B$9="All Routes",IF(port0201!$B$8&lt;&gt;"Tonnage","z",ROUND(SUMIFS(Data!$D:$D,Data!$A:$A,M$5,Data!$C:$C,M$4,Data!$B:$B,$B32),3)),IF(port0201!$B$8&lt;&gt;"Tonnage","z",ROUND(SUMIFS(Data!$D:$D,Data!$A:$A,M$5,Data!$C:$C,M$4,Data!$B:$B,$B32,Data!$F:$F,port0201!$B$9),3)))</f>
        <v>6182.2020000000002</v>
      </c>
      <c r="N32" s="121">
        <f>IF(port0201!$B$9="All Routes",IF(port0201!$B$8&lt;&gt;"Tonnage","z",ROUND(SUMIFS(Data!$D:$D,Data!$A:$A,N$5,Data!$C:$C,N$4,Data!$B:$B,$B32),3)),IF(port0201!$B$8&lt;&gt;"Tonnage","z",ROUND(SUMIFS(Data!$D:$D,Data!$A:$A,N$5,Data!$C:$C,N$4,Data!$B:$B,$B32,Data!$F:$F,port0201!$B$9),3)))</f>
        <v>6127.5709999999999</v>
      </c>
      <c r="O32" s="121">
        <f>IF(port0201!$B$9="All Routes",IF(port0201!$B$8&lt;&gt;"Tonnage","z",ROUND(SUMIFS(Data!$D:$D,Data!$A:$A,O$5,Data!$C:$C,O$4,Data!$B:$B,$B32),3)),IF(port0201!$B$8&lt;&gt;"Tonnage","z",ROUND(SUMIFS(Data!$D:$D,Data!$A:$A,O$5,Data!$C:$C,O$4,Data!$B:$B,$B32,Data!$F:$F,port0201!$B$9),3)))</f>
        <v>6935.741</v>
      </c>
      <c r="P32" s="121">
        <f>IF(port0201!$B$9="All Routes",IF(port0201!$B$8&lt;&gt;"Tonnage","z",ROUND(SUMIFS(Data!$D:$D,Data!$A:$A,P$5,Data!$C:$C,P$4,Data!$B:$B,$B32),3)),IF(port0201!$B$8&lt;&gt;"Tonnage","z",ROUND(SUMIFS(Data!$D:$D,Data!$A:$A,P$5,Data!$C:$C,P$4,Data!$B:$B,$B32,Data!$F:$F,port0201!$B$9),3)))</f>
        <v>7788.5069999999996</v>
      </c>
      <c r="Q32" s="121">
        <f>IF(port0201!$B$9="All Routes",IF(port0201!$B$8&lt;&gt;"Tonnage","z",ROUND(SUMIFS(Data!$D:$D,Data!$A:$A,Q$5,Data!$C:$C,Q$4,Data!$B:$B,$B32),3)),IF(port0201!$B$8&lt;&gt;"Tonnage","z",ROUND(SUMIFS(Data!$D:$D,Data!$A:$A,Q$5,Data!$C:$C,Q$4,Data!$B:$B,$B32,Data!$F:$F,port0201!$B$9),3)))</f>
        <v>8990.6679999999997</v>
      </c>
      <c r="R32" s="121">
        <f>IF(port0201!$B$9="All Routes",IF(port0201!$B$8&lt;&gt;"Tonnage","z",ROUND(SUMIFS(Data!$D:$D,Data!$A:$A,R$5,Data!$C:$C,R$4,Data!$B:$B,$B32),3)),IF(port0201!$B$8&lt;&gt;"Tonnage","z",ROUND(SUMIFS(Data!$D:$D,Data!$A:$A,R$5,Data!$C:$C,R$4,Data!$B:$B,$B32,Data!$F:$F,port0201!$B$9),3)))</f>
        <v>9974.6820000000007</v>
      </c>
      <c r="S32" s="121">
        <f>IF(port0201!$B$9="All Routes",IF(port0201!$B$8&lt;&gt;"Tonnage","z",ROUND(SUMIFS(Data!$D:$D,Data!$A:$A,S$5,Data!$C:$C,S$4,Data!$B:$B,$B32),3)),IF(port0201!$B$8&lt;&gt;"Tonnage","z",ROUND(SUMIFS(Data!$D:$D,Data!$A:$A,S$5,Data!$C:$C,S$4,Data!$B:$B,$B32,Data!$F:$F,port0201!$B$9),3)))</f>
        <v>8848.0810000000001</v>
      </c>
      <c r="T32" s="121">
        <f>IF(port0201!$B$9="All Routes",IF(port0201!$B$8&lt;&gt;"Tonnage","z",ROUND(SUMIFS(Data!$D:$D,Data!$A:$A,T$5,Data!$C:$C,T$4,Data!$B:$B,$B32),3)),IF(port0201!$B$8&lt;&gt;"Tonnage","z",ROUND(SUMIFS(Data!$D:$D,Data!$A:$A,T$5,Data!$C:$C,T$4,Data!$B:$B,$B32,Data!$F:$F,port0201!$B$9),3)))</f>
        <v>6964.527</v>
      </c>
      <c r="U32" s="121">
        <f>IF(port0201!$B$9="All Routes",IF(port0201!$B$8&lt;&gt;"Tonnage","z",ROUND(SUMIFS(Data!$D:$D,Data!$A:$A,U$5,Data!$C:$C,U$4,Data!$B:$B,$B32),3)),IF(port0201!$B$8&lt;&gt;"Tonnage","z",ROUND(SUMIFS(Data!$D:$D,Data!$A:$A,U$5,Data!$C:$C,U$4,Data!$B:$B,$B32,Data!$F:$F,port0201!$B$9),3)))</f>
        <v>7258.5379999999996</v>
      </c>
      <c r="V32" s="121">
        <f>IF(port0201!$B$9="All Routes",IF(port0201!$B$8&lt;&gt;"Tonnage","z",ROUND(SUMIFS(Data!$D:$D,Data!$A:$A,V$5,Data!$C:$C,V$4,Data!$B:$B,$B32),3)),IF(port0201!$B$8&lt;&gt;"Tonnage","z",ROUND(SUMIFS(Data!$D:$D,Data!$A:$A,V$5,Data!$C:$C,V$4,Data!$B:$B,$B32,Data!$F:$F,port0201!$B$9),3)))</f>
        <v>7000.7510000000002</v>
      </c>
      <c r="W32" s="121">
        <f>IF(port0201!$B$9="All Routes",IF(port0201!$B$8&lt;&gt;"Tonnage","z",ROUND(SUMIFS(Data!$D:$D,Data!$A:$A,W$5,Data!$C:$C,W$4,Data!$B:$B,$B32),3)),IF(port0201!$B$8&lt;&gt;"Tonnage","z",ROUND(SUMIFS(Data!$D:$D,Data!$A:$A,W$5,Data!$C:$C,W$4,Data!$B:$B,$B32,Data!$F:$F,port0201!$B$9),3)))</f>
        <v>6553.0230000000001</v>
      </c>
      <c r="X32" s="121">
        <f>IF(port0201!$B$9="All Routes",IF(port0201!$B$8&lt;&gt;"Tonnage","z",ROUND(SUMIFS(Data!$D:$D,Data!$A:$A,X$5,Data!$C:$C,X$4,Data!$B:$B,$B32),3)),IF(port0201!$B$8&lt;&gt;"Tonnage","z",ROUND(SUMIFS(Data!$D:$D,Data!$A:$A,X$5,Data!$C:$C,X$4,Data!$B:$B,$B32,Data!$F:$F,port0201!$B$9),3)))</f>
        <v>5571.7020000000002</v>
      </c>
      <c r="Y32" s="121">
        <f>IF(port0201!$B$9="All Routes",IF(port0201!$B$8&lt;&gt;"Tonnage","z",ROUND(SUMIFS(Data!$D:$D,Data!$A:$A,Y$5,Data!$C:$C,Y$4,Data!$B:$B,$B32),3)),IF(port0201!$B$8&lt;&gt;"Tonnage","z",ROUND(SUMIFS(Data!$D:$D,Data!$A:$A,Y$5,Data!$C:$C,Y$4,Data!$B:$B,$B32,Data!$F:$F,port0201!$B$9),3)))</f>
        <v>6628.5050000000001</v>
      </c>
      <c r="Z32" s="121">
        <f>IF(port0201!$B$9="All Routes",IF(port0201!$B$8&lt;&gt;"Tonnage","z",ROUND(SUMIFS(Data!$D:$D,Data!$A:$A,Z$5,Data!$C:$C,Z$4,Data!$B:$B,$B32),3)),IF(port0201!$B$8&lt;&gt;"Tonnage","z",ROUND(SUMIFS(Data!$D:$D,Data!$A:$A,Z$5,Data!$C:$C,Z$4,Data!$B:$B,$B32,Data!$F:$F,port0201!$B$9),3)))</f>
        <v>5661.4390000000003</v>
      </c>
      <c r="AA32" s="121">
        <f>IF(port0201!$B$9="All Routes",IF(port0201!$B$8&lt;&gt;"Tonnage","z",ROUND(SUMIFS(Data!$D:$D,Data!$A:$A,AA$5,Data!$C:$C,AA$4,Data!$B:$B,$B32),3)),IF(port0201!$B$8&lt;&gt;"Tonnage","z",ROUND(SUMIFS(Data!$D:$D,Data!$A:$A,AA$5,Data!$C:$C,AA$4,Data!$B:$B,$B32,Data!$F:$F,port0201!$B$9),3)))</f>
        <v>5205.5129999999999</v>
      </c>
      <c r="AB32" s="121">
        <f>IF(port0201!$B$9="All Routes",IF(port0201!$B$8&lt;&gt;"Tonnage","z",ROUND(SUMIFS(Data!$D:$D,Data!$A:$A,AB$5,Data!$C:$C,AB$4,Data!$B:$B,$B32),3)),IF(port0201!$B$8&lt;&gt;"Tonnage","z",ROUND(SUMIFS(Data!$D:$D,Data!$A:$A,AB$5,Data!$C:$C,AB$4,Data!$B:$B,$B32,Data!$F:$F,port0201!$B$9),3)))</f>
        <v>6958.43</v>
      </c>
      <c r="AC32" s="121">
        <f>IF(port0201!$B$9="All Routes",IF(port0201!$B$8&lt;&gt;"Tonnage","z",ROUND(SUMIFS(Data!$D:$D,Data!$A:$A,AC$5,Data!$C:$C,AC$4,Data!$B:$B,$B32),3)),IF(port0201!$B$8&lt;&gt;"Tonnage","z",ROUND(SUMIFS(Data!$D:$D,Data!$A:$A,AC$5,Data!$C:$C,AC$4,Data!$B:$B,$B32,Data!$F:$F,port0201!$B$9),3)))</f>
        <v>7841.4080000000004</v>
      </c>
      <c r="AD32" s="133"/>
      <c r="AE32" s="127">
        <f t="shared" si="0"/>
        <v>0.12689327908738035</v>
      </c>
      <c r="AF32" s="112">
        <f t="shared" si="1"/>
        <v>882.97800000000007</v>
      </c>
      <c r="AG32" s="133"/>
      <c r="AH32" s="133"/>
      <c r="AI32" s="133"/>
      <c r="AJ32" s="125">
        <f t="shared" si="2"/>
        <v>1752.9170000000004</v>
      </c>
      <c r="AK32" s="126">
        <f t="shared" si="3"/>
        <v>0.33674241136272265</v>
      </c>
    </row>
    <row r="33" spans="1:37" ht="14">
      <c r="A33" s="139" t="s">
        <v>94</v>
      </c>
      <c r="B33" s="140">
        <v>93</v>
      </c>
      <c r="C33" s="141" t="s">
        <v>176</v>
      </c>
      <c r="D33" s="121">
        <f>IF(port0201!$B$9="All Routes",IF(port0201!$B$8&lt;&gt;"Tonnage","z",ROUND(SUMIFS(Data!$D:$D,Data!$A:$A,D$5,Data!$C:$C,D$4,Data!$B:$B,$B33),3)),IF(port0201!$B$8&lt;&gt;"Tonnage","z",ROUND(SUMIFS(Data!$D:$D,Data!$A:$A,D$5,Data!$C:$C,D$4,Data!$B:$B,$B33,Data!$F:$F,port0201!$B$9),3)))</f>
        <v>0</v>
      </c>
      <c r="E33" s="121">
        <f>IF(port0201!$B$9="All Routes",IF(port0201!$B$8&lt;&gt;"Tonnage","z",ROUND(SUMIFS(Data!$D:$D,Data!$A:$A,E$5,Data!$C:$C,E$4,Data!$B:$B,$B33),3)),IF(port0201!$B$8&lt;&gt;"Tonnage","z",ROUND(SUMIFS(Data!$D:$D,Data!$A:$A,E$5,Data!$C:$C,E$4,Data!$B:$B,$B33,Data!$F:$F,port0201!$B$9),3)))</f>
        <v>0</v>
      </c>
      <c r="F33" s="121">
        <f>IF(port0201!$B$9="All Routes",IF(port0201!$B$8&lt;&gt;"Tonnage","z",ROUND(SUMIFS(Data!$D:$D,Data!$A:$A,F$5,Data!$C:$C,F$4,Data!$B:$B,$B33),3)),IF(port0201!$B$8&lt;&gt;"Tonnage","z",ROUND(SUMIFS(Data!$D:$D,Data!$A:$A,F$5,Data!$C:$C,F$4,Data!$B:$B,$B33,Data!$F:$F,port0201!$B$9),3)))</f>
        <v>0</v>
      </c>
      <c r="G33" s="121">
        <f>IF(port0201!$B$9="All Routes",IF(port0201!$B$8&lt;&gt;"Tonnage","z",ROUND(SUMIFS(Data!$D:$D,Data!$A:$A,G$5,Data!$C:$C,G$4,Data!$B:$B,$B33),3)),IF(port0201!$B$8&lt;&gt;"Tonnage","z",ROUND(SUMIFS(Data!$D:$D,Data!$A:$A,G$5,Data!$C:$C,G$4,Data!$B:$B,$B33,Data!$F:$F,port0201!$B$9),3)))</f>
        <v>0</v>
      </c>
      <c r="H33" s="121">
        <f>IF(port0201!$B$9="All Routes",IF(port0201!$B$8&lt;&gt;"Tonnage","z",ROUND(SUMIFS(Data!$D:$D,Data!$A:$A,H$5,Data!$C:$C,H$4,Data!$B:$B,$B33),3)),IF(port0201!$B$8&lt;&gt;"Tonnage","z",ROUND(SUMIFS(Data!$D:$D,Data!$A:$A,H$5,Data!$C:$C,H$4,Data!$B:$B,$B33,Data!$F:$F,port0201!$B$9),3)))</f>
        <v>0</v>
      </c>
      <c r="I33" s="121">
        <f>IF(port0201!$B$9="All Routes",IF(port0201!$B$8&lt;&gt;"Tonnage","z",ROUND(SUMIFS(Data!$D:$D,Data!$A:$A,I$5,Data!$C:$C,I$4,Data!$B:$B,$B33),3)),IF(port0201!$B$8&lt;&gt;"Tonnage","z",ROUND(SUMIFS(Data!$D:$D,Data!$A:$A,I$5,Data!$C:$C,I$4,Data!$B:$B,$B33,Data!$F:$F,port0201!$B$9),3)))</f>
        <v>0</v>
      </c>
      <c r="J33" s="121">
        <f>IF(port0201!$B$9="All Routes",IF(port0201!$B$8&lt;&gt;"Tonnage","z",ROUND(SUMIFS(Data!$D:$D,Data!$A:$A,J$5,Data!$C:$C,J$4,Data!$B:$B,$B33),3)),IF(port0201!$B$8&lt;&gt;"Tonnage","z",ROUND(SUMIFS(Data!$D:$D,Data!$A:$A,J$5,Data!$C:$C,J$4,Data!$B:$B,$B33,Data!$F:$F,port0201!$B$9),3)))</f>
        <v>0</v>
      </c>
      <c r="K33" s="121">
        <f>IF(port0201!$B$9="All Routes",IF(port0201!$B$8&lt;&gt;"Tonnage","z",ROUND(SUMIFS(Data!$D:$D,Data!$A:$A,K$5,Data!$C:$C,K$4,Data!$B:$B,$B33),3)),IF(port0201!$B$8&lt;&gt;"Tonnage","z",ROUND(SUMIFS(Data!$D:$D,Data!$A:$A,K$5,Data!$C:$C,K$4,Data!$B:$B,$B33,Data!$F:$F,port0201!$B$9),3)))</f>
        <v>0</v>
      </c>
      <c r="L33" s="121">
        <f>IF(port0201!$B$9="All Routes",IF(port0201!$B$8&lt;&gt;"Tonnage","z",ROUND(SUMIFS(Data!$D:$D,Data!$A:$A,L$5,Data!$C:$C,L$4,Data!$B:$B,$B33),3)),IF(port0201!$B$8&lt;&gt;"Tonnage","z",ROUND(SUMIFS(Data!$D:$D,Data!$A:$A,L$5,Data!$C:$C,L$4,Data!$B:$B,$B33,Data!$F:$F,port0201!$B$9),3)))</f>
        <v>0</v>
      </c>
      <c r="M33" s="121">
        <f>IF(port0201!$B$9="All Routes",IF(port0201!$B$8&lt;&gt;"Tonnage","z",ROUND(SUMIFS(Data!$D:$D,Data!$A:$A,M$5,Data!$C:$C,M$4,Data!$B:$B,$B33),3)),IF(port0201!$B$8&lt;&gt;"Tonnage","z",ROUND(SUMIFS(Data!$D:$D,Data!$A:$A,M$5,Data!$C:$C,M$4,Data!$B:$B,$B33,Data!$F:$F,port0201!$B$9),3)))</f>
        <v>0</v>
      </c>
      <c r="N33" s="121">
        <f>IF(port0201!$B$9="All Routes",IF(port0201!$B$8&lt;&gt;"Tonnage","z",ROUND(SUMIFS(Data!$D:$D,Data!$A:$A,N$5,Data!$C:$C,N$4,Data!$B:$B,$B33),3)),IF(port0201!$B$8&lt;&gt;"Tonnage","z",ROUND(SUMIFS(Data!$D:$D,Data!$A:$A,N$5,Data!$C:$C,N$4,Data!$B:$B,$B33,Data!$F:$F,port0201!$B$9),3)))</f>
        <v>0</v>
      </c>
      <c r="O33" s="121">
        <f>IF(port0201!$B$9="All Routes",IF(port0201!$B$8&lt;&gt;"Tonnage","z",ROUND(SUMIFS(Data!$D:$D,Data!$A:$A,O$5,Data!$C:$C,O$4,Data!$B:$B,$B33),3)),IF(port0201!$B$8&lt;&gt;"Tonnage","z",ROUND(SUMIFS(Data!$D:$D,Data!$A:$A,O$5,Data!$C:$C,O$4,Data!$B:$B,$B33,Data!$F:$F,port0201!$B$9),3)))</f>
        <v>0</v>
      </c>
      <c r="P33" s="121">
        <f>IF(port0201!$B$9="All Routes",IF(port0201!$B$8&lt;&gt;"Tonnage","z",ROUND(SUMIFS(Data!$D:$D,Data!$A:$A,P$5,Data!$C:$C,P$4,Data!$B:$B,$B33),3)),IF(port0201!$B$8&lt;&gt;"Tonnage","z",ROUND(SUMIFS(Data!$D:$D,Data!$A:$A,P$5,Data!$C:$C,P$4,Data!$B:$B,$B33,Data!$F:$F,port0201!$B$9),3)))</f>
        <v>0</v>
      </c>
      <c r="Q33" s="121">
        <f>IF(port0201!$B$9="All Routes",IF(port0201!$B$8&lt;&gt;"Tonnage","z",ROUND(SUMIFS(Data!$D:$D,Data!$A:$A,Q$5,Data!$C:$C,Q$4,Data!$B:$B,$B33),3)),IF(port0201!$B$8&lt;&gt;"Tonnage","z",ROUND(SUMIFS(Data!$D:$D,Data!$A:$A,Q$5,Data!$C:$C,Q$4,Data!$B:$B,$B33,Data!$F:$F,port0201!$B$9),3)))</f>
        <v>0</v>
      </c>
      <c r="R33" s="121">
        <f>IF(port0201!$B$9="All Routes",IF(port0201!$B$8&lt;&gt;"Tonnage","z",ROUND(SUMIFS(Data!$D:$D,Data!$A:$A,R$5,Data!$C:$C,R$4,Data!$B:$B,$B33),3)),IF(port0201!$B$8&lt;&gt;"Tonnage","z",ROUND(SUMIFS(Data!$D:$D,Data!$A:$A,R$5,Data!$C:$C,R$4,Data!$B:$B,$B33,Data!$F:$F,port0201!$B$9),3)))</f>
        <v>0</v>
      </c>
      <c r="S33" s="121">
        <f>IF(port0201!$B$9="All Routes",IF(port0201!$B$8&lt;&gt;"Tonnage","z",ROUND(SUMIFS(Data!$D:$D,Data!$A:$A,S$5,Data!$C:$C,S$4,Data!$B:$B,$B33),3)),IF(port0201!$B$8&lt;&gt;"Tonnage","z",ROUND(SUMIFS(Data!$D:$D,Data!$A:$A,S$5,Data!$C:$C,S$4,Data!$B:$B,$B33,Data!$F:$F,port0201!$B$9),3)))</f>
        <v>0</v>
      </c>
      <c r="T33" s="121">
        <f>IF(port0201!$B$9="All Routes",IF(port0201!$B$8&lt;&gt;"Tonnage","z",ROUND(SUMIFS(Data!$D:$D,Data!$A:$A,T$5,Data!$C:$C,T$4,Data!$B:$B,$B33),3)),IF(port0201!$B$8&lt;&gt;"Tonnage","z",ROUND(SUMIFS(Data!$D:$D,Data!$A:$A,T$5,Data!$C:$C,T$4,Data!$B:$B,$B33,Data!$F:$F,port0201!$B$9),3)))</f>
        <v>0</v>
      </c>
      <c r="U33" s="121">
        <f>IF(port0201!$B$9="All Routes",IF(port0201!$B$8&lt;&gt;"Tonnage","z",ROUND(SUMIFS(Data!$D:$D,Data!$A:$A,U$5,Data!$C:$C,U$4,Data!$B:$B,$B33),3)),IF(port0201!$B$8&lt;&gt;"Tonnage","z",ROUND(SUMIFS(Data!$D:$D,Data!$A:$A,U$5,Data!$C:$C,U$4,Data!$B:$B,$B33,Data!$F:$F,port0201!$B$9),3)))</f>
        <v>0</v>
      </c>
      <c r="V33" s="121">
        <f>IF(port0201!$B$9="All Routes",IF(port0201!$B$8&lt;&gt;"Tonnage","z",ROUND(SUMIFS(Data!$D:$D,Data!$A:$A,V$5,Data!$C:$C,V$4,Data!$B:$B,$B33),3)),IF(port0201!$B$8&lt;&gt;"Tonnage","z",ROUND(SUMIFS(Data!$D:$D,Data!$A:$A,V$5,Data!$C:$C,V$4,Data!$B:$B,$B33,Data!$F:$F,port0201!$B$9),3)))</f>
        <v>0</v>
      </c>
      <c r="W33" s="121">
        <f>IF(port0201!$B$9="All Routes",IF(port0201!$B$8&lt;&gt;"Tonnage","z",ROUND(SUMIFS(Data!$D:$D,Data!$A:$A,W$5,Data!$C:$C,W$4,Data!$B:$B,$B33),3)),IF(port0201!$B$8&lt;&gt;"Tonnage","z",ROUND(SUMIFS(Data!$D:$D,Data!$A:$A,W$5,Data!$C:$C,W$4,Data!$B:$B,$B33,Data!$F:$F,port0201!$B$9),3)))</f>
        <v>0</v>
      </c>
      <c r="X33" s="121">
        <f>IF(port0201!$B$9="All Routes",IF(port0201!$B$8&lt;&gt;"Tonnage","z",ROUND(SUMIFS(Data!$D:$D,Data!$A:$A,X$5,Data!$C:$C,X$4,Data!$B:$B,$B33),3)),IF(port0201!$B$8&lt;&gt;"Tonnage","z",ROUND(SUMIFS(Data!$D:$D,Data!$A:$A,X$5,Data!$C:$C,X$4,Data!$B:$B,$B33,Data!$F:$F,port0201!$B$9),3)))</f>
        <v>0</v>
      </c>
      <c r="Y33" s="121">
        <f>IF(port0201!$B$9="All Routes",IF(port0201!$B$8&lt;&gt;"Tonnage","z",ROUND(SUMIFS(Data!$D:$D,Data!$A:$A,Y$5,Data!$C:$C,Y$4,Data!$B:$B,$B33),3)),IF(port0201!$B$8&lt;&gt;"Tonnage","z",ROUND(SUMIFS(Data!$D:$D,Data!$A:$A,Y$5,Data!$C:$C,Y$4,Data!$B:$B,$B33,Data!$F:$F,port0201!$B$9),3)))</f>
        <v>0</v>
      </c>
      <c r="Z33" s="121">
        <f>IF(port0201!$B$9="All Routes",IF(port0201!$B$8&lt;&gt;"Tonnage","z",ROUND(SUMIFS(Data!$D:$D,Data!$A:$A,Z$5,Data!$C:$C,Z$4,Data!$B:$B,$B33),3)),IF(port0201!$B$8&lt;&gt;"Tonnage","z",ROUND(SUMIFS(Data!$D:$D,Data!$A:$A,Z$5,Data!$C:$C,Z$4,Data!$B:$B,$B33,Data!$F:$F,port0201!$B$9),3)))</f>
        <v>0</v>
      </c>
      <c r="AA33" s="121">
        <f>IF(port0201!$B$9="All Routes",IF(port0201!$B$8&lt;&gt;"Tonnage","z",ROUND(SUMIFS(Data!$D:$D,Data!$A:$A,AA$5,Data!$C:$C,AA$4,Data!$B:$B,$B33),3)),IF(port0201!$B$8&lt;&gt;"Tonnage","z",ROUND(SUMIFS(Data!$D:$D,Data!$A:$A,AA$5,Data!$C:$C,AA$4,Data!$B:$B,$B33,Data!$F:$F,port0201!$B$9),3)))</f>
        <v>0</v>
      </c>
      <c r="AB33" s="121">
        <f>IF(port0201!$B$9="All Routes",IF(port0201!$B$8&lt;&gt;"Tonnage","z",ROUND(SUMIFS(Data!$D:$D,Data!$A:$A,AB$5,Data!$C:$C,AB$4,Data!$B:$B,$B33),3)),IF(port0201!$B$8&lt;&gt;"Tonnage","z",ROUND(SUMIFS(Data!$D:$D,Data!$A:$A,AB$5,Data!$C:$C,AB$4,Data!$B:$B,$B33,Data!$F:$F,port0201!$B$9),3)))</f>
        <v>0</v>
      </c>
      <c r="AC33" s="121">
        <f>IF(port0201!$B$9="All Routes",IF(port0201!$B$8&lt;&gt;"Tonnage","z",ROUND(SUMIFS(Data!$D:$D,Data!$A:$A,AC$5,Data!$C:$C,AC$4,Data!$B:$B,$B33),3)),IF(port0201!$B$8&lt;&gt;"Tonnage","z",ROUND(SUMIFS(Data!$D:$D,Data!$A:$A,AC$5,Data!$C:$C,AC$4,Data!$B:$B,$B33,Data!$F:$F,port0201!$B$9),3)))</f>
        <v>621.50300000000004</v>
      </c>
      <c r="AD33" s="133"/>
      <c r="AE33" s="127" t="e">
        <f t="shared" si="0"/>
        <v>#DIV/0!</v>
      </c>
      <c r="AF33" s="112">
        <f t="shared" si="1"/>
        <v>621.50300000000004</v>
      </c>
      <c r="AG33" s="133"/>
      <c r="AH33" s="133"/>
      <c r="AI33" s="133"/>
      <c r="AJ33" s="125">
        <f t="shared" si="2"/>
        <v>0</v>
      </c>
      <c r="AK33" s="126" t="e">
        <f t="shared" si="3"/>
        <v>#DIV/0!</v>
      </c>
    </row>
    <row r="34" spans="1:37" ht="14">
      <c r="A34" s="118" t="s">
        <v>94</v>
      </c>
      <c r="B34" s="119">
        <v>99</v>
      </c>
      <c r="C34" s="120" t="s">
        <v>177</v>
      </c>
      <c r="D34" s="121">
        <f>IF(port0201!$B$9="All Routes",IF(port0201!$B$8&lt;&gt;"Tonnage","z",ROUND(SUMIFS(Data!$D:$D,Data!$A:$A,D$5,Data!$C:$C,D$4,Data!$B:$B,$B34),3)),IF(port0201!$B$8&lt;&gt;"Tonnage","z",ROUND(SUMIFS(Data!$D:$D,Data!$A:$A,D$5,Data!$C:$C,D$4,Data!$B:$B,$B34,Data!$F:$F,port0201!$B$9),3)))</f>
        <v>4926.4970000000003</v>
      </c>
      <c r="E34" s="121">
        <f>IF(port0201!$B$9="All Routes",IF(port0201!$B$8&lt;&gt;"Tonnage","z",ROUND(SUMIFS(Data!$D:$D,Data!$A:$A,E$5,Data!$C:$C,E$4,Data!$B:$B,$B34),3)),IF(port0201!$B$8&lt;&gt;"Tonnage","z",ROUND(SUMIFS(Data!$D:$D,Data!$A:$A,E$5,Data!$C:$C,E$4,Data!$B:$B,$B34,Data!$F:$F,port0201!$B$9),3)))</f>
        <v>6835.0190000000002</v>
      </c>
      <c r="F34" s="121">
        <f>IF(port0201!$B$9="All Routes",IF(port0201!$B$8&lt;&gt;"Tonnage","z",ROUND(SUMIFS(Data!$D:$D,Data!$A:$A,F$5,Data!$C:$C,F$4,Data!$B:$B,$B34),3)),IF(port0201!$B$8&lt;&gt;"Tonnage","z",ROUND(SUMIFS(Data!$D:$D,Data!$A:$A,F$5,Data!$C:$C,F$4,Data!$B:$B,$B34,Data!$F:$F,port0201!$B$9),3)))</f>
        <v>6685.3810000000003</v>
      </c>
      <c r="G34" s="121">
        <f>IF(port0201!$B$9="All Routes",IF(port0201!$B$8&lt;&gt;"Tonnage","z",ROUND(SUMIFS(Data!$D:$D,Data!$A:$A,G$5,Data!$C:$C,G$4,Data!$B:$B,$B34),3)),IF(port0201!$B$8&lt;&gt;"Tonnage","z",ROUND(SUMIFS(Data!$D:$D,Data!$A:$A,G$5,Data!$C:$C,G$4,Data!$B:$B,$B34,Data!$F:$F,port0201!$B$9),3)))</f>
        <v>6749.9070000000002</v>
      </c>
      <c r="H34" s="121">
        <f>IF(port0201!$B$9="All Routes",IF(port0201!$B$8&lt;&gt;"Tonnage","z",ROUND(SUMIFS(Data!$D:$D,Data!$A:$A,H$5,Data!$C:$C,H$4,Data!$B:$B,$B34),3)),IF(port0201!$B$8&lt;&gt;"Tonnage","z",ROUND(SUMIFS(Data!$D:$D,Data!$A:$A,H$5,Data!$C:$C,H$4,Data!$B:$B,$B34,Data!$F:$F,port0201!$B$9),3)))</f>
        <v>6726.4589999999998</v>
      </c>
      <c r="I34" s="121">
        <f>IF(port0201!$B$9="All Routes",IF(port0201!$B$8&lt;&gt;"Tonnage","z",ROUND(SUMIFS(Data!$D:$D,Data!$A:$A,I$5,Data!$C:$C,I$4,Data!$B:$B,$B34),3)),IF(port0201!$B$8&lt;&gt;"Tonnage","z",ROUND(SUMIFS(Data!$D:$D,Data!$A:$A,I$5,Data!$C:$C,I$4,Data!$B:$B,$B34,Data!$F:$F,port0201!$B$9),3)))</f>
        <v>7342.2049999999999</v>
      </c>
      <c r="J34" s="121">
        <f>IF(port0201!$B$9="All Routes",IF(port0201!$B$8&lt;&gt;"Tonnage","z",ROUND(SUMIFS(Data!$D:$D,Data!$A:$A,J$5,Data!$C:$C,J$4,Data!$B:$B,$B34),3)),IF(port0201!$B$8&lt;&gt;"Tonnage","z",ROUND(SUMIFS(Data!$D:$D,Data!$A:$A,J$5,Data!$C:$C,J$4,Data!$B:$B,$B34,Data!$F:$F,port0201!$B$9),3)))</f>
        <v>7141.27</v>
      </c>
      <c r="K34" s="121">
        <f>IF(port0201!$B$9="All Routes",IF(port0201!$B$8&lt;&gt;"Tonnage","z",ROUND(SUMIFS(Data!$D:$D,Data!$A:$A,K$5,Data!$C:$C,K$4,Data!$B:$B,$B34),3)),IF(port0201!$B$8&lt;&gt;"Tonnage","z",ROUND(SUMIFS(Data!$D:$D,Data!$A:$A,K$5,Data!$C:$C,K$4,Data!$B:$B,$B34,Data!$F:$F,port0201!$B$9),3)))</f>
        <v>6215.027</v>
      </c>
      <c r="L34" s="121">
        <f>IF(port0201!$B$9="All Routes",IF(port0201!$B$8&lt;&gt;"Tonnage","z",ROUND(SUMIFS(Data!$D:$D,Data!$A:$A,L$5,Data!$C:$C,L$4,Data!$B:$B,$B34),3)),IF(port0201!$B$8&lt;&gt;"Tonnage","z",ROUND(SUMIFS(Data!$D:$D,Data!$A:$A,L$5,Data!$C:$C,L$4,Data!$B:$B,$B34,Data!$F:$F,port0201!$B$9),3)))</f>
        <v>6242.9049999999997</v>
      </c>
      <c r="M34" s="121">
        <f>IF(port0201!$B$9="All Routes",IF(port0201!$B$8&lt;&gt;"Tonnage","z",ROUND(SUMIFS(Data!$D:$D,Data!$A:$A,M$5,Data!$C:$C,M$4,Data!$B:$B,$B34),3)),IF(port0201!$B$8&lt;&gt;"Tonnage","z",ROUND(SUMIFS(Data!$D:$D,Data!$A:$A,M$5,Data!$C:$C,M$4,Data!$B:$B,$B34,Data!$F:$F,port0201!$B$9),3)))</f>
        <v>5451.4560000000001</v>
      </c>
      <c r="N34" s="121">
        <f>IF(port0201!$B$9="All Routes",IF(port0201!$B$8&lt;&gt;"Tonnage","z",ROUND(SUMIFS(Data!$D:$D,Data!$A:$A,N$5,Data!$C:$C,N$4,Data!$B:$B,$B34),3)),IF(port0201!$B$8&lt;&gt;"Tonnage","z",ROUND(SUMIFS(Data!$D:$D,Data!$A:$A,N$5,Data!$C:$C,N$4,Data!$B:$B,$B34,Data!$F:$F,port0201!$B$9),3)))</f>
        <v>5067.7939999999999</v>
      </c>
      <c r="O34" s="121">
        <f>IF(port0201!$B$9="All Routes",IF(port0201!$B$8&lt;&gt;"Tonnage","z",ROUND(SUMIFS(Data!$D:$D,Data!$A:$A,O$5,Data!$C:$C,O$4,Data!$B:$B,$B34),3)),IF(port0201!$B$8&lt;&gt;"Tonnage","z",ROUND(SUMIFS(Data!$D:$D,Data!$A:$A,O$5,Data!$C:$C,O$4,Data!$B:$B,$B34,Data!$F:$F,port0201!$B$9),3)))</f>
        <v>5368.4930000000004</v>
      </c>
      <c r="P34" s="121">
        <f>IF(port0201!$B$9="All Routes",IF(port0201!$B$8&lt;&gt;"Tonnage","z",ROUND(SUMIFS(Data!$D:$D,Data!$A:$A,P$5,Data!$C:$C,P$4,Data!$B:$B,$B34),3)),IF(port0201!$B$8&lt;&gt;"Tonnage","z",ROUND(SUMIFS(Data!$D:$D,Data!$A:$A,P$5,Data!$C:$C,P$4,Data!$B:$B,$B34,Data!$F:$F,port0201!$B$9),3)))</f>
        <v>5846.2759999999998</v>
      </c>
      <c r="Q34" s="121">
        <f>IF(port0201!$B$9="All Routes",IF(port0201!$B$8&lt;&gt;"Tonnage","z",ROUND(SUMIFS(Data!$D:$D,Data!$A:$A,Q$5,Data!$C:$C,Q$4,Data!$B:$B,$B34),3)),IF(port0201!$B$8&lt;&gt;"Tonnage","z",ROUND(SUMIFS(Data!$D:$D,Data!$A:$A,Q$5,Data!$C:$C,Q$4,Data!$B:$B,$B34,Data!$F:$F,port0201!$B$9),3)))</f>
        <v>5387.4570000000003</v>
      </c>
      <c r="R34" s="121">
        <f>IF(port0201!$B$9="All Routes",IF(port0201!$B$8&lt;&gt;"Tonnage","z",ROUND(SUMIFS(Data!$D:$D,Data!$A:$A,R$5,Data!$C:$C,R$4,Data!$B:$B,$B34),3)),IF(port0201!$B$8&lt;&gt;"Tonnage","z",ROUND(SUMIFS(Data!$D:$D,Data!$A:$A,R$5,Data!$C:$C,R$4,Data!$B:$B,$B34,Data!$F:$F,port0201!$B$9),3)))</f>
        <v>5525.7240000000002</v>
      </c>
      <c r="S34" s="121">
        <f>IF(port0201!$B$9="All Routes",IF(port0201!$B$8&lt;&gt;"Tonnage","z",ROUND(SUMIFS(Data!$D:$D,Data!$A:$A,S$5,Data!$C:$C,S$4,Data!$B:$B,$B34),3)),IF(port0201!$B$8&lt;&gt;"Tonnage","z",ROUND(SUMIFS(Data!$D:$D,Data!$A:$A,S$5,Data!$C:$C,S$4,Data!$B:$B,$B34,Data!$F:$F,port0201!$B$9),3)))</f>
        <v>5615.4589999999998</v>
      </c>
      <c r="T34" s="121">
        <f>IF(port0201!$B$9="All Routes",IF(port0201!$B$8&lt;&gt;"Tonnage","z",ROUND(SUMIFS(Data!$D:$D,Data!$A:$A,T$5,Data!$C:$C,T$4,Data!$B:$B,$B34),3)),IF(port0201!$B$8&lt;&gt;"Tonnage","z",ROUND(SUMIFS(Data!$D:$D,Data!$A:$A,T$5,Data!$C:$C,T$4,Data!$B:$B,$B34,Data!$F:$F,port0201!$B$9),3)))</f>
        <v>5112.4949999999999</v>
      </c>
      <c r="U34" s="121">
        <f>IF(port0201!$B$9="All Routes",IF(port0201!$B$8&lt;&gt;"Tonnage","z",ROUND(SUMIFS(Data!$D:$D,Data!$A:$A,U$5,Data!$C:$C,U$4,Data!$B:$B,$B34),3)),IF(port0201!$B$8&lt;&gt;"Tonnage","z",ROUND(SUMIFS(Data!$D:$D,Data!$A:$A,U$5,Data!$C:$C,U$4,Data!$B:$B,$B34,Data!$F:$F,port0201!$B$9),3)))</f>
        <v>6250.6379999999999</v>
      </c>
      <c r="V34" s="121">
        <f>IF(port0201!$B$9="All Routes",IF(port0201!$B$8&lt;&gt;"Tonnage","z",ROUND(SUMIFS(Data!$D:$D,Data!$A:$A,V$5,Data!$C:$C,V$4,Data!$B:$B,$B34),3)),IF(port0201!$B$8&lt;&gt;"Tonnage","z",ROUND(SUMIFS(Data!$D:$D,Data!$A:$A,V$5,Data!$C:$C,V$4,Data!$B:$B,$B34,Data!$F:$F,port0201!$B$9),3)))</f>
        <v>5610.192</v>
      </c>
      <c r="W34" s="121">
        <f>IF(port0201!$B$9="All Routes",IF(port0201!$B$8&lt;&gt;"Tonnage","z",ROUND(SUMIFS(Data!$D:$D,Data!$A:$A,W$5,Data!$C:$C,W$4,Data!$B:$B,$B34),3)),IF(port0201!$B$8&lt;&gt;"Tonnage","z",ROUND(SUMIFS(Data!$D:$D,Data!$A:$A,W$5,Data!$C:$C,W$4,Data!$B:$B,$B34,Data!$F:$F,port0201!$B$9),3)))</f>
        <v>5446.1040000000003</v>
      </c>
      <c r="X34" s="121">
        <f>IF(port0201!$B$9="All Routes",IF(port0201!$B$8&lt;&gt;"Tonnage","z",ROUND(SUMIFS(Data!$D:$D,Data!$A:$A,X$5,Data!$C:$C,X$4,Data!$B:$B,$B34),3)),IF(port0201!$B$8&lt;&gt;"Tonnage","z",ROUND(SUMIFS(Data!$D:$D,Data!$A:$A,X$5,Data!$C:$C,X$4,Data!$B:$B,$B34,Data!$F:$F,port0201!$B$9),3)))</f>
        <v>5869.2309999999998</v>
      </c>
      <c r="Y34" s="121">
        <f>IF(port0201!$B$9="All Routes",IF(port0201!$B$8&lt;&gt;"Tonnage","z",ROUND(SUMIFS(Data!$D:$D,Data!$A:$A,Y$5,Data!$C:$C,Y$4,Data!$B:$B,$B34),3)),IF(port0201!$B$8&lt;&gt;"Tonnage","z",ROUND(SUMIFS(Data!$D:$D,Data!$A:$A,Y$5,Data!$C:$C,Y$4,Data!$B:$B,$B34,Data!$F:$F,port0201!$B$9),3)))</f>
        <v>6078.5039999999999</v>
      </c>
      <c r="Z34" s="121">
        <f>IF(port0201!$B$9="All Routes",IF(port0201!$B$8&lt;&gt;"Tonnage","z",ROUND(SUMIFS(Data!$D:$D,Data!$A:$A,Z$5,Data!$C:$C,Z$4,Data!$B:$B,$B34),3)),IF(port0201!$B$8&lt;&gt;"Tonnage","z",ROUND(SUMIFS(Data!$D:$D,Data!$A:$A,Z$5,Data!$C:$C,Z$4,Data!$B:$B,$B34,Data!$F:$F,port0201!$B$9),3)))</f>
        <v>5029.8860000000004</v>
      </c>
      <c r="AA34" s="121">
        <f>IF(port0201!$B$9="All Routes",IF(port0201!$B$8&lt;&gt;"Tonnage","z",ROUND(SUMIFS(Data!$D:$D,Data!$A:$A,AA$5,Data!$C:$C,AA$4,Data!$B:$B,$B34),3)),IF(port0201!$B$8&lt;&gt;"Tonnage","z",ROUND(SUMIFS(Data!$D:$D,Data!$A:$A,AA$5,Data!$C:$C,AA$4,Data!$B:$B,$B34,Data!$F:$F,port0201!$B$9),3)))</f>
        <v>4637.0330000000004</v>
      </c>
      <c r="AB34" s="121">
        <f>IF(port0201!$B$9="All Routes",IF(port0201!$B$8&lt;&gt;"Tonnage","z",ROUND(SUMIFS(Data!$D:$D,Data!$A:$A,AB$5,Data!$C:$C,AB$4,Data!$B:$B,$B34),3)),IF(port0201!$B$8&lt;&gt;"Tonnage","z",ROUND(SUMIFS(Data!$D:$D,Data!$A:$A,AB$5,Data!$C:$C,AB$4,Data!$B:$B,$B34,Data!$F:$F,port0201!$B$9),3)))</f>
        <v>5056.9660000000003</v>
      </c>
      <c r="AC34" s="121">
        <f>IF(port0201!$B$9="All Routes",IF(port0201!$B$8&lt;&gt;"Tonnage","z",ROUND(SUMIFS(Data!$D:$D,Data!$A:$A,AC$5,Data!$C:$C,AC$4,Data!$B:$B,$B34),3)),IF(port0201!$B$8&lt;&gt;"Tonnage","z",ROUND(SUMIFS(Data!$D:$D,Data!$A:$A,AC$5,Data!$C:$C,AC$4,Data!$B:$B,$B34,Data!$F:$F,port0201!$B$9),3)))</f>
        <v>3925.8209999999999</v>
      </c>
      <c r="AD34" s="133"/>
      <c r="AE34" s="127">
        <f t="shared" si="0"/>
        <v>-0.22368056261402594</v>
      </c>
      <c r="AF34" s="112">
        <f t="shared" si="1"/>
        <v>-1131.1450000000004</v>
      </c>
      <c r="AG34" s="133"/>
      <c r="AH34" s="133"/>
      <c r="AI34" s="133"/>
      <c r="AJ34" s="125">
        <f t="shared" si="2"/>
        <v>419.93299999999999</v>
      </c>
      <c r="AK34" s="126">
        <f t="shared" si="3"/>
        <v>9.0560709833205841E-2</v>
      </c>
    </row>
    <row r="35" spans="1:37" ht="13">
      <c r="A35" s="134" t="s">
        <v>94</v>
      </c>
      <c r="B35" s="115" t="s">
        <v>178</v>
      </c>
      <c r="C35" s="136" t="s">
        <v>179</v>
      </c>
      <c r="D35" s="137">
        <f>IF(port0201!$B$8&lt;&gt;"Tonnage","z",ROUND(SUM(D31:D34),3))</f>
        <v>24498.100999999999</v>
      </c>
      <c r="E35" s="137">
        <f>IF(port0201!$B$8&lt;&gt;"Tonnage","z",ROUND(SUM(E31:E34),3))</f>
        <v>26058.102999999999</v>
      </c>
      <c r="F35" s="137">
        <f>IF(port0201!$B$8&lt;&gt;"Tonnage","z",ROUND(SUM(F31:F34),3))</f>
        <v>27137.392</v>
      </c>
      <c r="G35" s="137">
        <f>IF(port0201!$B$8&lt;&gt;"Tonnage","z",ROUND(SUM(G31:G34),3))</f>
        <v>25993.511999999999</v>
      </c>
      <c r="H35" s="137">
        <f>IF(port0201!$B$8&lt;&gt;"Tonnage","z",ROUND(SUM(H31:H34),3))</f>
        <v>27341.261999999999</v>
      </c>
      <c r="I35" s="137">
        <f>IF(port0201!$B$8&lt;&gt;"Tonnage","z",ROUND(SUM(I31:I34),3))</f>
        <v>27309.102999999999</v>
      </c>
      <c r="J35" s="137">
        <f>IF(port0201!$B$8&lt;&gt;"Tonnage","z",ROUND(SUM(J31:J34),3))</f>
        <v>26672.126</v>
      </c>
      <c r="K35" s="137">
        <f>IF(port0201!$B$8&lt;&gt;"Tonnage","z",ROUND(SUM(K31:K34),3))</f>
        <v>27438.401000000002</v>
      </c>
      <c r="L35" s="137">
        <f>IF(port0201!$B$8&lt;&gt;"Tonnage","z",ROUND(SUM(L31:L34),3))</f>
        <v>23085.047999999999</v>
      </c>
      <c r="M35" s="137">
        <f>IF(port0201!$B$8&lt;&gt;"Tonnage","z",ROUND(SUM(M31:M34),3))</f>
        <v>16876.297999999999</v>
      </c>
      <c r="N35" s="137">
        <f>IF(port0201!$B$8&lt;&gt;"Tonnage","z",ROUND(SUM(N31:N34),3))</f>
        <v>16783.780999999999</v>
      </c>
      <c r="O35" s="137">
        <f>IF(port0201!$B$8&lt;&gt;"Tonnage","z",ROUND(SUM(O31:O34),3))</f>
        <v>18017.281999999999</v>
      </c>
      <c r="P35" s="137">
        <f>IF(port0201!$B$8&lt;&gt;"Tonnage","z",ROUND(SUM(P31:P34),3))</f>
        <v>18313.325000000001</v>
      </c>
      <c r="Q35" s="137">
        <f>IF(port0201!$B$8&lt;&gt;"Tonnage","z",ROUND(SUM(Q31:Q34),3))</f>
        <v>21400.030999999999</v>
      </c>
      <c r="R35" s="137">
        <f>IF(port0201!$B$8&lt;&gt;"Tonnage","z",ROUND(SUM(R31:R34),3))</f>
        <v>21204.435000000001</v>
      </c>
      <c r="S35" s="137">
        <f>IF(port0201!$B$8&lt;&gt;"Tonnage","z",ROUND(SUM(S31:S34),3))</f>
        <v>20324.651000000002</v>
      </c>
      <c r="T35" s="137">
        <f>IF(port0201!$B$8&lt;&gt;"Tonnage","z",ROUND(SUM(T31:T34),3))</f>
        <v>17387.460999999999</v>
      </c>
      <c r="U35" s="137">
        <f>IF(port0201!$B$8&lt;&gt;"Tonnage","z",ROUND(SUM(U31:U34),3))</f>
        <v>18771.577000000001</v>
      </c>
      <c r="V35" s="137">
        <f>IF(port0201!$B$8&lt;&gt;"Tonnage","z",ROUND(SUM(V31:V34),3))</f>
        <v>17864.670999999998</v>
      </c>
      <c r="W35" s="137">
        <f>IF(port0201!$B$8&lt;&gt;"Tonnage","z",ROUND(SUM(W31:W34),3))</f>
        <v>16865.165000000001</v>
      </c>
      <c r="X35" s="137">
        <f>IF(port0201!$B$8&lt;&gt;"Tonnage","z",ROUND(SUM(X31:X34),3))</f>
        <v>16341.864</v>
      </c>
      <c r="Y35" s="137">
        <f>IF(port0201!$B$8&lt;&gt;"Tonnage","z",ROUND(SUM(Y31:Y34),3))</f>
        <v>18356.095000000001</v>
      </c>
      <c r="Z35" s="137">
        <f>IF(port0201!$B$8&lt;&gt;"Tonnage","z",ROUND(SUM(Z31:Z34),3))</f>
        <v>15426.151</v>
      </c>
      <c r="AA35" s="137">
        <f>IF(port0201!$B$8&lt;&gt;"Tonnage","z",ROUND(SUM(AA31:AA34),3))</f>
        <v>15037.028</v>
      </c>
      <c r="AB35" s="137">
        <f>IF(port0201!$B$8&lt;&gt;"Tonnage","z",ROUND(SUM(AB31:AB34),3))</f>
        <v>16967.800999999999</v>
      </c>
      <c r="AC35" s="137">
        <f>IF(port0201!$B$8&lt;&gt;"Tonnage","z",ROUND(SUM(AC31:AC34),3))</f>
        <v>16883.545999999998</v>
      </c>
      <c r="AD35" s="133">
        <f>SUM(AB31:AB34)-AB35</f>
        <v>0</v>
      </c>
      <c r="AE35" s="154">
        <f t="shared" si="0"/>
        <v>-4.9655815741828317E-3</v>
      </c>
      <c r="AF35" s="112">
        <f t="shared" si="1"/>
        <v>-84.255000000001019</v>
      </c>
      <c r="AG35" s="127">
        <f>(AB35-AA35)/AA35</f>
        <v>0.12840123726576816</v>
      </c>
      <c r="AH35" s="133">
        <f>AB35-AA35</f>
        <v>1930.7729999999992</v>
      </c>
      <c r="AI35" s="127">
        <f>(AC35-AB35)/AB35</f>
        <v>-4.9655815741828317E-3</v>
      </c>
      <c r="AJ35" s="125">
        <f t="shared" si="2"/>
        <v>1930.7729999999992</v>
      </c>
      <c r="AK35" s="126">
        <f t="shared" si="3"/>
        <v>0.12840123726576816</v>
      </c>
    </row>
    <row r="36" spans="1:37" ht="13">
      <c r="A36" s="155" t="s">
        <v>180</v>
      </c>
      <c r="B36" s="155" t="s">
        <v>181</v>
      </c>
      <c r="C36" s="156" t="s">
        <v>182</v>
      </c>
      <c r="D36" s="157">
        <f>CHOOSE(VLOOKUP(port0201!$B$8,Lookup!$A$1:$B$3,2,FALSE),D35+D30+D21+D16+D10,D30+D21,D21)</f>
        <v>555611.54</v>
      </c>
      <c r="E36" s="157">
        <f>CHOOSE(VLOOKUP(port0201!$B$8,Lookup!$A$1:$B$3,2,FALSE),E35+E30+E21+E16+E10,E30+E21,E21)</f>
        <v>549454.65</v>
      </c>
      <c r="F36" s="157">
        <f>CHOOSE(VLOOKUP(port0201!$B$8,Lookup!$A$1:$B$3,2,FALSE),F35+F30+F21+F16+F10,F30+F21,F21)</f>
        <v>542114.33700000006</v>
      </c>
      <c r="G36" s="157">
        <f>CHOOSE(VLOOKUP(port0201!$B$8,Lookup!$A$1:$B$3,2,FALSE),G35+G30+G21+G16+G10,G30+G21,G21)</f>
        <v>538976.56200000003</v>
      </c>
      <c r="H36" s="157">
        <f>CHOOSE(VLOOKUP(port0201!$B$8,Lookup!$A$1:$B$3,2,FALSE),H35+H30+H21+H16+H10,H30+H21,H21)</f>
        <v>558183.1370000001</v>
      </c>
      <c r="I36" s="157">
        <f>CHOOSE(VLOOKUP(port0201!$B$8,Lookup!$A$1:$B$3,2,FALSE),I35+I30+I21+I16+I10,I30+I21,I21)</f>
        <v>570145.07400000002</v>
      </c>
      <c r="J36" s="157">
        <f>CHOOSE(VLOOKUP(port0201!$B$8,Lookup!$A$1:$B$3,2,FALSE),J35+J30+J21+J16+J10,J30+J21,J21)</f>
        <v>568762.52500000002</v>
      </c>
      <c r="K36" s="157">
        <f>CHOOSE(VLOOKUP(port0201!$B$8,Lookup!$A$1:$B$3,2,FALSE),K35+K30+K21+K16+K10,K30+K21,K21)</f>
        <v>566617.39</v>
      </c>
      <c r="L36" s="157">
        <f>CHOOSE(VLOOKUP(port0201!$B$8,Lookup!$A$1:$B$3,2,FALSE),L35+L30+L21+L16+L10,L30+L21,L21)</f>
        <v>548079.18200000003</v>
      </c>
      <c r="M36" s="157">
        <f>CHOOSE(VLOOKUP(port0201!$B$8,Lookup!$A$1:$B$3,2,FALSE),M35+M30+M21+M16+M10,M30+M21,M21)</f>
        <v>489556.08600000001</v>
      </c>
      <c r="N36" s="157">
        <f>CHOOSE(VLOOKUP(port0201!$B$8,Lookup!$A$1:$B$3,2,FALSE),N35+N30+N21+N16+N10,N30+N21,N21)</f>
        <v>498488.48099999997</v>
      </c>
      <c r="O36" s="157">
        <f>CHOOSE(VLOOKUP(port0201!$B$8,Lookup!$A$1:$B$3,2,FALSE),O35+O30+O21+O16+O10,O30+O21,O21)</f>
        <v>506995.50199999998</v>
      </c>
      <c r="P36" s="157">
        <f>CHOOSE(VLOOKUP(port0201!$B$8,Lookup!$A$1:$B$3,2,FALSE),P35+P30+P21+P16+P10,P30+P21,P21)</f>
        <v>489450.15899999999</v>
      </c>
      <c r="Q36" s="157">
        <f>CHOOSE(VLOOKUP(port0201!$B$8,Lookup!$A$1:$B$3,2,FALSE),Q35+Q30+Q21+Q16+Q10,Q30+Q21,Q21)</f>
        <v>491755.05799999996</v>
      </c>
      <c r="R36" s="157">
        <f>CHOOSE(VLOOKUP(port0201!$B$8,Lookup!$A$1:$B$3,2,FALSE),R35+R30+R21+R16+R10,R30+R21,R21)</f>
        <v>491855.79099999997</v>
      </c>
      <c r="S36" s="157">
        <f>CHOOSE(VLOOKUP(port0201!$B$8,Lookup!$A$1:$B$3,2,FALSE),S35+S30+S21+S16+S10,S30+S21,S21)</f>
        <v>485729.46799999999</v>
      </c>
      <c r="T36" s="157">
        <f>CHOOSE(VLOOKUP(port0201!$B$8,Lookup!$A$1:$B$3,2,FALSE),T35+T30+T21+T16+T10,T30+T21,T21)</f>
        <v>472772.07199999993</v>
      </c>
      <c r="U36" s="157">
        <f>CHOOSE(VLOOKUP(port0201!$B$8,Lookup!$A$1:$B$3,2,FALSE),U35+U30+U21+U16+U10,U30+U21,U21)</f>
        <v>470682.71100000001</v>
      </c>
      <c r="V36" s="157">
        <f>CHOOSE(VLOOKUP(port0201!$B$8,Lookup!$A$1:$B$3,2,FALSE),V35+V30+V21+V16+V10,V30+V21,V21)</f>
        <v>472055.94400000002</v>
      </c>
      <c r="W36" s="157">
        <f>CHOOSE(VLOOKUP(port0201!$B$8,Lookup!$A$1:$B$3,2,FALSE),W35+W30+W21+W16+W10,W30+W21,W21)</f>
        <v>471739.34399999992</v>
      </c>
      <c r="X36" s="157">
        <f>CHOOSE(VLOOKUP(port0201!$B$8,Lookup!$A$1:$B$3,2,FALSE),X35+X30+X21+X16+X10,X30+X21,X21)</f>
        <v>428993.76400000002</v>
      </c>
      <c r="Y36" s="157">
        <f>CHOOSE(VLOOKUP(port0201!$B$8,Lookup!$A$1:$B$3,2,FALSE),Y35+Y30+Y21+Y16+Y10,Y30+Y21,Y21)</f>
        <v>435385.734</v>
      </c>
      <c r="Z36" s="157">
        <f>CHOOSE(VLOOKUP(port0201!$B$8,Lookup!$A$1:$B$3,2,FALSE),Z35+Z30+Z21+Z16+Z10,Z30+Z21,Z21)</f>
        <v>449650.82799999998</v>
      </c>
      <c r="AA36" s="157">
        <f>CHOOSE(VLOOKUP(port0201!$B$8,Lookup!$A$1:$B$3,2,FALSE),AA35+AA30+AA21+AA16+AA10,AA30+AA21,AA21)</f>
        <v>425858.50100000005</v>
      </c>
      <c r="AB36" s="157">
        <f>CHOOSE(VLOOKUP(port0201!$B$8,Lookup!$A$1:$B$3,2,FALSE),AB35+AB30+AB21+AB16+AB10,AB30+AB21,AB21)</f>
        <v>421016.70999999996</v>
      </c>
      <c r="AC36" s="157">
        <f>CHOOSE(VLOOKUP(port0201!$B$8,Lookup!$A$1:$B$3,2,FALSE),AC35+AC30+AC21+AC16+AC10,AC30+AC21,AC21)</f>
        <v>419539.234</v>
      </c>
      <c r="AD36" s="133">
        <f>SUM(AB6:AB9,AB11:AB15,AB17:AB20,AB22:AB29,AB31:AB34)-AB36</f>
        <v>0</v>
      </c>
      <c r="AE36" s="127">
        <f t="shared" si="0"/>
        <v>-3.5093048919601459E-3</v>
      </c>
      <c r="AF36" s="112">
        <f t="shared" si="1"/>
        <v>-1477.475999999966</v>
      </c>
      <c r="AG36" s="133"/>
      <c r="AH36" s="133"/>
      <c r="AI36" s="133">
        <f>AC35-AB35</f>
        <v>-84.255000000001019</v>
      </c>
      <c r="AJ36" s="125">
        <f t="shared" si="2"/>
        <v>-4841.7910000000848</v>
      </c>
      <c r="AK36" s="126">
        <f t="shared" si="3"/>
        <v>-1.1369483029294006E-2</v>
      </c>
    </row>
    <row r="37" spans="1:37" ht="14">
      <c r="A37" s="114" t="s">
        <v>183</v>
      </c>
      <c r="B37" s="119" t="s">
        <v>184</v>
      </c>
      <c r="C37" s="120" t="s">
        <v>185</v>
      </c>
      <c r="D37" s="158">
        <f>IF(port0201!$B$8&lt;&gt;"Tonnage","z",ROUND(D6+D7+D8+D12,3))</f>
        <v>304923.88500000001</v>
      </c>
      <c r="E37" s="158">
        <f>IF(port0201!$B$8&lt;&gt;"Tonnage","z",ROUND(E6+E7+E8+E12,3))</f>
        <v>299121.32799999998</v>
      </c>
      <c r="F37" s="158">
        <f>IF(port0201!$B$8&lt;&gt;"Tonnage","z",ROUND(F6+F7+F8+F12,3))</f>
        <v>291535.89899999998</v>
      </c>
      <c r="G37" s="158">
        <f>IF(port0201!$B$8&lt;&gt;"Tonnage","z",ROUND(G6+G7+G8+G12,3))</f>
        <v>285493.58799999999</v>
      </c>
      <c r="H37" s="158">
        <f>IF(port0201!$B$8&lt;&gt;"Tonnage","z",ROUND(H6+H7+H8+H12,3))</f>
        <v>296297.79599999997</v>
      </c>
      <c r="I37" s="158">
        <f>IF(port0201!$B$8&lt;&gt;"Tonnage","z",ROUND(I6+I7+I8+I12,3))</f>
        <v>302186.55</v>
      </c>
      <c r="J37" s="158">
        <f>IF(port0201!$B$8&lt;&gt;"Tonnage","z",ROUND(J6+J7+J8+J12,3))</f>
        <v>294072.33500000002</v>
      </c>
      <c r="K37" s="158">
        <f>IF(port0201!$B$8&lt;&gt;"Tonnage","z",ROUND(K6+K7+K8+K12,3))</f>
        <v>281420.538</v>
      </c>
      <c r="L37" s="158">
        <f>IF(port0201!$B$8&lt;&gt;"Tonnage","z",ROUND(L6+L7+L8+L12,3))</f>
        <v>276918.32299999997</v>
      </c>
      <c r="M37" s="158">
        <f>IF(port0201!$B$8&lt;&gt;"Tonnage","z",ROUND(M6+M7+M8+M12,3))</f>
        <v>254681.37299999999</v>
      </c>
      <c r="N37" s="158">
        <f>IF(port0201!$B$8&lt;&gt;"Tonnage","z",ROUND(N6+N7+N8+N12,3))</f>
        <v>248696.18799999999</v>
      </c>
      <c r="O37" s="158">
        <f>IF(port0201!$B$8&lt;&gt;"Tonnage","z",ROUND(O6+O7+O8+O12,3))</f>
        <v>255457.03200000001</v>
      </c>
      <c r="P37" s="158">
        <f>IF(port0201!$B$8&lt;&gt;"Tonnage","z",ROUND(P6+P7+P8+P12,3))</f>
        <v>246731.14799999999</v>
      </c>
      <c r="Q37" s="158">
        <f>IF(port0201!$B$8&lt;&gt;"Tonnage","z",ROUND(Q6+Q7+Q8+Q12,3))</f>
        <v>239533.318</v>
      </c>
      <c r="R37" s="158">
        <f>IF(port0201!$B$8&lt;&gt;"Tonnage","z",ROUND(R6+R7+R8+R12,3))</f>
        <v>221369.337</v>
      </c>
      <c r="S37" s="158">
        <f>IF(port0201!$B$8&lt;&gt;"Tonnage","z",ROUND(S6+S7+S8+S12,3))</f>
        <v>209230.894</v>
      </c>
      <c r="T37" s="158">
        <f>IF(port0201!$B$8&lt;&gt;"Tonnage","z",ROUND(T6+T7+T8+T12,3))</f>
        <v>190952.30100000001</v>
      </c>
      <c r="U37" s="158">
        <f>IF(port0201!$B$8&lt;&gt;"Tonnage","z",ROUND(U6+U7+U8+U12,3))</f>
        <v>188485.36199999999</v>
      </c>
      <c r="V37" s="158">
        <f>IF(port0201!$B$8&lt;&gt;"Tonnage","z",ROUND(V6+V7+V8+V12,3))</f>
        <v>185941.821</v>
      </c>
      <c r="W37" s="158">
        <f>IF(port0201!$B$8&lt;&gt;"Tonnage","z",ROUND(W6+W7+W8+W12,3))</f>
        <v>188463.06400000001</v>
      </c>
      <c r="X37" s="158">
        <f>IF(port0201!$B$8&lt;&gt;"Tonnage","z",ROUND(X6+X7+X8+X12,3))</f>
        <v>163534.49299999999</v>
      </c>
      <c r="Y37" s="158">
        <f>IF(port0201!$B$8&lt;&gt;"Tonnage","z",ROUND(Y6+Y7+Y8+Y12,3))</f>
        <v>161186.89000000001</v>
      </c>
      <c r="Z37" s="158">
        <f>IF(port0201!$B$8&lt;&gt;"Tonnage","z",ROUND(Z6+Z7+Z8+Z12,3))</f>
        <v>181413.524</v>
      </c>
      <c r="AA37" s="158">
        <f>IF(port0201!$B$8&lt;&gt;"Tonnage","z",ROUND(AA6+AA7+AA8+AA12,3))</f>
        <v>167459.06700000001</v>
      </c>
      <c r="AB37" s="158">
        <f>IF(port0201!$B$8&lt;&gt;"Tonnage","z",ROUND(AB6+AB7+AB8+AB12,3))</f>
        <v>159430.05499999999</v>
      </c>
      <c r="AC37" s="158">
        <f>IF(port0201!$B$8&lt;&gt;"Tonnage","z",ROUND(AC6+AC7+AC8+AC12,3))</f>
        <v>155827.28</v>
      </c>
      <c r="AD37" s="133">
        <f>SUM(AB6:AB8,AB12)-AB37</f>
        <v>0</v>
      </c>
      <c r="AE37" s="127">
        <f t="shared" si="0"/>
        <v>-2.2597840789805878E-2</v>
      </c>
      <c r="AF37" s="112">
        <f t="shared" si="1"/>
        <v>-3602.7749999999942</v>
      </c>
      <c r="AG37" s="133"/>
      <c r="AH37" s="133"/>
      <c r="AI37" s="133"/>
      <c r="AJ37" s="125">
        <f t="shared" si="2"/>
        <v>-8029.012000000017</v>
      </c>
      <c r="AK37" s="126">
        <f t="shared" si="3"/>
        <v>-4.7946116885985136E-2</v>
      </c>
    </row>
    <row r="38" spans="1:37" ht="14">
      <c r="A38" s="114" t="s">
        <v>183</v>
      </c>
      <c r="B38" s="119" t="s">
        <v>186</v>
      </c>
      <c r="C38" s="120" t="s">
        <v>187</v>
      </c>
      <c r="D38" s="159">
        <f>IF(port0201!$B$8&lt;&gt;"Tonnage","z",ROUND(D9+D11+D13+D15,3))</f>
        <v>89228.870999999999</v>
      </c>
      <c r="E38" s="159">
        <f>IF(port0201!$B$8&lt;&gt;"Tonnage","z",ROUND(E9+E11+E13+E15,3))</f>
        <v>89399.187999999995</v>
      </c>
      <c r="F38" s="159">
        <f>IF(port0201!$B$8&lt;&gt;"Tonnage","z",ROUND(F9+F11+F13+F15,3))</f>
        <v>86002.317999999999</v>
      </c>
      <c r="G38" s="159">
        <f>IF(port0201!$B$8&lt;&gt;"Tonnage","z",ROUND(G9+G11+G13+G15,3))</f>
        <v>89234.785000000003</v>
      </c>
      <c r="H38" s="159">
        <f>IF(port0201!$B$8&lt;&gt;"Tonnage","z",ROUND(H9+H11+H13+H15,3))</f>
        <v>85325.282000000007</v>
      </c>
      <c r="I38" s="159">
        <f>IF(port0201!$B$8&lt;&gt;"Tonnage","z",ROUND(I9+I11+I13+I15,3))</f>
        <v>86547.793000000005</v>
      </c>
      <c r="J38" s="159">
        <f>IF(port0201!$B$8&lt;&gt;"Tonnage","z",ROUND(J9+J11+J13+J15,3))</f>
        <v>89395.823000000004</v>
      </c>
      <c r="K38" s="159">
        <f>IF(port0201!$B$8&lt;&gt;"Tonnage","z",ROUND(K9+K11+K13+K15,3))</f>
        <v>92554.987999999998</v>
      </c>
      <c r="L38" s="159">
        <f>IF(port0201!$B$8&lt;&gt;"Tonnage","z",ROUND(L9+L11+L13+L15,3))</f>
        <v>87111.542000000001</v>
      </c>
      <c r="M38" s="159">
        <f>IF(port0201!$B$8&lt;&gt;"Tonnage","z",ROUND(M9+M11+M13+M15,3))</f>
        <v>71906.846000000005</v>
      </c>
      <c r="N38" s="159">
        <f>IF(port0201!$B$8&lt;&gt;"Tonnage","z",ROUND(N9+N11+N13+N15,3))</f>
        <v>80320.023000000001</v>
      </c>
      <c r="O38" s="159">
        <f>IF(port0201!$B$8&lt;&gt;"Tonnage","z",ROUND(O9+O11+O13+O15,3))</f>
        <v>78509.23</v>
      </c>
      <c r="P38" s="159">
        <f>IF(port0201!$B$8&lt;&gt;"Tonnage","z",ROUND(P9+P11+P13+P15,3))</f>
        <v>75007.531000000003</v>
      </c>
      <c r="Q38" s="159">
        <f>IF(port0201!$B$8&lt;&gt;"Tonnage","z",ROUND(Q9+Q11+Q13+Q15,3))</f>
        <v>78863.513000000006</v>
      </c>
      <c r="R38" s="159">
        <f>IF(port0201!$B$8&lt;&gt;"Tonnage","z",ROUND(R9+R11+R13+R15,3))</f>
        <v>88412.31</v>
      </c>
      <c r="S38" s="159">
        <f>IF(port0201!$B$8&lt;&gt;"Tonnage","z",ROUND(S9+S11+S13+S15,3))</f>
        <v>89184.127999999997</v>
      </c>
      <c r="T38" s="159">
        <f>IF(port0201!$B$8&lt;&gt;"Tonnage","z",ROUND(T9+T11+T13+T15,3))</f>
        <v>92659.1</v>
      </c>
      <c r="U38" s="159">
        <f>IF(port0201!$B$8&lt;&gt;"Tonnage","z",ROUND(U9+U11+U13+U15,3))</f>
        <v>92357.324999999997</v>
      </c>
      <c r="V38" s="159">
        <f>IF(port0201!$B$8&lt;&gt;"Tonnage","z",ROUND(V9+V11+V13+V15,3))</f>
        <v>92213.596999999994</v>
      </c>
      <c r="W38" s="159">
        <f>IF(port0201!$B$8&lt;&gt;"Tonnage","z",ROUND(W9+W11+W13+W15,3))</f>
        <v>95360.686000000002</v>
      </c>
      <c r="X38" s="159">
        <f>IF(port0201!$B$8&lt;&gt;"Tonnage","z",ROUND(X9+X11+X13+X15,3))</f>
        <v>87990.870999999999</v>
      </c>
      <c r="Y38" s="159">
        <f>IF(port0201!$B$8&lt;&gt;"Tonnage","z",ROUND(Y9+Y11+Y13+Y15,3))</f>
        <v>97226.894</v>
      </c>
      <c r="Z38" s="159">
        <f>IF(port0201!$B$8&lt;&gt;"Tonnage","z",ROUND(Z9+Z11+Z13+Z15,3))</f>
        <v>91925.398000000001</v>
      </c>
      <c r="AA38" s="159">
        <f>IF(port0201!$B$8&lt;&gt;"Tonnage","z",ROUND(AA9+AA11+AA13+AA15,3))</f>
        <v>86215.270999999993</v>
      </c>
      <c r="AB38" s="159">
        <f>IF(port0201!$B$8&lt;&gt;"Tonnage","z",ROUND(AB9+AB11+AB13+AB15,3))</f>
        <v>84613.198999999993</v>
      </c>
      <c r="AC38" s="159">
        <f>IF(port0201!$B$8&lt;&gt;"Tonnage","z",ROUND(AC9+AC11+AC13+AC15,3))</f>
        <v>72960.982000000004</v>
      </c>
      <c r="AD38" s="133">
        <f>SUM(AB9,AB11,AB13:AB15)-AB38</f>
        <v>0</v>
      </c>
      <c r="AE38" s="127">
        <f t="shared" si="0"/>
        <v>-0.13771157618092172</v>
      </c>
      <c r="AF38" s="112">
        <f t="shared" si="1"/>
        <v>-11652.21699999999</v>
      </c>
      <c r="AG38" s="133"/>
      <c r="AH38" s="133"/>
      <c r="AI38" s="133"/>
      <c r="AJ38" s="125">
        <f t="shared" si="2"/>
        <v>-1602.0720000000001</v>
      </c>
      <c r="AK38" s="126">
        <f t="shared" si="3"/>
        <v>-1.8582230055276407E-2</v>
      </c>
    </row>
    <row r="39" spans="1:37" ht="13">
      <c r="A39" s="115" t="s">
        <v>183</v>
      </c>
      <c r="B39" s="115" t="s">
        <v>183</v>
      </c>
      <c r="C39" s="136" t="s">
        <v>188</v>
      </c>
      <c r="D39" s="160">
        <f>IF(port0201!$B$8&lt;&gt;"Tonnage","z",ROUND(SUM(D37:D38),3))</f>
        <v>394152.75599999999</v>
      </c>
      <c r="E39" s="160">
        <f>IF(port0201!$B$8&lt;&gt;"Tonnage","z",ROUND(SUM(E37:E38),3))</f>
        <v>388520.516</v>
      </c>
      <c r="F39" s="160">
        <f>IF(port0201!$B$8&lt;&gt;"Tonnage","z",ROUND(SUM(F37:F38),3))</f>
        <v>377538.217</v>
      </c>
      <c r="G39" s="160">
        <f>IF(port0201!$B$8&lt;&gt;"Tonnage","z",ROUND(SUM(G37:G38),3))</f>
        <v>374728.37300000002</v>
      </c>
      <c r="H39" s="160">
        <f>IF(port0201!$B$8&lt;&gt;"Tonnage","z",ROUND(SUM(H37:H38),3))</f>
        <v>381623.07799999998</v>
      </c>
      <c r="I39" s="160">
        <f>IF(port0201!$B$8&lt;&gt;"Tonnage","z",ROUND(SUM(I37:I38),3))</f>
        <v>388734.34299999999</v>
      </c>
      <c r="J39" s="160">
        <f>IF(port0201!$B$8&lt;&gt;"Tonnage","z",ROUND(SUM(J37:J38),3))</f>
        <v>383468.158</v>
      </c>
      <c r="K39" s="160">
        <f>IF(port0201!$B$8&lt;&gt;"Tonnage","z",ROUND(SUM(K37:K38),3))</f>
        <v>373975.52600000001</v>
      </c>
      <c r="L39" s="160">
        <f>IF(port0201!$B$8&lt;&gt;"Tonnage","z",ROUND(SUM(L37:L38),3))</f>
        <v>364029.86499999999</v>
      </c>
      <c r="M39" s="160">
        <f>IF(port0201!$B$8&lt;&gt;"Tonnage","z",ROUND(SUM(M37:M38),3))</f>
        <v>326588.21899999998</v>
      </c>
      <c r="N39" s="160">
        <f>IF(port0201!$B$8&lt;&gt;"Tonnage","z",ROUND(SUM(N37:N38),3))</f>
        <v>329016.21100000001</v>
      </c>
      <c r="O39" s="160">
        <f>IF(port0201!$B$8&lt;&gt;"Tonnage","z",ROUND(SUM(O37:O38),3))</f>
        <v>333966.26199999999</v>
      </c>
      <c r="P39" s="160">
        <f>IF(port0201!$B$8&lt;&gt;"Tonnage","z",ROUND(SUM(P37:P38),3))</f>
        <v>321738.679</v>
      </c>
      <c r="Q39" s="160">
        <f>IF(port0201!$B$8&lt;&gt;"Tonnage","z",ROUND(SUM(Q37:Q38),3))</f>
        <v>318396.83100000001</v>
      </c>
      <c r="R39" s="160">
        <f>IF(port0201!$B$8&lt;&gt;"Tonnage","z",ROUND(SUM(R37:R38),3))</f>
        <v>309781.647</v>
      </c>
      <c r="S39" s="160">
        <f>IF(port0201!$B$8&lt;&gt;"Tonnage","z",ROUND(SUM(S37:S38),3))</f>
        <v>298415.022</v>
      </c>
      <c r="T39" s="160">
        <f>IF(port0201!$B$8&lt;&gt;"Tonnage","z",ROUND(SUM(T37:T38),3))</f>
        <v>283611.40100000001</v>
      </c>
      <c r="U39" s="160">
        <f>IF(port0201!$B$8&lt;&gt;"Tonnage","z",ROUND(SUM(U37:U38),3))</f>
        <v>280842.68699999998</v>
      </c>
      <c r="V39" s="160">
        <f>IF(port0201!$B$8&lt;&gt;"Tonnage","z",ROUND(SUM(V37:V38),3))</f>
        <v>278155.41800000001</v>
      </c>
      <c r="W39" s="160">
        <f>IF(port0201!$B$8&lt;&gt;"Tonnage","z",ROUND(SUM(W37:W38),3))</f>
        <v>283823.75</v>
      </c>
      <c r="X39" s="160">
        <f>IF(port0201!$B$8&lt;&gt;"Tonnage","z",ROUND(SUM(X37:X38),3))</f>
        <v>251525.364</v>
      </c>
      <c r="Y39" s="160">
        <f>IF(port0201!$B$8&lt;&gt;"Tonnage","z",ROUND(SUM(Y37:Y38),3))</f>
        <v>258413.78400000001</v>
      </c>
      <c r="Z39" s="160">
        <f>IF(port0201!$B$8&lt;&gt;"Tonnage","z",ROUND(SUM(Z37:Z38),3))</f>
        <v>273338.92200000002</v>
      </c>
      <c r="AA39" s="160">
        <f>IF(port0201!$B$8&lt;&gt;"Tonnage","z",ROUND(SUM(AA37:AA38),3))</f>
        <v>253674.33799999999</v>
      </c>
      <c r="AB39" s="160">
        <f>IF(port0201!$B$8&lt;&gt;"Tonnage","z",ROUND(SUM(AB37:AB38),3))</f>
        <v>244043.25399999999</v>
      </c>
      <c r="AC39" s="160">
        <f>IF(port0201!$B$8&lt;&gt;"Tonnage","z",ROUND(SUM(AC37:AC38),3))</f>
        <v>228788.26199999999</v>
      </c>
      <c r="AD39" s="133">
        <f>SUM(AB37:AB38)-AB39</f>
        <v>0</v>
      </c>
      <c r="AE39" s="127">
        <f t="shared" si="0"/>
        <v>-6.2509377948222242E-2</v>
      </c>
      <c r="AF39" s="112">
        <f t="shared" si="1"/>
        <v>-15254.991999999998</v>
      </c>
      <c r="AG39" s="133"/>
      <c r="AH39" s="133"/>
      <c r="AI39" s="133"/>
      <c r="AJ39" s="125">
        <f t="shared" si="2"/>
        <v>-9631.0840000000026</v>
      </c>
      <c r="AK39" s="126">
        <f t="shared" si="3"/>
        <v>-3.7966331462349193E-2</v>
      </c>
    </row>
    <row r="40" spans="1:37" ht="14">
      <c r="A40" s="114" t="s">
        <v>189</v>
      </c>
      <c r="B40" s="119" t="s">
        <v>189</v>
      </c>
      <c r="C40" s="161" t="s">
        <v>106</v>
      </c>
      <c r="D40" s="112">
        <f t="shared" ref="D40:AC40" si="5">D21</f>
        <v>51570.567999999999</v>
      </c>
      <c r="E40" s="112">
        <f t="shared" si="5"/>
        <v>51688.896999999997</v>
      </c>
      <c r="F40" s="112">
        <f t="shared" si="5"/>
        <v>51100.224000000002</v>
      </c>
      <c r="G40" s="112">
        <f t="shared" si="5"/>
        <v>51278.909</v>
      </c>
      <c r="H40" s="112">
        <f t="shared" si="5"/>
        <v>56414.391000000003</v>
      </c>
      <c r="I40" s="112">
        <f t="shared" si="5"/>
        <v>53840.057999999997</v>
      </c>
      <c r="J40" s="112">
        <f t="shared" si="5"/>
        <v>54359.381000000001</v>
      </c>
      <c r="K40" s="112">
        <f t="shared" si="5"/>
        <v>60509.644</v>
      </c>
      <c r="L40" s="112">
        <f t="shared" si="5"/>
        <v>59550.053999999996</v>
      </c>
      <c r="M40" s="112">
        <f t="shared" si="5"/>
        <v>52010.781999999999</v>
      </c>
      <c r="N40" s="112">
        <f t="shared" si="5"/>
        <v>56673.648999999998</v>
      </c>
      <c r="O40" s="112">
        <f t="shared" si="5"/>
        <v>57702.904999999999</v>
      </c>
      <c r="P40" s="112">
        <f t="shared" si="5"/>
        <v>55053.178999999996</v>
      </c>
      <c r="Q40" s="112">
        <f t="shared" si="5"/>
        <v>56902.821000000004</v>
      </c>
      <c r="R40" s="112">
        <f t="shared" si="5"/>
        <v>61255.785000000003</v>
      </c>
      <c r="S40" s="112">
        <f t="shared" si="5"/>
        <v>63211.574000000001</v>
      </c>
      <c r="T40" s="112">
        <f t="shared" si="5"/>
        <v>65331.071000000004</v>
      </c>
      <c r="U40" s="112">
        <f t="shared" si="5"/>
        <v>64030.781999999999</v>
      </c>
      <c r="V40" s="112">
        <f t="shared" si="5"/>
        <v>68455.72</v>
      </c>
      <c r="W40" s="112">
        <f t="shared" si="5"/>
        <v>66765.254000000001</v>
      </c>
      <c r="X40" s="112">
        <f t="shared" si="5"/>
        <v>61355.006000000001</v>
      </c>
      <c r="Y40" s="112">
        <f t="shared" si="5"/>
        <v>60655.139000000003</v>
      </c>
      <c r="Z40" s="112">
        <f t="shared" si="5"/>
        <v>59089.641000000003</v>
      </c>
      <c r="AA40" s="112">
        <f t="shared" si="5"/>
        <v>58546.578000000001</v>
      </c>
      <c r="AB40" s="112">
        <f t="shared" si="5"/>
        <v>60691.154000000002</v>
      </c>
      <c r="AC40" s="112">
        <f t="shared" si="5"/>
        <v>66882.558999999994</v>
      </c>
      <c r="AD40" s="133"/>
      <c r="AE40" s="127">
        <f t="shared" si="0"/>
        <v>0.10201494932852968</v>
      </c>
      <c r="AF40" s="112">
        <f t="shared" si="1"/>
        <v>6191.4049999999916</v>
      </c>
      <c r="AG40" s="133"/>
      <c r="AH40" s="133"/>
      <c r="AI40" s="133"/>
      <c r="AJ40" s="125">
        <f t="shared" si="2"/>
        <v>2144.5760000000009</v>
      </c>
      <c r="AK40" s="126">
        <f t="shared" si="3"/>
        <v>3.6630253607648953E-2</v>
      </c>
    </row>
    <row r="41" spans="1:37" ht="14">
      <c r="A41" s="114" t="s">
        <v>189</v>
      </c>
      <c r="B41" s="119" t="s">
        <v>189</v>
      </c>
      <c r="C41" s="161" t="s">
        <v>107</v>
      </c>
      <c r="D41" s="112">
        <f t="shared" ref="D41:AC41" si="6">IFERROR(D22+D23+D26,"z")</f>
        <v>79661.042000000001</v>
      </c>
      <c r="E41" s="112">
        <f t="shared" si="6"/>
        <v>77224.684000000008</v>
      </c>
      <c r="F41" s="112">
        <f t="shared" si="6"/>
        <v>80208.02</v>
      </c>
      <c r="G41" s="112">
        <f t="shared" si="6"/>
        <v>80640.047999999995</v>
      </c>
      <c r="H41" s="112">
        <f t="shared" si="6"/>
        <v>86103.834999999992</v>
      </c>
      <c r="I41" s="112">
        <f t="shared" si="6"/>
        <v>93348.418000000005</v>
      </c>
      <c r="J41" s="112">
        <f t="shared" si="6"/>
        <v>96895.362000000008</v>
      </c>
      <c r="K41" s="112">
        <f t="shared" si="6"/>
        <v>97121.293000000005</v>
      </c>
      <c r="L41" s="112">
        <f t="shared" si="6"/>
        <v>94807.967999999993</v>
      </c>
      <c r="M41" s="112">
        <f t="shared" si="6"/>
        <v>88909.573999999993</v>
      </c>
      <c r="N41" s="112">
        <f t="shared" si="6"/>
        <v>90149.460999999981</v>
      </c>
      <c r="O41" s="112">
        <f t="shared" si="6"/>
        <v>91658.725000000006</v>
      </c>
      <c r="P41" s="112">
        <f t="shared" si="6"/>
        <v>88465.656000000017</v>
      </c>
      <c r="Q41" s="112">
        <f t="shared" si="6"/>
        <v>88231.424999999988</v>
      </c>
      <c r="R41" s="112">
        <f t="shared" si="6"/>
        <v>92394.717000000004</v>
      </c>
      <c r="S41" s="112">
        <f t="shared" si="6"/>
        <v>96630.41399999999</v>
      </c>
      <c r="T41" s="112">
        <f t="shared" si="6"/>
        <v>99548.884000000005</v>
      </c>
      <c r="U41" s="112">
        <f t="shared" si="6"/>
        <v>100805.87000000001</v>
      </c>
      <c r="V41" s="112">
        <f t="shared" si="6"/>
        <v>100803.079</v>
      </c>
      <c r="W41" s="112">
        <f t="shared" si="6"/>
        <v>97879.608000000007</v>
      </c>
      <c r="X41" s="112">
        <f t="shared" si="6"/>
        <v>95024.841</v>
      </c>
      <c r="Y41" s="112">
        <f t="shared" si="6"/>
        <v>93297.856999999989</v>
      </c>
      <c r="Z41" s="112">
        <f t="shared" si="6"/>
        <v>96427.516000000003</v>
      </c>
      <c r="AA41" s="112">
        <f t="shared" si="6"/>
        <v>92625.462</v>
      </c>
      <c r="AB41" s="112">
        <f t="shared" si="6"/>
        <v>93535.212</v>
      </c>
      <c r="AC41" s="112">
        <f t="shared" si="6"/>
        <v>91218.145999999993</v>
      </c>
      <c r="AD41" s="133"/>
      <c r="AE41" s="127">
        <f t="shared" si="0"/>
        <v>-2.4772125389527166E-2</v>
      </c>
      <c r="AF41" s="112">
        <f t="shared" si="1"/>
        <v>-2317.0660000000062</v>
      </c>
      <c r="AG41" s="133"/>
      <c r="AH41" s="133"/>
      <c r="AI41" s="133"/>
      <c r="AJ41" s="125">
        <f t="shared" si="2"/>
        <v>909.75</v>
      </c>
      <c r="AK41" s="126">
        <f t="shared" si="3"/>
        <v>9.8218133584046258E-3</v>
      </c>
    </row>
    <row r="42" spans="1:37" ht="13">
      <c r="A42" s="147" t="s">
        <v>108</v>
      </c>
      <c r="B42" s="147" t="s">
        <v>108</v>
      </c>
      <c r="C42" s="136" t="s">
        <v>190</v>
      </c>
      <c r="D42" s="115">
        <f t="shared" ref="D42:AC42" si="7">IFERROR(D40+D41,D40)</f>
        <v>131231.60999999999</v>
      </c>
      <c r="E42" s="115">
        <f t="shared" si="7"/>
        <v>128913.58100000001</v>
      </c>
      <c r="F42" s="115">
        <f t="shared" si="7"/>
        <v>131308.24400000001</v>
      </c>
      <c r="G42" s="115">
        <f t="shared" si="7"/>
        <v>131918.95699999999</v>
      </c>
      <c r="H42" s="115">
        <f t="shared" si="7"/>
        <v>142518.226</v>
      </c>
      <c r="I42" s="115">
        <f t="shared" si="7"/>
        <v>147188.476</v>
      </c>
      <c r="J42" s="115">
        <f t="shared" si="7"/>
        <v>151254.74300000002</v>
      </c>
      <c r="K42" s="115">
        <f t="shared" si="7"/>
        <v>157630.93700000001</v>
      </c>
      <c r="L42" s="115">
        <f t="shared" si="7"/>
        <v>154358.022</v>
      </c>
      <c r="M42" s="115">
        <f t="shared" si="7"/>
        <v>140920.356</v>
      </c>
      <c r="N42" s="115">
        <f t="shared" si="7"/>
        <v>146823.10999999999</v>
      </c>
      <c r="O42" s="115">
        <f t="shared" si="7"/>
        <v>149361.63</v>
      </c>
      <c r="P42" s="115">
        <f t="shared" si="7"/>
        <v>143518.83500000002</v>
      </c>
      <c r="Q42" s="115">
        <f t="shared" si="7"/>
        <v>145134.24599999998</v>
      </c>
      <c r="R42" s="115">
        <f t="shared" si="7"/>
        <v>153650.50200000001</v>
      </c>
      <c r="S42" s="115">
        <f t="shared" si="7"/>
        <v>159841.98799999998</v>
      </c>
      <c r="T42" s="115">
        <f t="shared" si="7"/>
        <v>164879.95500000002</v>
      </c>
      <c r="U42" s="115">
        <f t="shared" si="7"/>
        <v>164836.652</v>
      </c>
      <c r="V42" s="115">
        <f t="shared" si="7"/>
        <v>169258.799</v>
      </c>
      <c r="W42" s="115">
        <f t="shared" si="7"/>
        <v>164644.86200000002</v>
      </c>
      <c r="X42" s="115">
        <f t="shared" si="7"/>
        <v>156379.84700000001</v>
      </c>
      <c r="Y42" s="115">
        <f t="shared" si="7"/>
        <v>153952.99599999998</v>
      </c>
      <c r="Z42" s="115">
        <f t="shared" si="7"/>
        <v>155517.15700000001</v>
      </c>
      <c r="AA42" s="115">
        <f t="shared" si="7"/>
        <v>151172.04</v>
      </c>
      <c r="AB42" s="115">
        <f t="shared" si="7"/>
        <v>154226.36600000001</v>
      </c>
      <c r="AC42" s="115">
        <f t="shared" si="7"/>
        <v>158100.70499999999</v>
      </c>
      <c r="AE42" s="127">
        <f t="shared" si="0"/>
        <v>2.5121119692335731E-2</v>
      </c>
      <c r="AF42" s="112">
        <f t="shared" si="1"/>
        <v>3874.3389999999781</v>
      </c>
      <c r="AJ42" s="125">
        <f t="shared" si="2"/>
        <v>3054.3260000000009</v>
      </c>
      <c r="AK42" s="126">
        <f t="shared" si="3"/>
        <v>2.0204304975973076E-2</v>
      </c>
    </row>
    <row r="47" spans="1:37" ht="13">
      <c r="AJ47" s="114"/>
    </row>
    <row r="48" spans="1:37" s="23" customFormat="1" ht="14"/>
  </sheetData>
  <pageMargins left="0.7" right="0.7" top="0.75" bottom="0.75" header="0.3" footer="0.3"/>
  <pageSetup paperSize="0" fitToWidth="0" fitToHeight="0" orientation="portrait" horizontalDpi="0" verticalDpi="0" copies="0"/>
  <headerFooter>
    <oddHeader xml:space="preserve">&amp;C&amp;"Calibri,Regular"&amp;10&amp;K000000 OFFICIAL-SENSITIVE&amp;1#
</oddHeader>
    <oddFooter>&amp;C
&amp;1#&amp;"Calibri,Regular"&amp;10&amp;K000000 OFFICIAL-SENSITIVE</oddFooter>
  </headerFooter>
  <drawing r:id="rId1"/>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D9B0-5D07-204D-B726-5F3165169DA4}">
  <sheetPr>
    <tabColor rgb="FF006853"/>
  </sheetPr>
  <dimension ref="A1:B3"/>
  <sheetViews>
    <sheetView workbookViewId="0"/>
  </sheetViews>
  <sheetFormatPr baseColWidth="10" defaultColWidth="11.6640625" defaultRowHeight="13.75"/>
  <cols>
    <col min="1" max="1" width="11.6640625" customWidth="1"/>
  </cols>
  <sheetData>
    <row r="1" spans="1:2" ht="14">
      <c r="A1" t="s">
        <v>32</v>
      </c>
      <c r="B1">
        <v>1</v>
      </c>
    </row>
    <row r="2" spans="1:2" ht="14">
      <c r="A2" t="s">
        <v>131</v>
      </c>
      <c r="B2">
        <v>2</v>
      </c>
    </row>
    <row r="3" spans="1:2" ht="14">
      <c r="A3" t="s">
        <v>133</v>
      </c>
      <c r="B3">
        <v>3</v>
      </c>
    </row>
  </sheetData>
  <pageMargins left="0.7" right="0.7" top="0.75" bottom="0.75" header="0.3" footer="0.3"/>
  <headerFooter>
    <oddHeader xml:space="preserve">&amp;C&amp;"Calibri,Regular"&amp;10&amp;K000000 OFFICIAL-SENSITIVE&amp;1#
</oddHeader>
    <oddFooter>&amp;C
&amp;1#&amp;"Calibri,Regular"&amp;10&amp;K000000 OFFICIAL-SENSITIVE</oddFooter>
  </headerFooter>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Cover</vt:lpstr>
      <vt:lpstr>Contents</vt:lpstr>
      <vt:lpstr>port0201</vt:lpstr>
      <vt:lpstr>Notes</vt:lpstr>
      <vt:lpstr>Data</vt:lpstr>
      <vt:lpstr>Working</vt:lpstr>
      <vt:lpstr>Lookup</vt:lpstr>
      <vt:lpstr>Contents!Print_Area</vt:lpstr>
      <vt:lpstr>Cover!Print_Area</vt:lpstr>
      <vt:lpstr>Notes!Print_Area</vt:lpstr>
      <vt:lpstr>port0201!Print_Area</vt:lpstr>
      <vt:lpstr>port0201!Print_Titles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NGUYEN THI THANH NGAN</cp:lastModifiedBy>
  <dcterms:created xsi:type="dcterms:W3CDTF">2006-09-16T00:00:00Z</dcterms:created>
  <dcterms:modified xsi:type="dcterms:W3CDTF">2026-08-10T23:50:54Z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0x010100859260410330664F89A38D9956C1B155</vt:lpwstr>
  </property>
  <property fmtid="{D5CDD505-2E9C-101B-9397-08002B2CF9AE}" pid="3" name="CustomTag">
    <vt:lpwstr/>
  </property>
  <property fmtid="{D5CDD505-2E9C-101B-9397-08002B2CF9AE}" pid="4" name="MediaServiceImageTags">
    <vt:lpwstr/>
  </property>
  <property fmtid="{D5CDD505-2E9C-101B-9397-08002B2CF9AE}" pid="5" name="FinancialYear">
    <vt:lpwstr/>
  </property>
</Properties>
</file>